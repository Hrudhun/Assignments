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3b2de23d2c1f731/Desktop/BEAT/"/>
    </mc:Choice>
  </mc:AlternateContent>
  <xr:revisionPtr revIDLastSave="72" documentId="8_{1494206C-D215-4CA9-84F6-FACAF88FDE7B}" xr6:coauthVersionLast="47" xr6:coauthVersionMax="47" xr10:uidLastSave="{23D01A61-A4F4-494E-9305-5F2D1A24654F}"/>
  <bookViews>
    <workbookView xWindow="-110" yWindow="-110" windowWidth="19420" windowHeight="10300" firstSheet="3" activeTab="6" xr2:uid="{00000000-000D-0000-FFFF-FFFF00000000}"/>
  </bookViews>
  <sheets>
    <sheet name="Products (2)" sheetId="7" r:id="rId1"/>
    <sheet name="Budget (2)" sheetId="5" r:id="rId2"/>
    <sheet name="Sales_Data (2)" sheetId="8" r:id="rId3"/>
    <sheet name="Employees (2)" sheetId="6" r:id="rId4"/>
    <sheet name="Pivo &amp; Measures" sheetId="9" r:id="rId5"/>
    <sheet name="dash board" sheetId="10" r:id="rId6"/>
    <sheet name="Business Insights" sheetId="11" r:id="rId7"/>
    <sheet name="Products" sheetId="1" r:id="rId8"/>
    <sheet name="Employees" sheetId="2" r:id="rId9"/>
    <sheet name="Sales_Data" sheetId="3" r:id="rId10"/>
    <sheet name="Budget" sheetId="4" r:id="rId11"/>
  </sheets>
  <definedNames>
    <definedName name="_xlcn.WorksheetConnection_HRUDHUNSVelocityRetail_Final_Project.xlsxBudget1" hidden="1">Budget[]</definedName>
    <definedName name="_xlcn.WorksheetConnection_HRUDHUNSVelocityRetail_Final_Project.xlsxEmployees1" hidden="1">Employees[]</definedName>
    <definedName name="_xlcn.WorksheetConnection_HRUDHUNSVelocityRetail_Final_Project.xlsxProducts1" hidden="1">Products[]</definedName>
    <definedName name="_xlcn.WorksheetConnection_HRUDHUNSVelocityRetail_Final_Project.xlsxSales_Data1" hidden="1">Sales_Data[]</definedName>
    <definedName name="ExternalData_1" localSheetId="1" hidden="1">'Budget (2)'!$A$1:$D$61</definedName>
    <definedName name="ExternalData_2" localSheetId="3" hidden="1">'Employees (2)'!$A$1:$E$151</definedName>
    <definedName name="ExternalData_3" localSheetId="0" hidden="1">'Products (2)'!$A$1:$D$31</definedName>
    <definedName name="ExternalData_4" localSheetId="2" hidden="1">'Sales_Data (2)'!$A$1:$G$1501</definedName>
    <definedName name="Slicer_Category">#N/A</definedName>
    <definedName name="Slicer_Region">#N/A</definedName>
    <definedName name="Slicer_Year_Month">#N/A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s>
  <extLst>
    <ext xmlns:x14="http://schemas.microsoft.com/office/spreadsheetml/2009/9/main" uri="{876F7934-8845-4945-9796-88D515C7AA90}">
      <x14:pivotCaches>
        <pivotCache cacheId="10"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841E416B-1EF1-43b6-AB56-02D37102CBD5}">
      <x15:pivotCaches>
        <pivotCache cacheId="11" r:id="rId26"/>
        <pivotCache cacheId="12" r:id="rId27"/>
        <pivotCache cacheId="13" r:id="rId28"/>
        <pivotCache cacheId="14" r:id="rId29"/>
      </x15:pivotCaches>
    </ext>
    <ext xmlns:x15="http://schemas.microsoft.com/office/spreadsheetml/2010/11/main" uri="{983426D0-5260-488c-9760-48F4B6AC55F4}">
      <x15:pivotTableReferences>
        <x15:pivotTableReference r:id="rId30"/>
        <x15:pivotTableReference r:id="rId31"/>
        <x15:pivotTableReference r:id="rId32"/>
        <x15:pivotTableReference r:id="rId33"/>
      </x15:pivotTableReferences>
    </ext>
    <ext xmlns:x15="http://schemas.microsoft.com/office/spreadsheetml/2010/11/main" uri="{FCE2AD5D-F65C-4FA6-A056-5C36A1767C68}">
      <x15:dataModel>
        <x15:modelTables>
          <x15:modelTable id="Sales_Data" name="Sales_Data" connection="WorksheetConnection_HRUDHUN S - VelocityRetail_Final_Project.xlsx!Sales_Data"/>
          <x15:modelTable id="Products" name="Products" connection="WorksheetConnection_HRUDHUN S - VelocityRetail_Final_Project.xlsx!Products"/>
          <x15:modelTable id="Employees" name="Employees" connection="WorksheetConnection_HRUDHUN S - VelocityRetail_Final_Project.xlsx!Employees"/>
          <x15:modelTable id="Budget" name="Budget" connection="WorksheetConnection_HRUDHUN S - VelocityRetail_Final_Project.xlsx!Budget"/>
        </x15:modelTables>
        <x15:modelRelationships>
          <x15:modelRelationship fromTable="Sales_Data" fromColumn="EmployeeID" toTable="Employees" toColumn="EmployeeID"/>
          <x15:modelRelationship fromTable="Sales_Data" fromColumn="ProductID" toTable="Product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6" l="1"/>
  <c r="F10" i="6"/>
  <c r="F11" i="6"/>
  <c r="F12" i="6"/>
  <c r="F13" i="6"/>
  <c r="F14" i="6"/>
  <c r="F15" i="6"/>
  <c r="F16" i="6"/>
  <c r="F17" i="6"/>
  <c r="F19" i="6"/>
  <c r="F20" i="6"/>
  <c r="F21" i="6"/>
  <c r="F22" i="6"/>
  <c r="F23" i="6"/>
  <c r="F24" i="6"/>
  <c r="F25" i="6"/>
  <c r="F26" i="6"/>
  <c r="F27" i="6"/>
  <c r="F28" i="6"/>
  <c r="F29" i="6"/>
  <c r="F30" i="6"/>
  <c r="F32" i="6"/>
  <c r="F33" i="6"/>
  <c r="F34"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F2" i="6"/>
  <c r="F3" i="6"/>
  <c r="F4" i="6"/>
  <c r="F5" i="6"/>
  <c r="F6" i="6"/>
  <c r="F7" i="6"/>
  <c r="F9" i="6"/>
  <c r="F18" i="6"/>
  <c r="F31" i="6"/>
  <c r="F3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844F83-5470-49E3-AA54-538E6D7192AA}"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2" xr16:uid="{76C7FDB9-7BFA-47F9-AB26-C5C4674044F8}"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4EC854F4-5013-4EF1-A187-ADCD20FBB83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17E83784-5E63-4C72-95EF-775F0FA92D9B}"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5" xr16:uid="{C25EBF34-A792-448B-8773-D99FC230DB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51B126E-748E-4A26-9C71-313405E45037}" name="WorksheetConnection_HRUDHUN S - VelocityRetail_Final_Project.xlsx!Budget" type="102" refreshedVersion="8" minRefreshableVersion="5">
    <extLst>
      <ext xmlns:x15="http://schemas.microsoft.com/office/spreadsheetml/2010/11/main" uri="{DE250136-89BD-433C-8126-D09CA5730AF9}">
        <x15:connection id="Budget">
          <x15:rangePr sourceName="_xlcn.WorksheetConnection_HRUDHUNSVelocityRetail_Final_Project.xlsxBudget1"/>
        </x15:connection>
      </ext>
    </extLst>
  </connection>
  <connection id="7" xr16:uid="{5F23564F-BBF0-4BAF-9B56-A73799D6E13A}" name="WorksheetConnection_HRUDHUN S - VelocityRetail_Final_Project.xlsx!Employees" type="102" refreshedVersion="8" minRefreshableVersion="5">
    <extLst>
      <ext xmlns:x15="http://schemas.microsoft.com/office/spreadsheetml/2010/11/main" uri="{DE250136-89BD-433C-8126-D09CA5730AF9}">
        <x15:connection id="Employees">
          <x15:rangePr sourceName="_xlcn.WorksheetConnection_HRUDHUNSVelocityRetail_Final_Project.xlsxEmployees1"/>
        </x15:connection>
      </ext>
    </extLst>
  </connection>
  <connection id="8" xr16:uid="{CCDF3D50-5F51-4FCC-8B4D-365A7D375E0A}" name="WorksheetConnection_HRUDHUN S - VelocityRetail_Final_Project.xlsx!Products" type="102" refreshedVersion="8" minRefreshableVersion="5">
    <extLst>
      <ext xmlns:x15="http://schemas.microsoft.com/office/spreadsheetml/2010/11/main" uri="{DE250136-89BD-433C-8126-D09CA5730AF9}">
        <x15:connection id="Products">
          <x15:rangePr sourceName="_xlcn.WorksheetConnection_HRUDHUNSVelocityRetail_Final_Project.xlsxProducts1"/>
        </x15:connection>
      </ext>
    </extLst>
  </connection>
  <connection id="9" xr16:uid="{3D421841-FB14-4C2E-97C9-B96C06A2698D}" name="WorksheetConnection_HRUDHUN S - VelocityRetail_Final_Project.xlsx!Sales_Data" type="102" refreshedVersion="8" minRefreshableVersion="5">
    <extLst>
      <ext xmlns:x15="http://schemas.microsoft.com/office/spreadsheetml/2010/11/main" uri="{DE250136-89BD-433C-8126-D09CA5730AF9}">
        <x15:connection id="Sales_Data">
          <x15:rangePr sourceName="_xlcn.WorksheetConnection_HRUDHUNSVelocityRetail_Final_Project.xlsxSales_Data1"/>
        </x15:connection>
      </ext>
    </extLst>
  </connection>
</connections>
</file>

<file path=xl/sharedStrings.xml><?xml version="1.0" encoding="utf-8"?>
<sst xmlns="http://schemas.openxmlformats.org/spreadsheetml/2006/main" count="13839" uniqueCount="1963">
  <si>
    <t>ProductID</t>
  </si>
  <si>
    <t>ProductName</t>
  </si>
  <si>
    <t>Category</t>
  </si>
  <si>
    <t>UnitPrice</t>
  </si>
  <si>
    <t>P001</t>
  </si>
  <si>
    <t>Product_1</t>
  </si>
  <si>
    <t>Electronics</t>
  </si>
  <si>
    <t>P002</t>
  </si>
  <si>
    <t>Product_2</t>
  </si>
  <si>
    <t>Furniture</t>
  </si>
  <si>
    <t>P003</t>
  </si>
  <si>
    <t>Product_3</t>
  </si>
  <si>
    <t>Fashion</t>
  </si>
  <si>
    <t>P004</t>
  </si>
  <si>
    <t>Product_4</t>
  </si>
  <si>
    <t>Grocery</t>
  </si>
  <si>
    <t>P005</t>
  </si>
  <si>
    <t>Product_5</t>
  </si>
  <si>
    <t>Sports</t>
  </si>
  <si>
    <t>P006</t>
  </si>
  <si>
    <t>Product_6</t>
  </si>
  <si>
    <t>P007</t>
  </si>
  <si>
    <t>Product_7</t>
  </si>
  <si>
    <t>P008</t>
  </si>
  <si>
    <t>Product_8</t>
  </si>
  <si>
    <t>P009</t>
  </si>
  <si>
    <t>Product_9</t>
  </si>
  <si>
    <t>P010</t>
  </si>
  <si>
    <t>Product_10</t>
  </si>
  <si>
    <t>P011</t>
  </si>
  <si>
    <t>Product_11</t>
  </si>
  <si>
    <t>P012</t>
  </si>
  <si>
    <t>Product_12</t>
  </si>
  <si>
    <t>P013</t>
  </si>
  <si>
    <t>Product_13</t>
  </si>
  <si>
    <t>P014</t>
  </si>
  <si>
    <t>Product_14</t>
  </si>
  <si>
    <t>P015</t>
  </si>
  <si>
    <t>Product_15</t>
  </si>
  <si>
    <t>P016</t>
  </si>
  <si>
    <t>Product_16</t>
  </si>
  <si>
    <t>P017</t>
  </si>
  <si>
    <t>Product_17</t>
  </si>
  <si>
    <t>P018</t>
  </si>
  <si>
    <t>Product_18</t>
  </si>
  <si>
    <t>P019</t>
  </si>
  <si>
    <t>Product_19</t>
  </si>
  <si>
    <t>P020</t>
  </si>
  <si>
    <t>Product_20</t>
  </si>
  <si>
    <t>P021</t>
  </si>
  <si>
    <t>Product_21</t>
  </si>
  <si>
    <t>P022</t>
  </si>
  <si>
    <t>Product_22</t>
  </si>
  <si>
    <t>P023</t>
  </si>
  <si>
    <t>Product_23</t>
  </si>
  <si>
    <t>P024</t>
  </si>
  <si>
    <t>Product_24</t>
  </si>
  <si>
    <t>P025</t>
  </si>
  <si>
    <t>Product_25</t>
  </si>
  <si>
    <t>P026</t>
  </si>
  <si>
    <t>Product_26</t>
  </si>
  <si>
    <t>P027</t>
  </si>
  <si>
    <t>Product_27</t>
  </si>
  <si>
    <t>P028</t>
  </si>
  <si>
    <t>Product_28</t>
  </si>
  <si>
    <t>P029</t>
  </si>
  <si>
    <t>Product_29</t>
  </si>
  <si>
    <t>P030</t>
  </si>
  <si>
    <t>Product_30</t>
  </si>
  <si>
    <t>EmployeeID</t>
  </si>
  <si>
    <t>EmployeeName</t>
  </si>
  <si>
    <t>Department</t>
  </si>
  <si>
    <t>Status</t>
  </si>
  <si>
    <t>Salary</t>
  </si>
  <si>
    <t>E001</t>
  </si>
  <si>
    <t>Employee_1</t>
  </si>
  <si>
    <t>Sales</t>
  </si>
  <si>
    <t>Active</t>
  </si>
  <si>
    <t>E002</t>
  </si>
  <si>
    <t>Employee_2</t>
  </si>
  <si>
    <t>HR</t>
  </si>
  <si>
    <t>E003</t>
  </si>
  <si>
    <t>Employee_3</t>
  </si>
  <si>
    <t>Finance</t>
  </si>
  <si>
    <t>E004</t>
  </si>
  <si>
    <t>Employee_4</t>
  </si>
  <si>
    <t>Operations</t>
  </si>
  <si>
    <t>Left</t>
  </si>
  <si>
    <t>E005</t>
  </si>
  <si>
    <t>Employee_5</t>
  </si>
  <si>
    <t>IT</t>
  </si>
  <si>
    <t>E006</t>
  </si>
  <si>
    <t>Employee_6</t>
  </si>
  <si>
    <t>E007</t>
  </si>
  <si>
    <t>Employee_7</t>
  </si>
  <si>
    <t>E008</t>
  </si>
  <si>
    <t>Employee_8</t>
  </si>
  <si>
    <t>E009</t>
  </si>
  <si>
    <t>Employee_9</t>
  </si>
  <si>
    <t>E010</t>
  </si>
  <si>
    <t>Employee_10</t>
  </si>
  <si>
    <t>E011</t>
  </si>
  <si>
    <t>Employee_11</t>
  </si>
  <si>
    <t>E012</t>
  </si>
  <si>
    <t>Employee_12</t>
  </si>
  <si>
    <t>E013</t>
  </si>
  <si>
    <t>Employee_13</t>
  </si>
  <si>
    <t>E014</t>
  </si>
  <si>
    <t>Employee_14</t>
  </si>
  <si>
    <t>E015</t>
  </si>
  <si>
    <t>Employee_15</t>
  </si>
  <si>
    <t>E016</t>
  </si>
  <si>
    <t>Employee_16</t>
  </si>
  <si>
    <t>E017</t>
  </si>
  <si>
    <t>Employee_17</t>
  </si>
  <si>
    <t>E018</t>
  </si>
  <si>
    <t>Employee_18</t>
  </si>
  <si>
    <t>E019</t>
  </si>
  <si>
    <t>Employee_19</t>
  </si>
  <si>
    <t>E020</t>
  </si>
  <si>
    <t>Employee_20</t>
  </si>
  <si>
    <t>E021</t>
  </si>
  <si>
    <t>Employee_21</t>
  </si>
  <si>
    <t>E022</t>
  </si>
  <si>
    <t>Employee_22</t>
  </si>
  <si>
    <t>E023</t>
  </si>
  <si>
    <t>Employee_23</t>
  </si>
  <si>
    <t>E024</t>
  </si>
  <si>
    <t>Employee_24</t>
  </si>
  <si>
    <t>E025</t>
  </si>
  <si>
    <t>Employee_25</t>
  </si>
  <si>
    <t>E026</t>
  </si>
  <si>
    <t>Employee_26</t>
  </si>
  <si>
    <t>E027</t>
  </si>
  <si>
    <t>Employee_27</t>
  </si>
  <si>
    <t>E028</t>
  </si>
  <si>
    <t>Employee_28</t>
  </si>
  <si>
    <t>E029</t>
  </si>
  <si>
    <t>Employee_29</t>
  </si>
  <si>
    <t>E030</t>
  </si>
  <si>
    <t>Employee_30</t>
  </si>
  <si>
    <t>E031</t>
  </si>
  <si>
    <t>Employee_31</t>
  </si>
  <si>
    <t>E032</t>
  </si>
  <si>
    <t>Employee_32</t>
  </si>
  <si>
    <t>E033</t>
  </si>
  <si>
    <t>Employee_33</t>
  </si>
  <si>
    <t>E034</t>
  </si>
  <si>
    <t>Employee_34</t>
  </si>
  <si>
    <t>E035</t>
  </si>
  <si>
    <t>Employee_35</t>
  </si>
  <si>
    <t>E036</t>
  </si>
  <si>
    <t>Employee_36</t>
  </si>
  <si>
    <t>E037</t>
  </si>
  <si>
    <t>Employee_37</t>
  </si>
  <si>
    <t>E038</t>
  </si>
  <si>
    <t>Employee_38</t>
  </si>
  <si>
    <t>E039</t>
  </si>
  <si>
    <t>Employee_39</t>
  </si>
  <si>
    <t>E040</t>
  </si>
  <si>
    <t>Employee_40</t>
  </si>
  <si>
    <t>E041</t>
  </si>
  <si>
    <t>Employee_41</t>
  </si>
  <si>
    <t>E042</t>
  </si>
  <si>
    <t>Employee_42</t>
  </si>
  <si>
    <t>E043</t>
  </si>
  <si>
    <t>Employee_43</t>
  </si>
  <si>
    <t>E044</t>
  </si>
  <si>
    <t>Employee_44</t>
  </si>
  <si>
    <t>E045</t>
  </si>
  <si>
    <t>Employee_45</t>
  </si>
  <si>
    <t>E046</t>
  </si>
  <si>
    <t>Employee_46</t>
  </si>
  <si>
    <t>E047</t>
  </si>
  <si>
    <t>Employee_47</t>
  </si>
  <si>
    <t>E048</t>
  </si>
  <si>
    <t>Employee_48</t>
  </si>
  <si>
    <t>E049</t>
  </si>
  <si>
    <t>Employee_49</t>
  </si>
  <si>
    <t>E050</t>
  </si>
  <si>
    <t>Employee_50</t>
  </si>
  <si>
    <t>E051</t>
  </si>
  <si>
    <t>Employee_51</t>
  </si>
  <si>
    <t>E052</t>
  </si>
  <si>
    <t>Employee_52</t>
  </si>
  <si>
    <t>E053</t>
  </si>
  <si>
    <t>Employee_53</t>
  </si>
  <si>
    <t>E054</t>
  </si>
  <si>
    <t>Employee_54</t>
  </si>
  <si>
    <t>E055</t>
  </si>
  <si>
    <t>Employee_55</t>
  </si>
  <si>
    <t>E056</t>
  </si>
  <si>
    <t>Employee_56</t>
  </si>
  <si>
    <t>E057</t>
  </si>
  <si>
    <t>Employee_57</t>
  </si>
  <si>
    <t>E058</t>
  </si>
  <si>
    <t>Employee_58</t>
  </si>
  <si>
    <t>E059</t>
  </si>
  <si>
    <t>Employee_59</t>
  </si>
  <si>
    <t>E060</t>
  </si>
  <si>
    <t>Employee_60</t>
  </si>
  <si>
    <t>E061</t>
  </si>
  <si>
    <t>Employee_61</t>
  </si>
  <si>
    <t>E062</t>
  </si>
  <si>
    <t>Employee_62</t>
  </si>
  <si>
    <t>E063</t>
  </si>
  <si>
    <t>Employee_63</t>
  </si>
  <si>
    <t>E064</t>
  </si>
  <si>
    <t>Employee_64</t>
  </si>
  <si>
    <t>E065</t>
  </si>
  <si>
    <t>Employee_65</t>
  </si>
  <si>
    <t>E066</t>
  </si>
  <si>
    <t>Employee_66</t>
  </si>
  <si>
    <t>E067</t>
  </si>
  <si>
    <t>Employee_67</t>
  </si>
  <si>
    <t>E068</t>
  </si>
  <si>
    <t>Employee_68</t>
  </si>
  <si>
    <t>E069</t>
  </si>
  <si>
    <t>Employee_69</t>
  </si>
  <si>
    <t>E070</t>
  </si>
  <si>
    <t>Employee_70</t>
  </si>
  <si>
    <t>E071</t>
  </si>
  <si>
    <t>Employee_71</t>
  </si>
  <si>
    <t>E072</t>
  </si>
  <si>
    <t>Employee_72</t>
  </si>
  <si>
    <t>E073</t>
  </si>
  <si>
    <t>Employee_73</t>
  </si>
  <si>
    <t>E074</t>
  </si>
  <si>
    <t>Employee_74</t>
  </si>
  <si>
    <t>E075</t>
  </si>
  <si>
    <t>Employee_75</t>
  </si>
  <si>
    <t>E076</t>
  </si>
  <si>
    <t>Employee_76</t>
  </si>
  <si>
    <t>E077</t>
  </si>
  <si>
    <t>Employee_77</t>
  </si>
  <si>
    <t>E078</t>
  </si>
  <si>
    <t>Employee_78</t>
  </si>
  <si>
    <t>E079</t>
  </si>
  <si>
    <t>Employee_79</t>
  </si>
  <si>
    <t>E080</t>
  </si>
  <si>
    <t>Employee_80</t>
  </si>
  <si>
    <t>E081</t>
  </si>
  <si>
    <t>Employee_81</t>
  </si>
  <si>
    <t>E082</t>
  </si>
  <si>
    <t>Employee_82</t>
  </si>
  <si>
    <t>E083</t>
  </si>
  <si>
    <t>Employee_83</t>
  </si>
  <si>
    <t>E084</t>
  </si>
  <si>
    <t>Employee_84</t>
  </si>
  <si>
    <t>E085</t>
  </si>
  <si>
    <t>Employee_85</t>
  </si>
  <si>
    <t>E086</t>
  </si>
  <si>
    <t>Employee_86</t>
  </si>
  <si>
    <t>E087</t>
  </si>
  <si>
    <t>Employee_87</t>
  </si>
  <si>
    <t>E088</t>
  </si>
  <si>
    <t>Employee_88</t>
  </si>
  <si>
    <t>E089</t>
  </si>
  <si>
    <t>Employee_89</t>
  </si>
  <si>
    <t>E090</t>
  </si>
  <si>
    <t>Employee_90</t>
  </si>
  <si>
    <t>E091</t>
  </si>
  <si>
    <t>Employee_91</t>
  </si>
  <si>
    <t>E092</t>
  </si>
  <si>
    <t>Employee_92</t>
  </si>
  <si>
    <t>E093</t>
  </si>
  <si>
    <t>Employee_93</t>
  </si>
  <si>
    <t>E094</t>
  </si>
  <si>
    <t>Employee_94</t>
  </si>
  <si>
    <t>E095</t>
  </si>
  <si>
    <t>Employee_95</t>
  </si>
  <si>
    <t>E096</t>
  </si>
  <si>
    <t>Employee_96</t>
  </si>
  <si>
    <t>E097</t>
  </si>
  <si>
    <t>Employee_97</t>
  </si>
  <si>
    <t>E098</t>
  </si>
  <si>
    <t>Employee_98</t>
  </si>
  <si>
    <t>E099</t>
  </si>
  <si>
    <t>Employee_99</t>
  </si>
  <si>
    <t>E100</t>
  </si>
  <si>
    <t>Employee_100</t>
  </si>
  <si>
    <t>E101</t>
  </si>
  <si>
    <t>Employee_101</t>
  </si>
  <si>
    <t>E102</t>
  </si>
  <si>
    <t>Employee_102</t>
  </si>
  <si>
    <t>E103</t>
  </si>
  <si>
    <t>Employee_103</t>
  </si>
  <si>
    <t>E104</t>
  </si>
  <si>
    <t>Employee_104</t>
  </si>
  <si>
    <t>E105</t>
  </si>
  <si>
    <t>Employee_105</t>
  </si>
  <si>
    <t>E106</t>
  </si>
  <si>
    <t>Employee_106</t>
  </si>
  <si>
    <t>E107</t>
  </si>
  <si>
    <t>Employee_107</t>
  </si>
  <si>
    <t>E108</t>
  </si>
  <si>
    <t>Employee_108</t>
  </si>
  <si>
    <t>E109</t>
  </si>
  <si>
    <t>Employee_109</t>
  </si>
  <si>
    <t>E110</t>
  </si>
  <si>
    <t>Employee_110</t>
  </si>
  <si>
    <t>E111</t>
  </si>
  <si>
    <t>Employee_111</t>
  </si>
  <si>
    <t>E112</t>
  </si>
  <si>
    <t>Employee_112</t>
  </si>
  <si>
    <t>E113</t>
  </si>
  <si>
    <t>Employee_113</t>
  </si>
  <si>
    <t>E114</t>
  </si>
  <si>
    <t>Employee_114</t>
  </si>
  <si>
    <t>E115</t>
  </si>
  <si>
    <t>Employee_115</t>
  </si>
  <si>
    <t>E116</t>
  </si>
  <si>
    <t>Employee_116</t>
  </si>
  <si>
    <t>E117</t>
  </si>
  <si>
    <t>Employee_117</t>
  </si>
  <si>
    <t>E118</t>
  </si>
  <si>
    <t>Employee_118</t>
  </si>
  <si>
    <t>E119</t>
  </si>
  <si>
    <t>Employee_119</t>
  </si>
  <si>
    <t>E120</t>
  </si>
  <si>
    <t>Employee_120</t>
  </si>
  <si>
    <t>E121</t>
  </si>
  <si>
    <t>Employee_121</t>
  </si>
  <si>
    <t>E122</t>
  </si>
  <si>
    <t>Employee_122</t>
  </si>
  <si>
    <t>E123</t>
  </si>
  <si>
    <t>Employee_123</t>
  </si>
  <si>
    <t>E124</t>
  </si>
  <si>
    <t>Employee_124</t>
  </si>
  <si>
    <t>E125</t>
  </si>
  <si>
    <t>Employee_125</t>
  </si>
  <si>
    <t>E126</t>
  </si>
  <si>
    <t>Employee_126</t>
  </si>
  <si>
    <t>E127</t>
  </si>
  <si>
    <t>Employee_127</t>
  </si>
  <si>
    <t>E128</t>
  </si>
  <si>
    <t>Employee_128</t>
  </si>
  <si>
    <t>E129</t>
  </si>
  <si>
    <t>Employee_129</t>
  </si>
  <si>
    <t>E130</t>
  </si>
  <si>
    <t>Employee_130</t>
  </si>
  <si>
    <t>E131</t>
  </si>
  <si>
    <t>Employee_131</t>
  </si>
  <si>
    <t>E132</t>
  </si>
  <si>
    <t>Employee_132</t>
  </si>
  <si>
    <t>E133</t>
  </si>
  <si>
    <t>Employee_133</t>
  </si>
  <si>
    <t>E134</t>
  </si>
  <si>
    <t>Employee_134</t>
  </si>
  <si>
    <t>E135</t>
  </si>
  <si>
    <t>Employee_135</t>
  </si>
  <si>
    <t>E136</t>
  </si>
  <si>
    <t>Employee_136</t>
  </si>
  <si>
    <t>E137</t>
  </si>
  <si>
    <t>Employee_137</t>
  </si>
  <si>
    <t>E138</t>
  </si>
  <si>
    <t>Employee_138</t>
  </si>
  <si>
    <t>E139</t>
  </si>
  <si>
    <t>Employee_139</t>
  </si>
  <si>
    <t>E140</t>
  </si>
  <si>
    <t>Employee_140</t>
  </si>
  <si>
    <t>E141</t>
  </si>
  <si>
    <t>Employee_141</t>
  </si>
  <si>
    <t>E142</t>
  </si>
  <si>
    <t>Employee_142</t>
  </si>
  <si>
    <t>E143</t>
  </si>
  <si>
    <t>Employee_143</t>
  </si>
  <si>
    <t>E144</t>
  </si>
  <si>
    <t>Employee_144</t>
  </si>
  <si>
    <t>E145</t>
  </si>
  <si>
    <t>Employee_145</t>
  </si>
  <si>
    <t>E146</t>
  </si>
  <si>
    <t>Employee_146</t>
  </si>
  <si>
    <t>E147</t>
  </si>
  <si>
    <t>Employee_147</t>
  </si>
  <si>
    <t>E148</t>
  </si>
  <si>
    <t>Employee_148</t>
  </si>
  <si>
    <t>E149</t>
  </si>
  <si>
    <t>Employee_149</t>
  </si>
  <si>
    <t>E150</t>
  </si>
  <si>
    <t>Employee_150</t>
  </si>
  <si>
    <t>TransactionID</t>
  </si>
  <si>
    <t>Date</t>
  </si>
  <si>
    <t>Region</t>
  </si>
  <si>
    <t>Quantity</t>
  </si>
  <si>
    <t>Revenue</t>
  </si>
  <si>
    <t>T00001</t>
  </si>
  <si>
    <t>East</t>
  </si>
  <si>
    <t>T00002</t>
  </si>
  <si>
    <t>South</t>
  </si>
  <si>
    <t>T00003</t>
  </si>
  <si>
    <t>Central</t>
  </si>
  <si>
    <t>T00004</t>
  </si>
  <si>
    <t>T00005</t>
  </si>
  <si>
    <t>North</t>
  </si>
  <si>
    <t>T00006</t>
  </si>
  <si>
    <t>T00007</t>
  </si>
  <si>
    <t>T00008</t>
  </si>
  <si>
    <t>T00009</t>
  </si>
  <si>
    <t>T00010</t>
  </si>
  <si>
    <t>T00011</t>
  </si>
  <si>
    <t>T00012</t>
  </si>
  <si>
    <t>T00013</t>
  </si>
  <si>
    <t>West</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</si>
  <si>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</si>
  <si>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</si>
  <si>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</si>
  <si>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</si>
  <si>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</si>
  <si>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</si>
  <si>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</si>
  <si>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</si>
  <si>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</si>
  <si>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</si>
  <si>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</si>
  <si>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</si>
  <si>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</si>
  <si>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</si>
  <si>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</si>
  <si>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</si>
  <si>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</si>
  <si>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</si>
  <si>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</si>
  <si>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</si>
  <si>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</si>
  <si>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</si>
  <si>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</si>
  <si>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</si>
  <si>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</si>
  <si>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</si>
  <si>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</si>
  <si>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</si>
  <si>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</si>
  <si>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</si>
  <si>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</si>
  <si>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</si>
  <si>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</si>
  <si>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</si>
  <si>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</si>
  <si>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</si>
  <si>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</si>
  <si>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</si>
  <si>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</si>
  <si>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</si>
  <si>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</si>
  <si>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</si>
  <si>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</si>
  <si>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</si>
  <si>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</si>
  <si>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</si>
  <si>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</si>
  <si>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</si>
  <si>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</si>
  <si>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</si>
  <si>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</si>
  <si>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</si>
  <si>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</si>
  <si>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</si>
  <si>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</si>
  <si>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</si>
  <si>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</si>
  <si>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</si>
  <si>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</si>
  <si>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</si>
  <si>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</si>
  <si>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</si>
  <si>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</si>
  <si>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</si>
  <si>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</si>
  <si>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</si>
  <si>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</si>
  <si>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</si>
  <si>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</si>
  <si>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</si>
  <si>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</si>
  <si>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</si>
  <si>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</si>
  <si>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</si>
  <si>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</si>
  <si>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</si>
  <si>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</si>
  <si>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</si>
  <si>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</si>
  <si>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</si>
  <si>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</si>
  <si>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</si>
  <si>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</si>
  <si>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</si>
  <si>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</si>
  <si>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</si>
  <si>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</si>
  <si>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</si>
  <si>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</si>
  <si>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</si>
  <si>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</si>
  <si>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</si>
  <si>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</si>
  <si>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</si>
  <si>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</si>
  <si>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</si>
  <si>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</si>
  <si>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</si>
  <si>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</si>
  <si>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</si>
  <si>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</si>
  <si>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</si>
  <si>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</si>
  <si>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</si>
  <si>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</si>
  <si>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</si>
  <si>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</si>
  <si>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</si>
  <si>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</si>
  <si>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</si>
  <si>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</si>
  <si>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</si>
  <si>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</si>
  <si>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</si>
  <si>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</si>
  <si>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</si>
  <si>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</si>
  <si>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</si>
  <si>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</si>
  <si>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</si>
  <si>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</si>
  <si>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</si>
  <si>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</si>
  <si>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</si>
  <si>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</si>
  <si>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</si>
  <si>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</si>
  <si>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</si>
  <si>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</si>
  <si>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</si>
  <si>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</si>
  <si>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</si>
  <si>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</si>
  <si>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</si>
  <si>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</si>
  <si>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</si>
  <si>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</si>
  <si>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</si>
  <si>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</si>
  <si>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</si>
  <si>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</si>
  <si>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</si>
  <si>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</si>
  <si>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</si>
  <si>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</si>
  <si>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</si>
  <si>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</si>
  <si>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</si>
  <si>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</si>
  <si>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</si>
  <si>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</si>
  <si>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</si>
  <si>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</si>
  <si>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</si>
  <si>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</si>
  <si>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</si>
  <si>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</si>
  <si>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</si>
  <si>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</si>
  <si>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</si>
  <si>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</si>
  <si>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</si>
  <si>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</si>
  <si>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</si>
  <si>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</si>
  <si>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</si>
  <si>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</si>
  <si>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</si>
  <si>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</si>
  <si>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</si>
  <si>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</si>
  <si>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</si>
  <si>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</si>
  <si>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</si>
  <si>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</si>
  <si>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</si>
  <si>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</si>
  <si>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</si>
  <si>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</si>
  <si>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</si>
  <si>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</si>
  <si>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</si>
  <si>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</si>
  <si>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</si>
  <si>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</si>
  <si>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</si>
  <si>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</si>
  <si>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</si>
  <si>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</si>
  <si>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</si>
  <si>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</si>
  <si>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</si>
  <si>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</si>
  <si>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</si>
  <si>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</si>
  <si>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</si>
  <si>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</si>
  <si>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</si>
  <si>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</si>
  <si>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</si>
  <si>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</si>
  <si>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</si>
  <si>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</si>
  <si>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</si>
  <si>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</si>
  <si>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</si>
  <si>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</si>
  <si>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</si>
  <si>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</si>
  <si>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</si>
  <si>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</si>
  <si>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</si>
  <si>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</si>
  <si>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</si>
  <si>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</si>
  <si>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</si>
  <si>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</si>
  <si>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</si>
  <si>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</si>
  <si>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</si>
  <si>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</si>
  <si>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</si>
  <si>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</si>
  <si>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</si>
  <si>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</si>
  <si>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</si>
  <si>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</si>
  <si>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</si>
  <si>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</si>
  <si>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</si>
  <si>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</si>
  <si>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</si>
  <si>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</si>
  <si>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</si>
  <si>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</si>
  <si>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</si>
  <si>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</si>
  <si>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</si>
  <si>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</si>
  <si>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</si>
  <si>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</si>
  <si>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</si>
  <si>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</si>
  <si>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</si>
  <si>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</si>
  <si>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</si>
  <si>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</si>
  <si>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</si>
  <si>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</si>
  <si>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</si>
  <si>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</si>
  <si>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</si>
  <si>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</si>
  <si>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</si>
  <si>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</si>
  <si>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</si>
  <si>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</si>
  <si>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</si>
  <si>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</si>
  <si>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</si>
  <si>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</si>
  <si>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</si>
  <si>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</si>
  <si>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</si>
  <si>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</si>
  <si>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</si>
  <si>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</si>
  <si>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</si>
  <si>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</si>
  <si>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</si>
  <si>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</si>
  <si>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</si>
  <si>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</si>
  <si>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</si>
  <si>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</si>
  <si>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</si>
  <si>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</si>
  <si>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</si>
  <si>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</si>
  <si>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</si>
  <si>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</si>
  <si>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</si>
  <si>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</si>
  <si>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</si>
  <si>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</si>
  <si>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</si>
  <si>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</si>
  <si>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</si>
  <si>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</si>
  <si>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</si>
  <si>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</si>
  <si>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</si>
  <si>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</si>
  <si>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</si>
  <si>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</si>
  <si>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</si>
  <si>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</si>
  <si>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</si>
  <si>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</si>
  <si>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</si>
  <si>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</si>
  <si>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</si>
  <si>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</si>
  <si>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</si>
  <si>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</si>
  <si>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</si>
  <si>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</si>
  <si>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</si>
  <si>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</si>
  <si>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</si>
  <si>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</si>
  <si>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</si>
  <si>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</si>
  <si>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</si>
  <si>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</si>
  <si>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</si>
  <si>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</si>
  <si>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</si>
  <si>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</si>
  <si>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</si>
  <si>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</si>
  <si>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</si>
  <si>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</si>
  <si>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</si>
  <si>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</si>
  <si>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</si>
  <si>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</si>
  <si>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</si>
  <si>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</si>
  <si>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</si>
  <si>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</si>
  <si>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</si>
  <si>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</si>
  <si>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</si>
  <si>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</si>
  <si>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</si>
  <si>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</si>
  <si>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</si>
  <si>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</si>
  <si>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</si>
  <si>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</si>
  <si>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</si>
  <si>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</si>
  <si>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</si>
  <si>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</si>
  <si>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</si>
  <si>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</si>
  <si>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</si>
  <si>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</si>
  <si>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</si>
  <si>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</si>
  <si>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</si>
  <si>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</si>
  <si>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</si>
  <si>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</si>
  <si>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</si>
  <si>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</si>
  <si>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</si>
  <si>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</si>
  <si>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</si>
  <si>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</si>
  <si>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</si>
  <si>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</si>
  <si>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</si>
  <si>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</si>
  <si>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</si>
  <si>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</si>
  <si>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</si>
  <si>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</si>
  <si>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</si>
  <si>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</si>
  <si>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</si>
  <si>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</si>
  <si>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</si>
  <si>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</si>
  <si>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</si>
  <si>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</si>
  <si>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</si>
  <si>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</si>
  <si>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</si>
  <si>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</si>
  <si>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</si>
  <si>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</si>
  <si>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</si>
  <si>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</si>
  <si>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</si>
  <si>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</si>
  <si>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</si>
  <si>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</si>
  <si>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</si>
  <si>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</si>
  <si>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</si>
  <si>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</si>
  <si>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</si>
  <si>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</si>
  <si>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</si>
  <si>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</si>
  <si>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</si>
  <si>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</si>
  <si>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</si>
  <si>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</si>
  <si>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</si>
  <si>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</si>
  <si>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</si>
  <si>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</si>
  <si>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</si>
  <si>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</si>
  <si>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</si>
  <si>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</si>
  <si>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</si>
  <si>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</si>
  <si>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</si>
  <si>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</si>
  <si>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</si>
  <si>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</si>
  <si>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</si>
  <si>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</si>
  <si>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</si>
  <si>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</si>
  <si>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</si>
  <si>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</si>
  <si>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</si>
  <si>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</si>
  <si>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</si>
  <si>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</si>
  <si>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</si>
  <si>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</si>
  <si>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</si>
  <si>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</si>
  <si>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</si>
  <si>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</si>
  <si>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</si>
  <si>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</si>
  <si>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</si>
  <si>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</si>
  <si>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</si>
  <si>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</si>
  <si>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</si>
  <si>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</si>
  <si>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</si>
  <si>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</si>
  <si>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</si>
  <si>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</si>
  <si>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</si>
  <si>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</si>
  <si>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</si>
  <si>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</si>
  <si>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</si>
  <si>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</si>
  <si>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</si>
  <si>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</si>
  <si>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</si>
  <si>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</si>
  <si>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</si>
  <si>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</si>
  <si>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</si>
  <si>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</si>
  <si>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</si>
  <si>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</si>
  <si>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</si>
  <si>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</si>
  <si>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</si>
  <si>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</si>
  <si>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</si>
  <si>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</si>
  <si>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</si>
  <si>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</si>
  <si>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</si>
  <si>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</si>
  <si>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</si>
  <si>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</si>
  <si>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</si>
  <si>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</si>
  <si>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</si>
  <si>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</si>
  <si>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</si>
  <si>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</si>
  <si>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</si>
  <si>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</si>
  <si>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</si>
  <si>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</si>
  <si>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</si>
  <si>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</si>
  <si>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</si>
  <si>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</si>
  <si>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</si>
  <si>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</si>
  <si>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</si>
  <si>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</si>
  <si>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</si>
  <si>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</si>
  <si>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</si>
  <si>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</si>
  <si>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</si>
  <si>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</si>
  <si>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</si>
  <si>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</si>
  <si>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</si>
  <si>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</si>
  <si>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</si>
  <si>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</si>
  <si>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</si>
  <si>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</si>
  <si>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</si>
  <si>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</si>
  <si>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</si>
  <si>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</si>
  <si>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</si>
  <si>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</si>
  <si>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</si>
  <si>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</si>
  <si>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</si>
  <si>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</si>
  <si>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</si>
  <si>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</si>
  <si>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</si>
  <si>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</si>
  <si>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</si>
  <si>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</si>
  <si>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</si>
  <si>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</si>
  <si>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</si>
  <si>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</si>
  <si>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</si>
  <si>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</si>
  <si>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</si>
  <si>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</si>
  <si>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</si>
  <si>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</si>
  <si>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</si>
  <si>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</si>
  <si>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</si>
  <si>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</si>
  <si>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</si>
  <si>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</si>
  <si>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</si>
  <si>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</si>
  <si>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</si>
  <si>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</si>
  <si>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</si>
  <si>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</si>
  <si>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</si>
  <si>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</si>
  <si>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</si>
  <si>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</si>
  <si>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</si>
  <si>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</si>
  <si>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</si>
  <si>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</si>
  <si>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</si>
  <si>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</si>
  <si>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</si>
  <si>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</si>
  <si>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</si>
  <si>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</si>
  <si>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</si>
  <si>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</si>
  <si>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</si>
  <si>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</si>
  <si>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</si>
  <si>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</si>
  <si>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</si>
  <si>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</si>
  <si>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</si>
  <si>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</si>
  <si>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</si>
  <si>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</si>
  <si>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</si>
  <si>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</si>
  <si>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</si>
  <si>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</si>
  <si>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</si>
  <si>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</si>
  <si>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</si>
  <si>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</si>
  <si>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</si>
  <si>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</si>
  <si>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</si>
  <si>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</si>
  <si>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</si>
  <si>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</si>
  <si>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</si>
  <si>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</si>
  <si>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</si>
  <si>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</si>
  <si>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</si>
  <si>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</si>
  <si>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</si>
  <si>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</si>
  <si>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</si>
  <si>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</si>
  <si>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</si>
  <si>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</si>
  <si>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</si>
  <si>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</si>
  <si>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</si>
  <si>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</si>
  <si>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</si>
  <si>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</si>
  <si>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</si>
  <si>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</si>
  <si>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</si>
  <si>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</si>
  <si>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</si>
  <si>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</si>
  <si>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</si>
  <si>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</si>
  <si>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</si>
  <si>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</si>
  <si>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</si>
  <si>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</si>
  <si>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</si>
  <si>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</si>
  <si>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</si>
  <si>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</si>
  <si>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</si>
  <si>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</si>
  <si>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</si>
  <si>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</si>
  <si>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</si>
  <si>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</si>
  <si>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</si>
  <si>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</si>
  <si>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</si>
  <si>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</si>
  <si>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</si>
  <si>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</si>
  <si>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</si>
  <si>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</si>
  <si>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</si>
  <si>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</si>
  <si>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</si>
  <si>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</si>
  <si>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</si>
  <si>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</si>
  <si>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</si>
  <si>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</si>
  <si>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</si>
  <si>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</si>
  <si>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</si>
  <si>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</si>
  <si>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</si>
  <si>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</si>
  <si>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</si>
  <si>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</si>
  <si>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</si>
  <si>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</si>
  <si>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</si>
  <si>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</si>
  <si>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</si>
  <si>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</si>
  <si>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</si>
  <si>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</si>
  <si>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</si>
  <si>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</si>
  <si>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</si>
  <si>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</si>
  <si>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</si>
  <si>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</si>
  <si>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</si>
  <si>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</si>
  <si>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</si>
  <si>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</si>
  <si>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</si>
  <si>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</si>
  <si>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</si>
  <si>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</si>
  <si>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</si>
  <si>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</si>
  <si>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</si>
  <si>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</si>
  <si>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</si>
  <si>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</si>
  <si>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</si>
  <si>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</si>
  <si>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</si>
  <si>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</si>
  <si>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</si>
  <si>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</si>
  <si>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</si>
  <si>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</si>
  <si>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</si>
  <si>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</si>
  <si>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</si>
  <si>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</si>
  <si>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</si>
  <si>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</si>
  <si>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</si>
  <si>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</si>
  <si>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</si>
  <si>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</si>
  <si>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</si>
  <si>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</si>
  <si>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</si>
  <si>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</si>
  <si>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</si>
  <si>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</si>
  <si>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</si>
  <si>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</si>
  <si>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</si>
  <si>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</si>
  <si>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</si>
  <si>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</si>
  <si>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</si>
  <si>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</si>
  <si>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</si>
  <si>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</si>
  <si>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</si>
  <si>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</si>
  <si>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</si>
  <si>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</si>
  <si>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</si>
  <si>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</si>
  <si>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</si>
  <si>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</si>
  <si>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</si>
  <si>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</si>
  <si>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</si>
  <si>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</si>
  <si>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</si>
  <si>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</si>
  <si>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</si>
  <si>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</si>
  <si>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</si>
  <si>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</si>
  <si>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</si>
  <si>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</si>
  <si>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</si>
  <si>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</si>
  <si>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</si>
  <si>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</si>
  <si>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</si>
  <si>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</si>
  <si>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</si>
  <si>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</si>
  <si>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</si>
  <si>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</si>
  <si>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</si>
  <si>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</si>
  <si>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</si>
  <si>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</si>
  <si>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</si>
  <si>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</si>
  <si>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</si>
  <si>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</si>
  <si>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</si>
  <si>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</si>
  <si>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</si>
  <si>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</si>
  <si>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</si>
  <si>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</si>
  <si>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</si>
  <si>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</si>
  <si>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</si>
  <si>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</si>
  <si>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</si>
  <si>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</si>
  <si>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</si>
  <si>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</si>
  <si>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</si>
  <si>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</si>
  <si>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</si>
  <si>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</si>
  <si>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</si>
  <si>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</si>
  <si>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</si>
  <si>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</si>
  <si>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</si>
  <si>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</si>
  <si>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</si>
  <si>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</si>
  <si>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</si>
  <si>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</si>
  <si>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</si>
  <si>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</si>
  <si>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</si>
  <si>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</si>
  <si>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</si>
  <si>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</si>
  <si>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</si>
  <si>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</si>
  <si>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</si>
  <si>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</si>
  <si>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</si>
  <si>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</si>
  <si>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</si>
  <si>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</si>
  <si>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</si>
  <si>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</si>
  <si>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</si>
  <si>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</si>
  <si>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</si>
  <si>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</si>
  <si>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</si>
  <si>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</si>
  <si>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</si>
  <si>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</si>
  <si>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</si>
  <si>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</si>
  <si>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</si>
  <si>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</si>
  <si>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</si>
  <si>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</si>
  <si>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</si>
  <si>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</si>
  <si>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</si>
  <si>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</si>
  <si>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</si>
  <si>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</si>
  <si>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</si>
  <si>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</si>
  <si>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</si>
  <si>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</si>
  <si>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</si>
  <si>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</si>
  <si>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</si>
  <si>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</si>
  <si>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</si>
  <si>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</si>
  <si>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</si>
  <si>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</si>
  <si>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</si>
  <si>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</si>
  <si>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</si>
  <si>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</si>
  <si>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</si>
  <si>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</si>
  <si>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</si>
  <si>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</si>
  <si>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</si>
  <si>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</si>
  <si>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</si>
  <si>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</si>
  <si>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</si>
  <si>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</si>
  <si>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</si>
  <si>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</si>
  <si>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</si>
  <si>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</si>
  <si>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</si>
  <si>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</si>
  <si>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</si>
  <si>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</si>
  <si>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</si>
  <si>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</si>
  <si>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</si>
  <si>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</si>
  <si>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</si>
  <si>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</si>
  <si>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</si>
  <si>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</si>
  <si>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</si>
  <si>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</si>
  <si>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</si>
  <si>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</si>
  <si>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</si>
  <si>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</si>
  <si>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</si>
  <si>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</si>
  <si>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</si>
  <si>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</si>
  <si>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</si>
  <si>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</si>
  <si>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</si>
  <si>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</si>
  <si>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</si>
  <si>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</si>
  <si>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</si>
  <si>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</si>
  <si>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</si>
  <si>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</si>
  <si>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</si>
  <si>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</si>
  <si>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</si>
  <si>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</si>
  <si>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</si>
  <si>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</si>
  <si>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</si>
  <si>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</si>
  <si>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</si>
  <si>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</si>
  <si>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</si>
  <si>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</si>
  <si>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</si>
  <si>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</si>
  <si>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</si>
  <si>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</si>
  <si>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</si>
  <si>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</si>
  <si>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</si>
  <si>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</si>
  <si>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</si>
  <si>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</si>
  <si>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</si>
  <si>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</si>
  <si>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</si>
  <si>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</si>
  <si>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</si>
  <si>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</si>
  <si>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</si>
  <si>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</si>
  <si>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</si>
  <si>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</si>
  <si>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</si>
  <si>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</si>
  <si>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</si>
  <si>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</si>
  <si>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</si>
  <si>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</si>
  <si>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</si>
  <si>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</si>
  <si>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</si>
  <si>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</si>
  <si>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</si>
  <si>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</si>
  <si>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</si>
  <si>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</si>
  <si>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</si>
  <si>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</si>
  <si>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</si>
  <si>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</si>
  <si>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</si>
  <si>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</si>
  <si>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</si>
  <si>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</si>
  <si>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</si>
  <si>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</si>
  <si>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</si>
  <si>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</si>
  <si>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</si>
  <si>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</si>
  <si>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</si>
  <si>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</si>
  <si>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</si>
  <si>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</si>
  <si>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</si>
  <si>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</si>
  <si>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</si>
  <si>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</si>
  <si>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</si>
  <si>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</si>
  <si>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</si>
  <si>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</si>
  <si>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</si>
  <si>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</si>
  <si>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</si>
  <si>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</si>
  <si>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</si>
  <si>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</si>
  <si>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</si>
  <si>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</si>
  <si>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</si>
  <si>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</si>
  <si>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</si>
  <si>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</si>
  <si>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</si>
  <si>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</si>
  <si>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</si>
  <si>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</si>
  <si>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</si>
  <si>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</si>
  <si>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</si>
  <si>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</si>
  <si>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</si>
  <si>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</si>
  <si>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</si>
  <si>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</si>
  <si>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</si>
  <si>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</si>
  <si>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</si>
  <si>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</si>
  <si>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</si>
  <si>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</si>
  <si>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</si>
  <si>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</si>
  <si>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</si>
  <si>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</si>
  <si>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</si>
  <si>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</si>
  <si>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</si>
  <si>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</si>
  <si>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</si>
  <si>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</si>
  <si>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</si>
  <si>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</si>
  <si>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</si>
  <si>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</si>
  <si>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</si>
  <si>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</si>
  <si>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</si>
  <si>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</si>
  <si>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</si>
  <si>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</si>
  <si>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</si>
  <si>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</si>
  <si>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</si>
  <si>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</si>
  <si>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</si>
  <si>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</si>
  <si>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</si>
  <si>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</si>
  <si>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</si>
  <si>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</si>
  <si>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</si>
  <si>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</si>
  <si>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</si>
  <si>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</si>
  <si>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</si>
  <si>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</si>
  <si>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</si>
  <si>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</si>
  <si>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</si>
  <si>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</si>
  <si>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</si>
  <si>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</si>
  <si>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</si>
  <si>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</si>
  <si>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</si>
  <si>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</si>
  <si>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</si>
  <si>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</si>
  <si>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</si>
  <si>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</si>
  <si>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</si>
  <si>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</si>
  <si>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</si>
  <si>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</si>
  <si>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</si>
  <si>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</si>
  <si>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</si>
  <si>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</si>
  <si>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</si>
  <si>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</si>
  <si>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</si>
  <si>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</si>
  <si>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</si>
  <si>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</si>
  <si>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</si>
  <si>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</si>
  <si>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</si>
  <si>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</si>
  <si>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</si>
  <si>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</si>
  <si>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</si>
  <si>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</si>
  <si>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</si>
  <si>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</si>
  <si>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</si>
  <si>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</si>
  <si>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</si>
  <si>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</si>
  <si>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</si>
  <si>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</si>
  <si>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</si>
  <si>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</si>
  <si>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</si>
  <si>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</si>
  <si>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</si>
  <si>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</si>
  <si>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</si>
  <si>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</si>
  <si>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</si>
  <si>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</si>
  <si>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</si>
  <si>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</si>
  <si>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</si>
  <si>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</si>
  <si>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</si>
  <si>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</si>
  <si>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</si>
  <si>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</si>
  <si>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</si>
  <si>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</si>
  <si>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</si>
  <si>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</si>
  <si>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</si>
  <si>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</si>
  <si>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</si>
  <si>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</si>
  <si>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</si>
  <si>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</si>
  <si>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</si>
  <si>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</si>
  <si>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</si>
  <si>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</si>
  <si>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</si>
  <si>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</si>
  <si>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</si>
  <si>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</si>
  <si>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</si>
  <si>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</si>
  <si>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</si>
  <si>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</si>
  <si>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</si>
  <si>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</si>
  <si>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</si>
  <si>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</si>
  <si>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</si>
  <si>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</si>
  <si>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</si>
  <si>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</si>
  <si>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</si>
  <si>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</si>
  <si>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</si>
  <si>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</si>
  <si>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</si>
  <si>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</si>
  <si>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</si>
  <si>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</si>
  <si>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</si>
  <si>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</si>
  <si>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</si>
  <si>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</si>
  <si>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</si>
  <si>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</si>
  <si>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</si>
  <si>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</si>
  <si>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</si>
  <si>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</si>
  <si>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</si>
  <si>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</si>
  <si>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</si>
  <si>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</si>
  <si>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</si>
  <si>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</si>
  <si>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</si>
  <si>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</si>
  <si>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</si>
  <si>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</si>
  <si>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</si>
  <si>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</si>
  <si>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</si>
  <si>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</si>
  <si>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</si>
  <si>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</si>
  <si>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</si>
  <si>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</si>
  <si>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</si>
  <si>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</si>
  <si>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</si>
  <si>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</si>
  <si>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</si>
  <si>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</si>
  <si>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</si>
  <si>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</si>
  <si>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</si>
  <si>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</si>
  <si>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</si>
  <si>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</si>
  <si>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</si>
  <si>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</si>
  <si>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</si>
  <si>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</si>
  <si>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</si>
  <si>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</si>
  <si>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</si>
  <si>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</si>
  <si>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</si>
  <si>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</si>
  <si>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</si>
  <si>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</si>
  <si>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</si>
  <si>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</si>
  <si>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</si>
  <si>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</si>
  <si>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</si>
  <si>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</si>
  <si>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</si>
  <si>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</si>
  <si>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</si>
  <si>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</si>
  <si>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</si>
  <si>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</si>
  <si>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</si>
  <si>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</si>
  <si>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</si>
  <si>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</si>
  <si>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</si>
  <si>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</si>
  <si>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</si>
  <si>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</si>
  <si>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</si>
  <si>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</si>
  <si>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</si>
  <si>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</si>
  <si>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</si>
  <si>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</si>
  <si>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</si>
  <si>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</si>
  <si>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</si>
  <si>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</si>
  <si>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</si>
  <si>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</si>
  <si>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</si>
  <si>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</si>
  <si>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</si>
  <si>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</si>
  <si>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</si>
  <si>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</si>
  <si>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</si>
  <si>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</si>
  <si>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</si>
  <si>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</si>
  <si>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</si>
  <si>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</si>
  <si>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</si>
  <si>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</si>
  <si>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</si>
  <si>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</si>
  <si>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</si>
  <si>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</si>
  <si>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</si>
  <si>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</si>
  <si>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</si>
  <si>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</si>
  <si>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</si>
  <si>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</si>
  <si>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</si>
  <si>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</si>
  <si>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</si>
  <si>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</si>
  <si>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</si>
  <si>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</si>
  <si>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</si>
  <si>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</si>
  <si>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</si>
  <si>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</si>
  <si>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</si>
  <si>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</si>
  <si>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</si>
  <si>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</si>
  <si>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</si>
  <si>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</si>
  <si>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</si>
  <si>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</si>
  <si>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</si>
  <si>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</si>
  <si>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</si>
  <si>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</si>
  <si>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</si>
  <si>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</si>
  <si>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</si>
  <si>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</si>
  <si>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</si>
  <si>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</si>
  <si>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</si>
  <si>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</si>
  <si>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</si>
  <si>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</si>
  <si>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</si>
  <si>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</si>
  <si>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</si>
  <si>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</si>
  <si>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</si>
  <si>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</si>
  <si>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</si>
  <si>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</si>
  <si>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</si>
  <si>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</si>
  <si>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</si>
  <si>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</si>
  <si>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</si>
  <si>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</si>
  <si>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</si>
  <si>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</si>
  <si>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</si>
  <si>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</si>
  <si>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</si>
  <si>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</si>
  <si>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</si>
  <si>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</si>
  <si>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</si>
  <si>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</si>
  <si>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</si>
  <si>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</si>
  <si>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</si>
  <si>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</si>
  <si>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</si>
  <si>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</si>
  <si>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</si>
  <si>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</si>
  <si>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</si>
  <si>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</si>
  <si>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</si>
  <si>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</si>
  <si>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</si>
  <si>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</si>
  <si>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</si>
  <si>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</si>
  <si>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</si>
  <si>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</si>
  <si>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</si>
  <si>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</si>
  <si>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</si>
  <si>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</si>
  <si>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</si>
  <si>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</si>
  <si>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</si>
  <si>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</si>
  <si>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</si>
  <si>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</si>
  <si>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</si>
  <si>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</si>
  <si>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</si>
  <si>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</si>
  <si>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</si>
  <si>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</si>
  <si>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</si>
  <si>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</si>
  <si>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</si>
  <si>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</si>
  <si>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</si>
  <si>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</si>
  <si>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</si>
  <si>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</si>
  <si>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</si>
  <si>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</si>
  <si>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</si>
  <si>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</si>
  <si>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</si>
  <si>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</si>
  <si>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</si>
  <si>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</si>
  <si>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</si>
  <si>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</si>
  <si>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</si>
  <si>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</si>
  <si>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</si>
  <si>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</si>
  <si>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</si>
  <si>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</si>
  <si>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</si>
  <si>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</si>
  <si>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</si>
  <si>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</si>
  <si>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</si>
  <si>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</si>
  <si>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</si>
  <si>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</si>
  <si>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</si>
  <si>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</si>
  <si>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</si>
  <si>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</si>
  <si>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</si>
  <si>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</si>
  <si>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</si>
  <si>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</si>
  <si>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</si>
  <si>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</si>
  <si>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</si>
  <si>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</si>
  <si>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</si>
  <si>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</si>
  <si>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</si>
  <si>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</si>
  <si>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</si>
  <si>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</si>
  <si>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</si>
  <si>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</si>
  <si>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</si>
  <si>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</si>
  <si>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</si>
  <si>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</si>
  <si>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</si>
  <si>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</si>
  <si>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</si>
  <si>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</si>
  <si>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</si>
  <si>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</si>
  <si>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</si>
  <si>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</si>
  <si>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</si>
  <si>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</si>
  <si>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</si>
  <si>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</si>
  <si>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</si>
  <si>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</si>
  <si>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</si>
  <si>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</si>
  <si>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</si>
  <si>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</si>
  <si>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</si>
  <si>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</si>
  <si>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</si>
  <si>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</si>
  <si>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</si>
  <si>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</si>
  <si>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</si>
  <si>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</si>
  <si>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</si>
  <si>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</si>
  <si>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</si>
  <si>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</si>
  <si>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</si>
  <si>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</si>
  <si>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</si>
  <si>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</si>
  <si>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</si>
  <si>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</si>
  <si>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</si>
  <si>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</si>
  <si>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</si>
  <si>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</si>
  <si>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</si>
  <si>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</si>
  <si>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</si>
  <si>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</si>
  <si>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</si>
  <si>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</si>
  <si>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</si>
  <si>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</si>
  <si>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</si>
  <si>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</si>
  <si>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</si>
  <si>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</si>
  <si>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</si>
  <si>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</si>
  <si>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</si>
  <si>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</si>
  <si>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</si>
  <si>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</si>
  <si>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</si>
  <si>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</si>
  <si>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</si>
  <si>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</si>
  <si>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</si>
  <si>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</si>
  <si>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</si>
  <si>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</si>
  <si>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</si>
  <si>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</si>
  <si>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</si>
  <si>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</si>
  <si>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</si>
  <si>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</si>
  <si>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</si>
  <si>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</si>
  <si>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</si>
  <si>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</si>
  <si>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</si>
  <si>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</si>
  <si>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</si>
  <si>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</si>
  <si>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</si>
  <si>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</si>
  <si>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</si>
  <si>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</si>
  <si>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</si>
  <si>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</si>
  <si>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</si>
  <si>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</si>
  <si>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</si>
  <si>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</si>
  <si>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</si>
  <si>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</si>
  <si>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</si>
  <si>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</si>
  <si>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</si>
  <si>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</si>
  <si>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</si>
  <si>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</si>
  <si>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</si>
  <si>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</si>
  <si>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</si>
  <si>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</si>
  <si>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</si>
  <si>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</si>
  <si>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</si>
  <si>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</si>
  <si>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</si>
  <si>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</si>
  <si>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</si>
  <si>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</si>
  <si>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</si>
  <si>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</si>
  <si>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</si>
  <si>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</si>
  <si>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</si>
  <si>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</si>
  <si>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</si>
  <si>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</si>
  <si>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</si>
  <si>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</si>
  <si>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</si>
  <si>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</si>
  <si>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</si>
  <si>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</si>
  <si>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Month</t>
  </si>
  <si>
    <t>BudgetExpense</t>
  </si>
  <si>
    <t>ActualExpense</t>
  </si>
  <si>
    <t>Jan</t>
  </si>
  <si>
    <t>Feb</t>
  </si>
  <si>
    <t>Mar</t>
  </si>
  <si>
    <t>Apr</t>
  </si>
  <si>
    <t>May</t>
  </si>
  <si>
    <t>Jun</t>
  </si>
  <si>
    <t>Jul</t>
  </si>
  <si>
    <t>Aug</t>
  </si>
  <si>
    <t>Sep</t>
  </si>
  <si>
    <t>Oct</t>
  </si>
  <si>
    <t>Nov</t>
  </si>
  <si>
    <t>Dec</t>
  </si>
  <si>
    <t>Year-Month</t>
  </si>
  <si>
    <t>Active_flag</t>
  </si>
  <si>
    <t>Sum of Revenue</t>
  </si>
  <si>
    <t>Row Labels</t>
  </si>
  <si>
    <t>Grand Total</t>
  </si>
  <si>
    <t>2025-01</t>
  </si>
  <si>
    <t>2025-02</t>
  </si>
  <si>
    <t>2025-03</t>
  </si>
  <si>
    <t>2025-04</t>
  </si>
  <si>
    <t>2025-05</t>
  </si>
  <si>
    <t>2025-06</t>
  </si>
  <si>
    <t>2025-07</t>
  </si>
  <si>
    <t>2025-08</t>
  </si>
  <si>
    <t>2025-09</t>
  </si>
  <si>
    <t>2025-10</t>
  </si>
  <si>
    <t>2025-11</t>
  </si>
  <si>
    <t>2025-12</t>
  </si>
  <si>
    <t>Column Labels</t>
  </si>
  <si>
    <t>Sum of BudgetExpense</t>
  </si>
  <si>
    <t>Average of Salary</t>
  </si>
  <si>
    <t>Min of Salary</t>
  </si>
  <si>
    <t>Max of Salary</t>
  </si>
  <si>
    <t>Count of Salary</t>
  </si>
  <si>
    <t>Blank count quality</t>
  </si>
  <si>
    <t>Blank count revenue</t>
  </si>
  <si>
    <t>Count of TransactionID</t>
  </si>
  <si>
    <t>Avg Revenue Per Transaton</t>
  </si>
  <si>
    <t>Attrition Rate</t>
  </si>
  <si>
    <t>Sum of ActualExpense</t>
  </si>
  <si>
    <t>Active Employee</t>
  </si>
  <si>
    <t>Sum of Active_flag</t>
  </si>
  <si>
    <t>Count of EmployeeID</t>
  </si>
  <si>
    <t>Total Sum of BudgetExpense</t>
  </si>
  <si>
    <t>Total Sum of ActualExpense</t>
  </si>
  <si>
    <t>Total Varions %</t>
  </si>
  <si>
    <t>Varions %</t>
  </si>
  <si>
    <t>Total Revenue</t>
  </si>
  <si>
    <t>Total Transation</t>
  </si>
  <si>
    <t>1. TOP REVENUE DRIVER</t>
  </si>
  <si>
    <t>This indicates that Eletronics is the primery revenue drive of the business. The company should prioritize inventory avalibility, supplier relationship,and promotions</t>
  </si>
  <si>
    <t>campaigns for Electronics products</t>
  </si>
  <si>
    <t>2. REGIONAL PERFORMANCE</t>
  </si>
  <si>
    <t xml:space="preserve">3. ATTRITION RISK </t>
  </si>
  <si>
    <t>costs. HR should focus on employee engagement ,career development,and retention programs.</t>
  </si>
  <si>
    <t>4. BUDGET DISCIPLINE</t>
  </si>
  <si>
    <t>tracking should be implemented to improve financial control</t>
  </si>
  <si>
    <t>5. SALES TREND &amp; SEASONALITY</t>
  </si>
  <si>
    <t>declining slightly towards year-end .inventory and staffing levels should be increased before peak months</t>
  </si>
  <si>
    <t>6. CORRELATION BETWEEN UNIT PRICE &amp; REVENUE</t>
  </si>
  <si>
    <t xml:space="preserve">The scatter plot indicates a weak positive relationship between unit price and revenue. Highest-priced products do not always genrate hoghest revenue .Product demand and </t>
  </si>
  <si>
    <t>sales volume appear to have  stronger influence on revenue than price alone</t>
  </si>
  <si>
    <r>
      <t xml:space="preserve">Electronics is the highest revenue-generation category with revenue of approximately </t>
    </r>
    <r>
      <rPr>
        <b/>
        <sz val="14"/>
        <color theme="1"/>
        <rFont val="Calibri"/>
        <family val="2"/>
        <scheme val="minor"/>
      </rPr>
      <t>$6.13</t>
    </r>
    <r>
      <rPr>
        <sz val="14"/>
        <color theme="1"/>
        <rFont val="Calibri"/>
        <family val="2"/>
        <scheme val="minor"/>
      </rPr>
      <t xml:space="preserve"> </t>
    </r>
    <r>
      <rPr>
        <b/>
        <sz val="14"/>
        <color theme="1"/>
        <rFont val="Calibri"/>
        <family val="2"/>
        <scheme val="minor"/>
      </rPr>
      <t>million</t>
    </r>
    <r>
      <rPr>
        <sz val="14"/>
        <color theme="1"/>
        <rFont val="Calibri"/>
        <family val="2"/>
        <scheme val="minor"/>
      </rPr>
      <t>,contribuing around 30.3% of total revenue (</t>
    </r>
    <r>
      <rPr>
        <b/>
        <sz val="14"/>
        <color theme="1"/>
        <rFont val="Calibri"/>
        <family val="2"/>
        <scheme val="minor"/>
      </rPr>
      <t>20.26 million</t>
    </r>
    <r>
      <rPr>
        <sz val="14"/>
        <color theme="1"/>
        <rFont val="Calibri"/>
        <family val="2"/>
        <scheme val="minor"/>
      </rPr>
      <t xml:space="preserve"> ) </t>
    </r>
  </si>
  <si>
    <r>
      <t>The Central Region is the best performing region with revenue of approximately</t>
    </r>
    <r>
      <rPr>
        <b/>
        <sz val="14"/>
        <color theme="1"/>
        <rFont val="Calibri"/>
        <family val="2"/>
        <scheme val="minor"/>
      </rPr>
      <t xml:space="preserve"> $4.39 million</t>
    </r>
    <r>
      <rPr>
        <sz val="14"/>
        <color theme="1"/>
        <rFont val="Calibri"/>
        <family val="2"/>
        <scheme val="minor"/>
      </rPr>
      <t xml:space="preserve"> ,while the North Region is the weakest with revenue of approximately </t>
    </r>
  </si>
  <si>
    <r>
      <rPr>
        <b/>
        <sz val="14"/>
        <color theme="1"/>
        <rFont val="Calibri"/>
        <family val="2"/>
        <scheme val="minor"/>
      </rPr>
      <t>$3.79 millio</t>
    </r>
    <r>
      <rPr>
        <sz val="14"/>
        <color theme="1"/>
        <rFont val="Calibri"/>
        <family val="2"/>
        <scheme val="minor"/>
      </rPr>
      <t>n. Marketing efforts and localized promotions should be increased in the North region to improve sales performance.</t>
    </r>
  </si>
  <si>
    <r>
      <t xml:space="preserve">The HR Deparment has the highest attrition rate at </t>
    </r>
    <r>
      <rPr>
        <b/>
        <sz val="14"/>
        <color theme="1"/>
        <rFont val="Calibri"/>
        <family val="2"/>
        <scheme val="minor"/>
      </rPr>
      <t>26.67%</t>
    </r>
    <r>
      <rPr>
        <sz val="14"/>
        <color theme="1"/>
        <rFont val="Calibri"/>
        <family val="2"/>
        <scheme val="minor"/>
      </rPr>
      <t>. Based on the average salery (</t>
    </r>
    <r>
      <rPr>
        <b/>
        <sz val="14"/>
        <color theme="1"/>
        <rFont val="Calibri"/>
        <family val="2"/>
        <scheme val="minor"/>
      </rPr>
      <t>51,826</t>
    </r>
    <r>
      <rPr>
        <sz val="14"/>
        <color theme="1"/>
        <rFont val="Calibri"/>
        <family val="2"/>
        <scheme val="minor"/>
      </rPr>
      <t>),employee turnover can lead to significant recruitment and training</t>
    </r>
  </si>
  <si>
    <r>
      <t xml:space="preserve">The IT Department shows the highest average budget variance (around </t>
    </r>
    <r>
      <rPr>
        <b/>
        <sz val="14"/>
        <color theme="1"/>
        <rFont val="Calibri"/>
        <family val="2"/>
        <scheme val="minor"/>
      </rPr>
      <t>10.6%</t>
    </r>
    <r>
      <rPr>
        <sz val="14"/>
        <color theme="1"/>
        <rFont val="Calibri"/>
        <family val="2"/>
        <scheme val="minor"/>
      </rPr>
      <t xml:space="preserve">),indicating freqent budget overruns. Monthly budget revies,spending approvls and variance </t>
    </r>
  </si>
  <si>
    <r>
      <t>Revenue peaked during July 2025 (</t>
    </r>
    <r>
      <rPr>
        <b/>
        <sz val="14"/>
        <color theme="1"/>
        <rFont val="Calibri"/>
        <family val="2"/>
        <scheme val="minor"/>
      </rPr>
      <t>2.03 million</t>
    </r>
    <r>
      <rPr>
        <sz val="14"/>
        <color theme="1"/>
        <rFont val="Calibri"/>
        <family val="2"/>
        <scheme val="minor"/>
      </rPr>
      <t xml:space="preserve">) and reached its lowest level in January 2025 </t>
    </r>
    <r>
      <rPr>
        <b/>
        <sz val="14"/>
        <color theme="1"/>
        <rFont val="Calibri"/>
        <family val="2"/>
        <scheme val="minor"/>
      </rPr>
      <t>(1.86 million</t>
    </r>
    <r>
      <rPr>
        <sz val="14"/>
        <color theme="1"/>
        <rFont val="Calibri"/>
        <family val="2"/>
        <scheme val="minor"/>
      </rPr>
      <t>). Revenue genrally increased during the middile of the year before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</si>
</sst>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numFmt numFmtId="165" formatCode="_ [$₹-4009]\ * #,##0.00_ ;_ [$₹-4009]\ * \-#,##0.00_ ;_ [$₹-4009]\ * &quot;-&quot;??_ ;_ @_ "/>
    <numFmt numFmtId="166" formatCode="0.00%;\-0.00%;0.00%"/>
    <numFmt numFmtId="167" formatCode="&quot;₹&quot;\ #,##0.00"/>
  </numFmts>
  <fonts count="10" x14ac:knownFonts="1">
    <font>
      <sz val="11"/>
      <color theme="1"/>
      <name val="Calibri"/>
      <family val="2"/>
      <scheme val="minor"/>
    </font>
    <font>
      <b/>
      <sz val="11"/>
      <name val="Calibri"/>
    </font>
    <font>
      <sz val="8"/>
      <name val="Calibri"/>
      <family val="2"/>
      <scheme val="minor"/>
    </font>
    <font>
      <sz val="11"/>
      <color theme="1"/>
      <name val="Calibri"/>
      <family val="2"/>
      <scheme val="minor"/>
    </font>
    <font>
      <sz val="36"/>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0" fontId="1" fillId="0" borderId="0" xfId="0"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44" fontId="0" fillId="0" borderId="0" xfId="1" applyFont="1"/>
    <xf numFmtId="0" fontId="0" fillId="2" borderId="0" xfId="0" applyFill="1"/>
    <xf numFmtId="0" fontId="4" fillId="2" borderId="0" xfId="0" applyFont="1" applyFill="1"/>
    <xf numFmtId="1" fontId="0" fillId="0" borderId="0" xfId="0" applyNumberFormat="1"/>
    <xf numFmtId="166" fontId="0" fillId="0" borderId="0" xfId="0" applyNumberFormat="1"/>
    <xf numFmtId="167" fontId="0" fillId="0" borderId="0" xfId="0" applyNumberFormat="1"/>
    <xf numFmtId="4" fontId="0" fillId="0" borderId="0" xfId="0" applyNumberFormat="1"/>
    <xf numFmtId="0" fontId="5" fillId="0" borderId="0" xfId="0" applyFont="1"/>
    <xf numFmtId="0" fontId="0" fillId="0" borderId="0" xfId="0" applyAlignment="1">
      <alignment wrapText="1"/>
    </xf>
    <xf numFmtId="0" fontId="5" fillId="0" borderId="0" xfId="0" applyFont="1" applyAlignment="1">
      <alignment wrapText="1"/>
    </xf>
    <xf numFmtId="0" fontId="9" fillId="0" borderId="0" xfId="0" applyFont="1"/>
    <xf numFmtId="0" fontId="8" fillId="0" borderId="0" xfId="0" applyFont="1" applyAlignment="1">
      <alignment wrapText="1"/>
    </xf>
    <xf numFmtId="0" fontId="7" fillId="0" borderId="0" xfId="0" applyFont="1"/>
  </cellXfs>
  <cellStyles count="2">
    <cellStyle name="Currency" xfId="1" builtinId="4"/>
    <cellStyle name="Normal" xfId="0" builtinId="0"/>
  </cellStyles>
  <dxfs count="23">
    <dxf>
      <numFmt numFmtId="0" formatCode="General"/>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9" formatCode="dd/mm/yyyy"/>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ivotTable" Target="pivotTables/pivotTable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3.xml"/><Relationship Id="rId30" Type="http://schemas.openxmlformats.org/officeDocument/2006/relationships/pivotTable" Target="pivotTables/pivotTabl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openxmlformats.org/officeDocument/2006/relationships/pivotTable" Target="pivotTables/pivotTable4.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pivotCacheDefinition" Target="pivotCache/pivotCacheDefinition14.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Table" Target="pivotTables/pivotTabl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alcChain" Target="calcChai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Fashion</c:v>
              </c:pt>
              <c:pt idx="1">
                <c:v>Grocery</c:v>
              </c:pt>
              <c:pt idx="2">
                <c:v>Furniture</c:v>
              </c:pt>
              <c:pt idx="3">
                <c:v>Sports</c:v>
              </c:pt>
              <c:pt idx="4">
                <c:v>Electronics</c:v>
              </c:pt>
            </c:strLit>
          </c:cat>
          <c:val>
            <c:numLit>
              <c:formatCode>General</c:formatCode>
              <c:ptCount val="5"/>
              <c:pt idx="0">
                <c:v>26086994</c:v>
              </c:pt>
              <c:pt idx="1">
                <c:v>32676456</c:v>
              </c:pt>
              <c:pt idx="2">
                <c:v>39537981</c:v>
              </c:pt>
              <c:pt idx="3">
                <c:v>42911204</c:v>
              </c:pt>
              <c:pt idx="4">
                <c:v>61391040</c:v>
              </c:pt>
            </c:numLit>
          </c:val>
          <c:extLst>
            <c:ext xmlns:c16="http://schemas.microsoft.com/office/drawing/2014/chart" uri="{C3380CC4-5D6E-409C-BE32-E72D297353CC}">
              <c16:uniqueId val="{00000000-16ED-4587-8000-F5105FE41F8B}"/>
            </c:ext>
          </c:extLst>
        </c:ser>
        <c:dLbls>
          <c:dLblPos val="outEnd"/>
          <c:showLegendKey val="0"/>
          <c:showVal val="1"/>
          <c:showCatName val="0"/>
          <c:showSerName val="0"/>
          <c:showPercent val="0"/>
          <c:showBubbleSize val="0"/>
        </c:dLbls>
        <c:gapWidth val="115"/>
        <c:overlap val="-20"/>
        <c:axId val="701985184"/>
        <c:axId val="701974064"/>
      </c:barChart>
      <c:catAx>
        <c:axId val="701985184"/>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974064"/>
        <c:crosses val="autoZero"/>
        <c:auto val="1"/>
        <c:lblAlgn val="ctr"/>
        <c:lblOffset val="100"/>
        <c:noMultiLvlLbl val="0"/>
        <c:extLst>
          <c:ext xmlns:c15="http://schemas.microsoft.com/office/drawing/2012/chart" uri="{F40574EE-89B7-4290-83BB-5DA773EAF853}">
            <c15:numFmt c:formatCode="General" c:sourceLinked="1"/>
          </c:ext>
        </c:extLst>
      </c:catAx>
      <c:valAx>
        <c:axId val="701974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98518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[HRUDHUN S - VelocityRetail_Final_Project.xlsx]PivotChartTable1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Lit>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Lit>
          </c:cat>
          <c:val>
            <c:numLit>
              <c:formatCode>General</c:formatCode>
              <c:ptCount val="12"/>
              <c:pt idx="0">
                <c:v>18629446</c:v>
              </c:pt>
              <c:pt idx="1">
                <c:v>16608397</c:v>
              </c:pt>
              <c:pt idx="2">
                <c:v>15174757</c:v>
              </c:pt>
              <c:pt idx="3">
                <c:v>13108190</c:v>
              </c:pt>
              <c:pt idx="4">
                <c:v>15965173</c:v>
              </c:pt>
              <c:pt idx="5">
                <c:v>16297022</c:v>
              </c:pt>
              <c:pt idx="6">
                <c:v>16948686</c:v>
              </c:pt>
              <c:pt idx="7">
                <c:v>18270741</c:v>
              </c:pt>
              <c:pt idx="8">
                <c:v>19450485</c:v>
              </c:pt>
              <c:pt idx="9">
                <c:v>20228686</c:v>
              </c:pt>
              <c:pt idx="10">
                <c:v>17816857</c:v>
              </c:pt>
              <c:pt idx="11">
                <c:v>14105235</c:v>
              </c:pt>
            </c:numLit>
          </c:val>
          <c:smooth val="0"/>
          <c:extLst>
            <c:ext xmlns:c16="http://schemas.microsoft.com/office/drawing/2014/chart" uri="{C3380CC4-5D6E-409C-BE32-E72D297353CC}">
              <c16:uniqueId val="{00000000-0DD1-49FE-8812-127B208CB1D6}"/>
            </c:ext>
          </c:extLst>
        </c:ser>
        <c:dLbls>
          <c:showLegendKey val="0"/>
          <c:showVal val="0"/>
          <c:showCatName val="0"/>
          <c:showSerName val="0"/>
          <c:showPercent val="0"/>
          <c:showBubbleSize val="0"/>
        </c:dLbls>
        <c:marker val="1"/>
        <c:smooth val="0"/>
        <c:axId val="691555760"/>
        <c:axId val="691553360"/>
      </c:lineChart>
      <c:catAx>
        <c:axId val="691555760"/>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553360"/>
        <c:crosses val="autoZero"/>
        <c:auto val="1"/>
        <c:lblAlgn val="ctr"/>
        <c:lblOffset val="100"/>
        <c:noMultiLvlLbl val="0"/>
        <c:extLst>
          <c:ext xmlns:c15="http://schemas.microsoft.com/office/drawing/2012/chart" uri="{F40574EE-89B7-4290-83BB-5DA773EAF853}">
            <c15:numFmt c:formatCode="General" c:sourceLinked="1"/>
          </c:ext>
        </c:extLst>
      </c:catAx>
      <c:valAx>
        <c:axId val="691553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55576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[HRUDHUN S - VelocityRetail_Final_Project.xlsx]PivotChartTable2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a:p>
            <a:pPr>
              <a:defRPr/>
            </a:pPr>
            <a:endParaRPr lang="en-US"/>
          </a:p>
        </c:rich>
      </c:tx>
      <c:layout>
        <c:manualLayout>
          <c:xMode val="edge"/>
          <c:yMode val="edge"/>
          <c:x val="0.23235870213507298"/>
          <c:y val="1.71428648561821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52-4CB0-921B-A6E4E72955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52-4CB0-921B-A6E4E72955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52-4CB0-921B-A6E4E72955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452-4CB0-921B-A6E4E72955D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452-4CB0-921B-A6E4E72955D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Central</c:v>
              </c:pt>
              <c:pt idx="1">
                <c:v>East</c:v>
              </c:pt>
              <c:pt idx="2">
                <c:v>North</c:v>
              </c:pt>
              <c:pt idx="3">
                <c:v>South</c:v>
              </c:pt>
              <c:pt idx="4">
                <c:v>West</c:v>
              </c:pt>
            </c:strLit>
          </c:cat>
          <c:val>
            <c:numLit>
              <c:formatCode>0</c:formatCode>
              <c:ptCount val="5"/>
              <c:pt idx="0">
                <c:v>43894877</c:v>
              </c:pt>
              <c:pt idx="1">
                <c:v>39795962</c:v>
              </c:pt>
              <c:pt idx="2">
                <c:v>37107887</c:v>
              </c:pt>
              <c:pt idx="3">
                <c:v>41036357</c:v>
              </c:pt>
              <c:pt idx="4">
                <c:v>40768592</c:v>
              </c:pt>
            </c:numLit>
          </c:val>
          <c:extLst>
            <c:ext xmlns:c16="http://schemas.microsoft.com/office/drawing/2014/chart" uri="{C3380CC4-5D6E-409C-BE32-E72D297353CC}">
              <c16:uniqueId val="{00000002-68E1-4484-BA5B-DD743362ACD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[HRUDHUN S - VelocityRetail_Final_Project.xlsx]PivotChartTable3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HEADCOUND</a:t>
            </a:r>
            <a:r>
              <a:rPr lang="en-IN" sz="1400" baseline="0"/>
              <a:t> BY DEPARTMENT &amp; STATUS</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Active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5"/>
              <c:pt idx="0">
                <c:v>Finance</c:v>
              </c:pt>
              <c:pt idx="1">
                <c:v>HR</c:v>
              </c:pt>
              <c:pt idx="2">
                <c:v>IT</c:v>
              </c:pt>
              <c:pt idx="3">
                <c:v>Operations</c:v>
              </c:pt>
              <c:pt idx="4">
                <c:v>Sales</c:v>
              </c:pt>
            </c:strLit>
          </c:cat>
          <c:val>
            <c:numLit>
              <c:formatCode>0</c:formatCode>
              <c:ptCount val="5"/>
              <c:pt idx="0">
                <c:v>22</c:v>
              </c:pt>
              <c:pt idx="1">
                <c:v>22</c:v>
              </c:pt>
              <c:pt idx="2">
                <c:v>23</c:v>
              </c:pt>
              <c:pt idx="3">
                <c:v>23</c:v>
              </c:pt>
              <c:pt idx="4">
                <c:v>23</c:v>
              </c:pt>
            </c:numLit>
          </c:val>
          <c:extLst>
            <c:ext xmlns:c16="http://schemas.microsoft.com/office/drawing/2014/chart" uri="{C3380CC4-5D6E-409C-BE32-E72D297353CC}">
              <c16:uniqueId val="{00000000-15D9-40EE-8350-25FE66E485D6}"/>
            </c:ext>
          </c:extLst>
        </c:ser>
        <c:ser>
          <c:idx val="1"/>
          <c:order val="1"/>
          <c:tx>
            <c:v>Left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5"/>
              <c:pt idx="0">
                <c:v>Finance</c:v>
              </c:pt>
              <c:pt idx="1">
                <c:v>HR</c:v>
              </c:pt>
              <c:pt idx="2">
                <c:v>IT</c:v>
              </c:pt>
              <c:pt idx="3">
                <c:v>Operations</c:v>
              </c:pt>
              <c:pt idx="4">
                <c:v>Sales</c:v>
              </c:pt>
            </c:strLit>
          </c:cat>
          <c:val>
            <c:numLit>
              <c:formatCode>0</c:formatCode>
              <c:ptCount val="5"/>
              <c:pt idx="0">
                <c:v>22</c:v>
              </c:pt>
              <c:pt idx="1">
                <c:v>22</c:v>
              </c:pt>
              <c:pt idx="2">
                <c:v>23</c:v>
              </c:pt>
              <c:pt idx="3">
                <c:v>23</c:v>
              </c:pt>
              <c:pt idx="4">
                <c:v>23</c:v>
              </c:pt>
            </c:numLit>
          </c:val>
          <c:extLst>
            <c:ext xmlns:c16="http://schemas.microsoft.com/office/drawing/2014/chart" uri="{C3380CC4-5D6E-409C-BE32-E72D297353CC}">
              <c16:uniqueId val="{00000001-15D9-40EE-8350-25FE66E485D6}"/>
            </c:ext>
          </c:extLst>
        </c:ser>
        <c:dLbls>
          <c:showLegendKey val="0"/>
          <c:showVal val="0"/>
          <c:showCatName val="0"/>
          <c:showSerName val="0"/>
          <c:showPercent val="0"/>
          <c:showBubbleSize val="0"/>
        </c:dLbls>
        <c:gapWidth val="150"/>
        <c:shape val="box"/>
        <c:axId val="1673943071"/>
        <c:axId val="1673934911"/>
        <c:axId val="0"/>
      </c:bar3DChart>
      <c:catAx>
        <c:axId val="1673943071"/>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934911"/>
        <c:crosses val="autoZero"/>
        <c:auto val="1"/>
        <c:lblAlgn val="ctr"/>
        <c:lblOffset val="100"/>
        <c:noMultiLvlLbl val="0"/>
        <c:extLst>
          <c:ext xmlns:c15="http://schemas.microsoft.com/office/drawing/2012/chart" uri="{F40574EE-89B7-4290-83BB-5DA773EAF853}">
            <c15:numFmt c:formatCode="General" c:sourceLinked="1"/>
          </c:ext>
        </c:extLst>
      </c:catAx>
      <c:valAx>
        <c:axId val="1673934911"/>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943071"/>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[HRUDHUN S - VelocityRetail_Final_Project.xlsx]PivotChartTable5</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PRICE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UNIT PRIC VS REVENUE</c:v>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'Products (2)'!$D:$D</c:f>
              <c:strCache>
                <c:ptCount val="31"/>
                <c:pt idx="0">
                  <c:v> UnitPrice </c:v>
                </c:pt>
                <c:pt idx="1">
                  <c:v> ₹ 11,815.00 </c:v>
                </c:pt>
                <c:pt idx="2">
                  <c:v> ₹ 26,133.00 </c:v>
                </c:pt>
                <c:pt idx="3">
                  <c:v> ₹ 4,516.00 </c:v>
                </c:pt>
                <c:pt idx="4">
                  <c:v> ₹ 30,177.00 </c:v>
                </c:pt>
                <c:pt idx="5">
                  <c:v> ₹ 31,962.00 </c:v>
                </c:pt>
                <c:pt idx="6">
                  <c:v> ₹ 42,159.00 </c:v>
                </c:pt>
                <c:pt idx="7">
                  <c:v> ₹ 15,209.00 </c:v>
                </c:pt>
                <c:pt idx="8">
                  <c:v> ₹ 6,069.00 </c:v>
                </c:pt>
                <c:pt idx="9">
                  <c:v> ₹ 18,243.00 </c:v>
                </c:pt>
                <c:pt idx="10">
                  <c:v> ₹ 37,684.00 </c:v>
                </c:pt>
                <c:pt idx="11">
                  <c:v> ₹ 42,644.00 </c:v>
                </c:pt>
                <c:pt idx="12">
                  <c:v> ₹ 29,966.00 </c:v>
                </c:pt>
                <c:pt idx="13">
                  <c:v> ₹ 36,253.00 </c:v>
                </c:pt>
                <c:pt idx="14">
                  <c:v> ₹ 49,460.00 </c:v>
                </c:pt>
                <c:pt idx="15">
                  <c:v> ₹ 1,953.00 </c:v>
                </c:pt>
                <c:pt idx="16">
                  <c:v> ₹ 48,288.00 </c:v>
                </c:pt>
                <c:pt idx="17">
                  <c:v> ₹ 21,262.00 </c:v>
                </c:pt>
                <c:pt idx="18">
                  <c:v> ₹ 37,825.00 </c:v>
                </c:pt>
                <c:pt idx="19">
                  <c:v> ₹ 7,826.00 </c:v>
                </c:pt>
                <c:pt idx="20">
                  <c:v> ₹ 22,062.00 </c:v>
                </c:pt>
                <c:pt idx="21">
                  <c:v> ₹ 45,514.00 </c:v>
                </c:pt>
                <c:pt idx="22">
                  <c:v> ₹ 31,439.00 </c:v>
                </c:pt>
                <c:pt idx="23">
                  <c:v> ₹ 4,208.00 </c:v>
                </c:pt>
                <c:pt idx="24">
                  <c:v> ₹ 11,415.00 </c:v>
                </c:pt>
                <c:pt idx="25">
                  <c:v> ₹ 48,789.00 </c:v>
                </c:pt>
                <c:pt idx="26">
                  <c:v> ₹ 48,106.00 </c:v>
                </c:pt>
                <c:pt idx="27">
                  <c:v> ₹ 25,016.00 </c:v>
                </c:pt>
                <c:pt idx="28">
                  <c:v> ₹ 8,768.00 </c:v>
                </c:pt>
                <c:pt idx="29">
                  <c:v> ₹ 545.00 </c:v>
                </c:pt>
                <c:pt idx="30">
                  <c:v> ₹ 21,616.00 </c:v>
                </c:pt>
              </c:strCache>
            </c:strRef>
          </c:xVal>
          <c:yVal>
            <c:numRef>
              <c:f>'Sales_Data (2)'!$G$2:$G$1501</c:f>
              <c:numCache>
                <c:formatCode>_ [$₹-4009]\ * #,##0.00_ ;_ [$₹-4009]\ * \-#,##0.00_ ;_ [$₹-4009]\ * "-"??_ ;_ @_ </c:formatCode>
                <c:ptCount val="1500"/>
                <c:pt idx="0">
                  <c:v>79905</c:v>
                </c:pt>
                <c:pt idx="1">
                  <c:v>94520</c:v>
                </c:pt>
                <c:pt idx="2">
                  <c:v>301472</c:v>
                </c:pt>
                <c:pt idx="3">
                  <c:v>35445</c:v>
                </c:pt>
                <c:pt idx="4">
                  <c:v>29966</c:v>
                </c:pt>
                <c:pt idx="5">
                  <c:v>23478</c:v>
                </c:pt>
                <c:pt idx="6">
                  <c:v>98920</c:v>
                </c:pt>
                <c:pt idx="7">
                  <c:v>378250</c:v>
                </c:pt>
                <c:pt idx="8">
                  <c:v>301472</c:v>
                </c:pt>
                <c:pt idx="9">
                  <c:v>4905</c:v>
                </c:pt>
                <c:pt idx="10">
                  <c:v>9032</c:v>
                </c:pt>
                <c:pt idx="11">
                  <c:v>298508</c:v>
                </c:pt>
                <c:pt idx="12">
                  <c:v>148834</c:v>
                </c:pt>
                <c:pt idx="13">
                  <c:v>168636</c:v>
                </c:pt>
                <c:pt idx="14">
                  <c:v>253771</c:v>
                </c:pt>
                <c:pt idx="15">
                  <c:v>26304</c:v>
                </c:pt>
                <c:pt idx="16">
                  <c:v>66186</c:v>
                </c:pt>
                <c:pt idx="17">
                  <c:v>384848</c:v>
                </c:pt>
                <c:pt idx="18">
                  <c:v>156798</c:v>
                </c:pt>
                <c:pt idx="19">
                  <c:v>172928</c:v>
                </c:pt>
                <c:pt idx="20">
                  <c:v>156798</c:v>
                </c:pt>
                <c:pt idx="21">
                  <c:v>87680</c:v>
                </c:pt>
                <c:pt idx="22">
                  <c:v>150096</c:v>
                </c:pt>
                <c:pt idx="23">
                  <c:v>148834</c:v>
                </c:pt>
                <c:pt idx="24">
                  <c:v>45660</c:v>
                </c:pt>
                <c:pt idx="25">
                  <c:v>146367</c:v>
                </c:pt>
                <c:pt idx="26">
                  <c:v>148834</c:v>
                </c:pt>
                <c:pt idx="27">
                  <c:v>150736</c:v>
                </c:pt>
                <c:pt idx="28">
                  <c:v>227570</c:v>
                </c:pt>
                <c:pt idx="29">
                  <c:v>48288</c:v>
                </c:pt>
                <c:pt idx="30">
                  <c:v>25016</c:v>
                </c:pt>
                <c:pt idx="31">
                  <c:v>326277</c:v>
                </c:pt>
                <c:pt idx="32">
                  <c:v>15652</c:v>
                </c:pt>
                <c:pt idx="33">
                  <c:v>40644</c:v>
                </c:pt>
                <c:pt idx="34">
                  <c:v>54729</c:v>
                </c:pt>
                <c:pt idx="35">
                  <c:v>37872</c:v>
                </c:pt>
                <c:pt idx="36">
                  <c:v>240530</c:v>
                </c:pt>
                <c:pt idx="37">
                  <c:v>89898</c:v>
                </c:pt>
                <c:pt idx="38">
                  <c:v>63924</c:v>
                </c:pt>
                <c:pt idx="39">
                  <c:v>15652</c:v>
                </c:pt>
                <c:pt idx="40">
                  <c:v>261330</c:v>
                </c:pt>
                <c:pt idx="41">
                  <c:v>13671</c:v>
                </c:pt>
                <c:pt idx="42">
                  <c:v>395680</c:v>
                </c:pt>
                <c:pt idx="43">
                  <c:v>220073</c:v>
                </c:pt>
                <c:pt idx="44">
                  <c:v>8768</c:v>
                </c:pt>
                <c:pt idx="45">
                  <c:v>18064</c:v>
                </c:pt>
                <c:pt idx="46">
                  <c:v>17577</c:v>
                </c:pt>
                <c:pt idx="47">
                  <c:v>42644</c:v>
                </c:pt>
                <c:pt idx="48">
                  <c:v>152090</c:v>
                </c:pt>
                <c:pt idx="49">
                  <c:v>12138</c:v>
                </c:pt>
                <c:pt idx="50">
                  <c:v>25248</c:v>
                </c:pt>
                <c:pt idx="51">
                  <c:v>127932</c:v>
                </c:pt>
                <c:pt idx="52">
                  <c:v>198558</c:v>
                </c:pt>
                <c:pt idx="53">
                  <c:v>52266</c:v>
                </c:pt>
                <c:pt idx="54">
                  <c:v>200128</c:v>
                </c:pt>
                <c:pt idx="55">
                  <c:v>12624</c:v>
                </c:pt>
                <c:pt idx="56">
                  <c:v>421590</c:v>
                </c:pt>
                <c:pt idx="57">
                  <c:v>200128</c:v>
                </c:pt>
                <c:pt idx="58">
                  <c:v>89898</c:v>
                </c:pt>
                <c:pt idx="59">
                  <c:v>253771</c:v>
                </c:pt>
                <c:pt idx="60">
                  <c:v>82705</c:v>
                </c:pt>
                <c:pt idx="61">
                  <c:v>150096</c:v>
                </c:pt>
                <c:pt idx="62">
                  <c:v>220620</c:v>
                </c:pt>
                <c:pt idx="63">
                  <c:v>197840</c:v>
                </c:pt>
                <c:pt idx="64">
                  <c:v>395680</c:v>
                </c:pt>
                <c:pt idx="65">
                  <c:v>91320</c:v>
                </c:pt>
                <c:pt idx="66">
                  <c:v>96212</c:v>
                </c:pt>
                <c:pt idx="67">
                  <c:v>68490</c:v>
                </c:pt>
                <c:pt idx="68">
                  <c:v>36486</c:v>
                </c:pt>
                <c:pt idx="69">
                  <c:v>76045</c:v>
                </c:pt>
                <c:pt idx="70">
                  <c:v>243945</c:v>
                </c:pt>
                <c:pt idx="71">
                  <c:v>409626</c:v>
                </c:pt>
                <c:pt idx="72">
                  <c:v>8416</c:v>
                </c:pt>
                <c:pt idx="73">
                  <c:v>164187</c:v>
                </c:pt>
                <c:pt idx="74">
                  <c:v>5450</c:v>
                </c:pt>
                <c:pt idx="75">
                  <c:v>16832</c:v>
                </c:pt>
                <c:pt idx="76">
                  <c:v>75650</c:v>
                </c:pt>
                <c:pt idx="77">
                  <c:v>70144</c:v>
                </c:pt>
                <c:pt idx="78">
                  <c:v>251512</c:v>
                </c:pt>
                <c:pt idx="79">
                  <c:v>45627</c:v>
                </c:pt>
                <c:pt idx="80">
                  <c:v>29966</c:v>
                </c:pt>
                <c:pt idx="81">
                  <c:v>30418</c:v>
                </c:pt>
                <c:pt idx="82">
                  <c:v>247300</c:v>
                </c:pt>
                <c:pt idx="83">
                  <c:v>15209</c:v>
                </c:pt>
                <c:pt idx="84">
                  <c:v>62608</c:v>
                </c:pt>
                <c:pt idx="85">
                  <c:v>481060</c:v>
                </c:pt>
                <c:pt idx="86">
                  <c:v>110310</c:v>
                </c:pt>
                <c:pt idx="87">
                  <c:v>132372</c:v>
                </c:pt>
                <c:pt idx="88">
                  <c:v>48552</c:v>
                </c:pt>
                <c:pt idx="89">
                  <c:v>63924</c:v>
                </c:pt>
                <c:pt idx="90">
                  <c:v>243945</c:v>
                </c:pt>
                <c:pt idx="91">
                  <c:v>113475</c:v>
                </c:pt>
                <c:pt idx="92">
                  <c:v>108080</c:v>
                </c:pt>
                <c:pt idx="93">
                  <c:v>253771</c:v>
                </c:pt>
                <c:pt idx="94">
                  <c:v>149830</c:v>
                </c:pt>
                <c:pt idx="95">
                  <c:v>106335</c:v>
                </c:pt>
                <c:pt idx="96">
                  <c:v>301770</c:v>
                </c:pt>
                <c:pt idx="97">
                  <c:v>45660</c:v>
                </c:pt>
                <c:pt idx="98">
                  <c:v>127572</c:v>
                </c:pt>
                <c:pt idx="99">
                  <c:v>78399</c:v>
                </c:pt>
                <c:pt idx="100">
                  <c:v>3906</c:v>
                </c:pt>
                <c:pt idx="101">
                  <c:v>263788</c:v>
                </c:pt>
                <c:pt idx="102">
                  <c:v>288636</c:v>
                </c:pt>
                <c:pt idx="103">
                  <c:v>7812</c:v>
                </c:pt>
                <c:pt idx="104">
                  <c:v>261330</c:v>
                </c:pt>
                <c:pt idx="105">
                  <c:v>96212</c:v>
                </c:pt>
                <c:pt idx="106">
                  <c:v>108080</c:v>
                </c:pt>
                <c:pt idx="107">
                  <c:v>318598</c:v>
                </c:pt>
                <c:pt idx="108">
                  <c:v>85288</c:v>
                </c:pt>
                <c:pt idx="109">
                  <c:v>263788</c:v>
                </c:pt>
                <c:pt idx="110">
                  <c:v>33664</c:v>
                </c:pt>
                <c:pt idx="111">
                  <c:v>94317</c:v>
                </c:pt>
                <c:pt idx="112">
                  <c:v>298508</c:v>
                </c:pt>
                <c:pt idx="113">
                  <c:v>3906</c:v>
                </c:pt>
                <c:pt idx="114">
                  <c:v>336742</c:v>
                </c:pt>
                <c:pt idx="115">
                  <c:v>383796</c:v>
                </c:pt>
                <c:pt idx="116">
                  <c:v>383796</c:v>
                </c:pt>
                <c:pt idx="117">
                  <c:v>48789</c:v>
                </c:pt>
                <c:pt idx="118">
                  <c:v>210795</c:v>
                </c:pt>
                <c:pt idx="119">
                  <c:v>75048</c:v>
                </c:pt>
                <c:pt idx="120">
                  <c:v>8768</c:v>
                </c:pt>
                <c:pt idx="121">
                  <c:v>96576</c:v>
                </c:pt>
                <c:pt idx="122">
                  <c:v>255696</c:v>
                </c:pt>
                <c:pt idx="123">
                  <c:v>241440</c:v>
                </c:pt>
                <c:pt idx="124">
                  <c:v>409626</c:v>
                </c:pt>
                <c:pt idx="125">
                  <c:v>94317</c:v>
                </c:pt>
                <c:pt idx="126">
                  <c:v>11815</c:v>
                </c:pt>
                <c:pt idx="127">
                  <c:v>60836</c:v>
                </c:pt>
                <c:pt idx="128">
                  <c:v>362530</c:v>
                </c:pt>
                <c:pt idx="129">
                  <c:v>129696</c:v>
                </c:pt>
                <c:pt idx="130">
                  <c:v>91320</c:v>
                </c:pt>
                <c:pt idx="131">
                  <c:v>159810</c:v>
                </c:pt>
                <c:pt idx="132">
                  <c:v>43840</c:v>
                </c:pt>
                <c:pt idx="133">
                  <c:v>125756</c:v>
                </c:pt>
                <c:pt idx="134">
                  <c:v>96576</c:v>
                </c:pt>
                <c:pt idx="135">
                  <c:v>243945</c:v>
                </c:pt>
                <c:pt idx="136">
                  <c:v>170096</c:v>
                </c:pt>
                <c:pt idx="137">
                  <c:v>45627</c:v>
                </c:pt>
                <c:pt idx="138">
                  <c:v>36486</c:v>
                </c:pt>
                <c:pt idx="139">
                  <c:v>144864</c:v>
                </c:pt>
                <c:pt idx="140">
                  <c:v>210795</c:v>
                </c:pt>
                <c:pt idx="141">
                  <c:v>90531</c:v>
                </c:pt>
                <c:pt idx="142">
                  <c:v>181062</c:v>
                </c:pt>
                <c:pt idx="143">
                  <c:v>91254</c:v>
                </c:pt>
                <c:pt idx="144">
                  <c:v>23478</c:v>
                </c:pt>
                <c:pt idx="145">
                  <c:v>151300</c:v>
                </c:pt>
                <c:pt idx="146">
                  <c:v>481060</c:v>
                </c:pt>
                <c:pt idx="147">
                  <c:v>2725</c:v>
                </c:pt>
                <c:pt idx="148">
                  <c:v>223734</c:v>
                </c:pt>
                <c:pt idx="149">
                  <c:v>30345</c:v>
                </c:pt>
                <c:pt idx="150">
                  <c:v>127701</c:v>
                </c:pt>
                <c:pt idx="151">
                  <c:v>31304</c:v>
                </c:pt>
                <c:pt idx="152">
                  <c:v>182430</c:v>
                </c:pt>
                <c:pt idx="153">
                  <c:v>18243</c:v>
                </c:pt>
                <c:pt idx="154">
                  <c:v>27096</c:v>
                </c:pt>
                <c:pt idx="155">
                  <c:v>1953</c:v>
                </c:pt>
                <c:pt idx="156">
                  <c:v>191772</c:v>
                </c:pt>
                <c:pt idx="157">
                  <c:v>170576</c:v>
                </c:pt>
                <c:pt idx="158">
                  <c:v>31962</c:v>
                </c:pt>
                <c:pt idx="159">
                  <c:v>63786</c:v>
                </c:pt>
                <c:pt idx="160">
                  <c:v>113475</c:v>
                </c:pt>
                <c:pt idx="161">
                  <c:v>48789</c:v>
                </c:pt>
                <c:pt idx="162">
                  <c:v>30345</c:v>
                </c:pt>
                <c:pt idx="163">
                  <c:v>13548</c:v>
                </c:pt>
                <c:pt idx="164">
                  <c:v>148380</c:v>
                </c:pt>
                <c:pt idx="165">
                  <c:v>113475</c:v>
                </c:pt>
                <c:pt idx="166">
                  <c:v>271593</c:v>
                </c:pt>
                <c:pt idx="167">
                  <c:v>37872</c:v>
                </c:pt>
                <c:pt idx="168">
                  <c:v>250160</c:v>
                </c:pt>
                <c:pt idx="169">
                  <c:v>129696</c:v>
                </c:pt>
                <c:pt idx="170">
                  <c:v>2180</c:v>
                </c:pt>
                <c:pt idx="171">
                  <c:v>364112</c:v>
                </c:pt>
                <c:pt idx="172">
                  <c:v>75048</c:v>
                </c:pt>
                <c:pt idx="173">
                  <c:v>376840</c:v>
                </c:pt>
                <c:pt idx="174">
                  <c:v>36128</c:v>
                </c:pt>
                <c:pt idx="175">
                  <c:v>159810</c:v>
                </c:pt>
                <c:pt idx="176">
                  <c:v>90531</c:v>
                </c:pt>
                <c:pt idx="177">
                  <c:v>157195</c:v>
                </c:pt>
                <c:pt idx="178">
                  <c:v>85288</c:v>
                </c:pt>
                <c:pt idx="179">
                  <c:v>66186</c:v>
                </c:pt>
                <c:pt idx="180">
                  <c:v>62878</c:v>
                </c:pt>
                <c:pt idx="181">
                  <c:v>34245</c:v>
                </c:pt>
                <c:pt idx="182">
                  <c:v>36128</c:v>
                </c:pt>
                <c:pt idx="183">
                  <c:v>282951</c:v>
                </c:pt>
                <c:pt idx="184">
                  <c:v>78399</c:v>
                </c:pt>
                <c:pt idx="185">
                  <c:v>66186</c:v>
                </c:pt>
                <c:pt idx="186">
                  <c:v>54621</c:v>
                </c:pt>
                <c:pt idx="187">
                  <c:v>87680</c:v>
                </c:pt>
                <c:pt idx="188">
                  <c:v>45660</c:v>
                </c:pt>
                <c:pt idx="189">
                  <c:v>421590</c:v>
                </c:pt>
                <c:pt idx="190">
                  <c:v>108759</c:v>
                </c:pt>
                <c:pt idx="191">
                  <c:v>30418</c:v>
                </c:pt>
                <c:pt idx="192">
                  <c:v>84318</c:v>
                </c:pt>
                <c:pt idx="193">
                  <c:v>212620</c:v>
                </c:pt>
                <c:pt idx="194">
                  <c:v>253771</c:v>
                </c:pt>
                <c:pt idx="195">
                  <c:v>212620</c:v>
                </c:pt>
                <c:pt idx="196">
                  <c:v>198558</c:v>
                </c:pt>
                <c:pt idx="197">
                  <c:v>64848</c:v>
                </c:pt>
                <c:pt idx="198">
                  <c:v>37872</c:v>
                </c:pt>
                <c:pt idx="199">
                  <c:v>45627</c:v>
                </c:pt>
                <c:pt idx="200">
                  <c:v>439101</c:v>
                </c:pt>
                <c:pt idx="201">
                  <c:v>494600</c:v>
                </c:pt>
                <c:pt idx="202">
                  <c:v>148834</c:v>
                </c:pt>
                <c:pt idx="203">
                  <c:v>75368</c:v>
                </c:pt>
                <c:pt idx="204">
                  <c:v>72506</c:v>
                </c:pt>
                <c:pt idx="205">
                  <c:v>148380</c:v>
                </c:pt>
                <c:pt idx="206">
                  <c:v>4905</c:v>
                </c:pt>
                <c:pt idx="207">
                  <c:v>235197</c:v>
                </c:pt>
                <c:pt idx="208">
                  <c:v>209762</c:v>
                </c:pt>
                <c:pt idx="209">
                  <c:v>29456</c:v>
                </c:pt>
                <c:pt idx="210">
                  <c:v>223734</c:v>
                </c:pt>
                <c:pt idx="211">
                  <c:v>339156</c:v>
                </c:pt>
                <c:pt idx="212">
                  <c:v>108759</c:v>
                </c:pt>
                <c:pt idx="213">
                  <c:v>23630</c:v>
                </c:pt>
                <c:pt idx="214">
                  <c:v>194544</c:v>
                </c:pt>
                <c:pt idx="215">
                  <c:v>11718</c:v>
                </c:pt>
                <c:pt idx="216">
                  <c:v>170096</c:v>
                </c:pt>
                <c:pt idx="217">
                  <c:v>127701</c:v>
                </c:pt>
                <c:pt idx="218">
                  <c:v>319620</c:v>
                </c:pt>
                <c:pt idx="219">
                  <c:v>182931</c:v>
                </c:pt>
                <c:pt idx="220">
                  <c:v>191772</c:v>
                </c:pt>
                <c:pt idx="221">
                  <c:v>54782</c:v>
                </c:pt>
                <c:pt idx="222">
                  <c:v>482880</c:v>
                </c:pt>
                <c:pt idx="223">
                  <c:v>97578</c:v>
                </c:pt>
                <c:pt idx="224">
                  <c:v>217518</c:v>
                </c:pt>
                <c:pt idx="225">
                  <c:v>127932</c:v>
                </c:pt>
                <c:pt idx="226">
                  <c:v>298508</c:v>
                </c:pt>
                <c:pt idx="227">
                  <c:v>75048</c:v>
                </c:pt>
                <c:pt idx="228">
                  <c:v>195156</c:v>
                </c:pt>
                <c:pt idx="229">
                  <c:v>151312</c:v>
                </c:pt>
                <c:pt idx="230">
                  <c:v>5859</c:v>
                </c:pt>
                <c:pt idx="231">
                  <c:v>17536</c:v>
                </c:pt>
                <c:pt idx="232">
                  <c:v>54621</c:v>
                </c:pt>
                <c:pt idx="233">
                  <c:v>57075</c:v>
                </c:pt>
                <c:pt idx="234">
                  <c:v>18207</c:v>
                </c:pt>
                <c:pt idx="235">
                  <c:v>37825</c:v>
                </c:pt>
                <c:pt idx="236">
                  <c:v>42483</c:v>
                </c:pt>
                <c:pt idx="237">
                  <c:v>79905</c:v>
                </c:pt>
                <c:pt idx="238">
                  <c:v>96576</c:v>
                </c:pt>
                <c:pt idx="239">
                  <c:v>90531</c:v>
                </c:pt>
                <c:pt idx="240">
                  <c:v>151300</c:v>
                </c:pt>
                <c:pt idx="241">
                  <c:v>494600</c:v>
                </c:pt>
                <c:pt idx="242">
                  <c:v>48288</c:v>
                </c:pt>
                <c:pt idx="243">
                  <c:v>482880</c:v>
                </c:pt>
                <c:pt idx="244">
                  <c:v>70144</c:v>
                </c:pt>
                <c:pt idx="245">
                  <c:v>1635</c:v>
                </c:pt>
                <c:pt idx="246">
                  <c:v>12138</c:v>
                </c:pt>
                <c:pt idx="247">
                  <c:v>346220</c:v>
                </c:pt>
                <c:pt idx="248">
                  <c:v>37684</c:v>
                </c:pt>
                <c:pt idx="249">
                  <c:v>127932</c:v>
                </c:pt>
                <c:pt idx="250">
                  <c:v>421590</c:v>
                </c:pt>
                <c:pt idx="251">
                  <c:v>227570</c:v>
                </c:pt>
                <c:pt idx="252">
                  <c:v>46956</c:v>
                </c:pt>
                <c:pt idx="253">
                  <c:v>45160</c:v>
                </c:pt>
                <c:pt idx="254">
                  <c:v>35445</c:v>
                </c:pt>
                <c:pt idx="255">
                  <c:v>119864</c:v>
                </c:pt>
                <c:pt idx="256">
                  <c:v>176496</c:v>
                </c:pt>
                <c:pt idx="257">
                  <c:v>18243</c:v>
                </c:pt>
                <c:pt idx="258">
                  <c:v>445140</c:v>
                </c:pt>
                <c:pt idx="259">
                  <c:v>75650</c:v>
                </c:pt>
                <c:pt idx="260">
                  <c:v>4905</c:v>
                </c:pt>
                <c:pt idx="261">
                  <c:v>82705</c:v>
                </c:pt>
                <c:pt idx="262">
                  <c:v>72972</c:v>
                </c:pt>
                <c:pt idx="263">
                  <c:v>376840</c:v>
                </c:pt>
                <c:pt idx="264">
                  <c:v>211239</c:v>
                </c:pt>
                <c:pt idx="265">
                  <c:v>108759</c:v>
                </c:pt>
                <c:pt idx="266">
                  <c:v>78912</c:v>
                </c:pt>
                <c:pt idx="267">
                  <c:v>151300</c:v>
                </c:pt>
                <c:pt idx="268">
                  <c:v>42483</c:v>
                </c:pt>
                <c:pt idx="269">
                  <c:v>17577</c:v>
                </c:pt>
                <c:pt idx="270">
                  <c:v>181265</c:v>
                </c:pt>
                <c:pt idx="271">
                  <c:v>247300</c:v>
                </c:pt>
                <c:pt idx="272">
                  <c:v>16832</c:v>
                </c:pt>
                <c:pt idx="273">
                  <c:v>17577</c:v>
                </c:pt>
                <c:pt idx="274">
                  <c:v>301770</c:v>
                </c:pt>
                <c:pt idx="275">
                  <c:v>45160</c:v>
                </c:pt>
                <c:pt idx="276">
                  <c:v>482880</c:v>
                </c:pt>
                <c:pt idx="277">
                  <c:v>49460</c:v>
                </c:pt>
                <c:pt idx="278">
                  <c:v>35445</c:v>
                </c:pt>
                <c:pt idx="279">
                  <c:v>78399</c:v>
                </c:pt>
                <c:pt idx="280">
                  <c:v>21040</c:v>
                </c:pt>
                <c:pt idx="281">
                  <c:v>45160</c:v>
                </c:pt>
                <c:pt idx="282">
                  <c:v>76045</c:v>
                </c:pt>
                <c:pt idx="283">
                  <c:v>8416</c:v>
                </c:pt>
                <c:pt idx="284">
                  <c:v>384848</c:v>
                </c:pt>
                <c:pt idx="285">
                  <c:v>36253</c:v>
                </c:pt>
                <c:pt idx="286">
                  <c:v>50032</c:v>
                </c:pt>
                <c:pt idx="287">
                  <c:v>182931</c:v>
                </c:pt>
                <c:pt idx="288">
                  <c:v>269694</c:v>
                </c:pt>
                <c:pt idx="289">
                  <c:v>37684</c:v>
                </c:pt>
                <c:pt idx="290">
                  <c:v>45514</c:v>
                </c:pt>
                <c:pt idx="291">
                  <c:v>44124</c:v>
                </c:pt>
                <c:pt idx="292">
                  <c:v>150885</c:v>
                </c:pt>
                <c:pt idx="293">
                  <c:v>43232</c:v>
                </c:pt>
                <c:pt idx="294">
                  <c:v>5450</c:v>
                </c:pt>
                <c:pt idx="295">
                  <c:v>109458</c:v>
                </c:pt>
                <c:pt idx="296">
                  <c:v>4905</c:v>
                </c:pt>
                <c:pt idx="297">
                  <c:v>35072</c:v>
                </c:pt>
                <c:pt idx="298">
                  <c:v>31612</c:v>
                </c:pt>
                <c:pt idx="299">
                  <c:v>110310</c:v>
                </c:pt>
                <c:pt idx="300">
                  <c:v>40644</c:v>
                </c:pt>
                <c:pt idx="301">
                  <c:v>227570</c:v>
                </c:pt>
                <c:pt idx="302">
                  <c:v>31304</c:v>
                </c:pt>
                <c:pt idx="303">
                  <c:v>75368</c:v>
                </c:pt>
                <c:pt idx="304">
                  <c:v>110310</c:v>
                </c:pt>
                <c:pt idx="305">
                  <c:v>31962</c:v>
                </c:pt>
                <c:pt idx="306">
                  <c:v>48288</c:v>
                </c:pt>
                <c:pt idx="307">
                  <c:v>17577</c:v>
                </c:pt>
                <c:pt idx="308">
                  <c:v>43232</c:v>
                </c:pt>
                <c:pt idx="309">
                  <c:v>339156</c:v>
                </c:pt>
                <c:pt idx="310">
                  <c:v>148834</c:v>
                </c:pt>
                <c:pt idx="311">
                  <c:v>182056</c:v>
                </c:pt>
                <c:pt idx="312">
                  <c:v>48789</c:v>
                </c:pt>
                <c:pt idx="313">
                  <c:v>15652</c:v>
                </c:pt>
                <c:pt idx="314">
                  <c:v>1635</c:v>
                </c:pt>
                <c:pt idx="315">
                  <c:v>225144</c:v>
                </c:pt>
                <c:pt idx="316">
                  <c:v>3270</c:v>
                </c:pt>
                <c:pt idx="317">
                  <c:v>29456</c:v>
                </c:pt>
                <c:pt idx="318">
                  <c:v>211239</c:v>
                </c:pt>
                <c:pt idx="319">
                  <c:v>45160</c:v>
                </c:pt>
                <c:pt idx="320">
                  <c:v>227570</c:v>
                </c:pt>
                <c:pt idx="321">
                  <c:v>25248</c:v>
                </c:pt>
                <c:pt idx="322">
                  <c:v>296760</c:v>
                </c:pt>
                <c:pt idx="323">
                  <c:v>197840</c:v>
                </c:pt>
                <c:pt idx="324">
                  <c:v>100064</c:v>
                </c:pt>
                <c:pt idx="325">
                  <c:v>42644</c:v>
                </c:pt>
                <c:pt idx="326">
                  <c:v>62608</c:v>
                </c:pt>
                <c:pt idx="327">
                  <c:v>108080</c:v>
                </c:pt>
                <c:pt idx="328">
                  <c:v>340425</c:v>
                </c:pt>
                <c:pt idx="329">
                  <c:v>295113</c:v>
                </c:pt>
                <c:pt idx="330">
                  <c:v>106310</c:v>
                </c:pt>
                <c:pt idx="331">
                  <c:v>45160</c:v>
                </c:pt>
                <c:pt idx="332">
                  <c:v>339156</c:v>
                </c:pt>
                <c:pt idx="333">
                  <c:v>125756</c:v>
                </c:pt>
                <c:pt idx="334">
                  <c:v>209762</c:v>
                </c:pt>
                <c:pt idx="335">
                  <c:v>48288</c:v>
                </c:pt>
                <c:pt idx="336">
                  <c:v>43840</c:v>
                </c:pt>
                <c:pt idx="337">
                  <c:v>170096</c:v>
                </c:pt>
                <c:pt idx="338">
                  <c:v>42524</c:v>
                </c:pt>
                <c:pt idx="339">
                  <c:v>3906</c:v>
                </c:pt>
                <c:pt idx="340">
                  <c:v>341523</c:v>
                </c:pt>
                <c:pt idx="341">
                  <c:v>130665</c:v>
                </c:pt>
                <c:pt idx="342">
                  <c:v>60354</c:v>
                </c:pt>
                <c:pt idx="343">
                  <c:v>48789</c:v>
                </c:pt>
                <c:pt idx="344">
                  <c:v>149830</c:v>
                </c:pt>
                <c:pt idx="345">
                  <c:v>494600</c:v>
                </c:pt>
                <c:pt idx="346">
                  <c:v>61376</c:v>
                </c:pt>
                <c:pt idx="347">
                  <c:v>42159</c:v>
                </c:pt>
                <c:pt idx="348">
                  <c:v>25248</c:v>
                </c:pt>
                <c:pt idx="349">
                  <c:v>52608</c:v>
                </c:pt>
                <c:pt idx="350">
                  <c:v>36414</c:v>
                </c:pt>
                <c:pt idx="351">
                  <c:v>125756</c:v>
                </c:pt>
                <c:pt idx="352">
                  <c:v>273084</c:v>
                </c:pt>
                <c:pt idx="353">
                  <c:v>295113</c:v>
                </c:pt>
                <c:pt idx="354">
                  <c:v>164187</c:v>
                </c:pt>
                <c:pt idx="355">
                  <c:v>292734</c:v>
                </c:pt>
                <c:pt idx="356">
                  <c:v>239728</c:v>
                </c:pt>
                <c:pt idx="357">
                  <c:v>82705</c:v>
                </c:pt>
                <c:pt idx="358">
                  <c:v>136542</c:v>
                </c:pt>
                <c:pt idx="359">
                  <c:v>88248</c:v>
                </c:pt>
                <c:pt idx="360">
                  <c:v>63786</c:v>
                </c:pt>
                <c:pt idx="361">
                  <c:v>30177</c:v>
                </c:pt>
                <c:pt idx="362">
                  <c:v>78912</c:v>
                </c:pt>
                <c:pt idx="363">
                  <c:v>170096</c:v>
                </c:pt>
                <c:pt idx="364">
                  <c:v>182430</c:v>
                </c:pt>
                <c:pt idx="365">
                  <c:v>91215</c:v>
                </c:pt>
                <c:pt idx="366">
                  <c:v>86464</c:v>
                </c:pt>
                <c:pt idx="367">
                  <c:v>48106</c:v>
                </c:pt>
                <c:pt idx="368">
                  <c:v>151300</c:v>
                </c:pt>
                <c:pt idx="369">
                  <c:v>209064</c:v>
                </c:pt>
                <c:pt idx="370">
                  <c:v>2180</c:v>
                </c:pt>
                <c:pt idx="371">
                  <c:v>16832</c:v>
                </c:pt>
                <c:pt idx="372">
                  <c:v>152090</c:v>
                </c:pt>
                <c:pt idx="373">
                  <c:v>157195</c:v>
                </c:pt>
                <c:pt idx="374">
                  <c:v>36414</c:v>
                </c:pt>
                <c:pt idx="375">
                  <c:v>37684</c:v>
                </c:pt>
                <c:pt idx="376">
                  <c:v>31439</c:v>
                </c:pt>
                <c:pt idx="377">
                  <c:v>235197</c:v>
                </c:pt>
                <c:pt idx="378">
                  <c:v>88248</c:v>
                </c:pt>
                <c:pt idx="379">
                  <c:v>2180</c:v>
                </c:pt>
                <c:pt idx="380">
                  <c:v>253771</c:v>
                </c:pt>
                <c:pt idx="381">
                  <c:v>339156</c:v>
                </c:pt>
                <c:pt idx="382">
                  <c:v>96212</c:v>
                </c:pt>
                <c:pt idx="383">
                  <c:v>181265</c:v>
                </c:pt>
                <c:pt idx="384">
                  <c:v>136881</c:v>
                </c:pt>
                <c:pt idx="385">
                  <c:v>33664</c:v>
                </c:pt>
                <c:pt idx="386">
                  <c:v>48552</c:v>
                </c:pt>
                <c:pt idx="387">
                  <c:v>104532</c:v>
                </c:pt>
                <c:pt idx="388">
                  <c:v>79905</c:v>
                </c:pt>
                <c:pt idx="389">
                  <c:v>127572</c:v>
                </c:pt>
                <c:pt idx="390">
                  <c:v>45660</c:v>
                </c:pt>
                <c:pt idx="391">
                  <c:v>42524</c:v>
                </c:pt>
                <c:pt idx="392">
                  <c:v>42483</c:v>
                </c:pt>
                <c:pt idx="393">
                  <c:v>340425</c:v>
                </c:pt>
                <c:pt idx="394">
                  <c:v>31962</c:v>
                </c:pt>
                <c:pt idx="395">
                  <c:v>106463</c:v>
                </c:pt>
                <c:pt idx="396">
                  <c:v>70434</c:v>
                </c:pt>
                <c:pt idx="397">
                  <c:v>378250</c:v>
                </c:pt>
                <c:pt idx="398">
                  <c:v>170096</c:v>
                </c:pt>
                <c:pt idx="399">
                  <c:v>252954</c:v>
                </c:pt>
                <c:pt idx="400">
                  <c:v>182430</c:v>
                </c:pt>
                <c:pt idx="401">
                  <c:v>191772</c:v>
                </c:pt>
                <c:pt idx="402">
                  <c:v>118150</c:v>
                </c:pt>
                <c:pt idx="403">
                  <c:v>12138</c:v>
                </c:pt>
                <c:pt idx="404">
                  <c:v>79905</c:v>
                </c:pt>
                <c:pt idx="405">
                  <c:v>144318</c:v>
                </c:pt>
                <c:pt idx="406">
                  <c:v>34245</c:v>
                </c:pt>
                <c:pt idx="407">
                  <c:v>170096</c:v>
                </c:pt>
                <c:pt idx="408">
                  <c:v>240530</c:v>
                </c:pt>
                <c:pt idx="409">
                  <c:v>3270</c:v>
                </c:pt>
                <c:pt idx="410">
                  <c:v>78260</c:v>
                </c:pt>
                <c:pt idx="411">
                  <c:v>94520</c:v>
                </c:pt>
                <c:pt idx="412">
                  <c:v>209762</c:v>
                </c:pt>
                <c:pt idx="413">
                  <c:v>78260</c:v>
                </c:pt>
                <c:pt idx="414">
                  <c:v>226950</c:v>
                </c:pt>
                <c:pt idx="415">
                  <c:v>48288</c:v>
                </c:pt>
                <c:pt idx="416">
                  <c:v>326277</c:v>
                </c:pt>
                <c:pt idx="417">
                  <c:v>11718</c:v>
                </c:pt>
                <c:pt idx="418">
                  <c:v>383796</c:v>
                </c:pt>
                <c:pt idx="419">
                  <c:v>43840</c:v>
                </c:pt>
                <c:pt idx="420">
                  <c:v>1953</c:v>
                </c:pt>
                <c:pt idx="421">
                  <c:v>25248</c:v>
                </c:pt>
                <c:pt idx="422">
                  <c:v>299660</c:v>
                </c:pt>
                <c:pt idx="423">
                  <c:v>36128</c:v>
                </c:pt>
                <c:pt idx="424">
                  <c:v>11815</c:v>
                </c:pt>
                <c:pt idx="425">
                  <c:v>136542</c:v>
                </c:pt>
                <c:pt idx="426">
                  <c:v>75368</c:v>
                </c:pt>
                <c:pt idx="427">
                  <c:v>13548</c:v>
                </c:pt>
                <c:pt idx="428">
                  <c:v>159810</c:v>
                </c:pt>
                <c:pt idx="429">
                  <c:v>36486</c:v>
                </c:pt>
                <c:pt idx="430">
                  <c:v>94317</c:v>
                </c:pt>
                <c:pt idx="431">
                  <c:v>48552</c:v>
                </c:pt>
                <c:pt idx="432">
                  <c:v>7826</c:v>
                </c:pt>
                <c:pt idx="433">
                  <c:v>127701</c:v>
                </c:pt>
                <c:pt idx="434">
                  <c:v>120708</c:v>
                </c:pt>
                <c:pt idx="435">
                  <c:v>170576</c:v>
                </c:pt>
                <c:pt idx="436">
                  <c:v>22580</c:v>
                </c:pt>
                <c:pt idx="437">
                  <c:v>78260</c:v>
                </c:pt>
                <c:pt idx="438">
                  <c:v>5450</c:v>
                </c:pt>
                <c:pt idx="439">
                  <c:v>87680</c:v>
                </c:pt>
                <c:pt idx="440">
                  <c:v>37684</c:v>
                </c:pt>
                <c:pt idx="441">
                  <c:v>421590</c:v>
                </c:pt>
                <c:pt idx="442">
                  <c:v>182056</c:v>
                </c:pt>
                <c:pt idx="443">
                  <c:v>8416</c:v>
                </c:pt>
                <c:pt idx="444">
                  <c:v>78912</c:v>
                </c:pt>
                <c:pt idx="445">
                  <c:v>362530</c:v>
                </c:pt>
                <c:pt idx="446">
                  <c:v>271593</c:v>
                </c:pt>
                <c:pt idx="447">
                  <c:v>72506</c:v>
                </c:pt>
                <c:pt idx="448">
                  <c:v>409626</c:v>
                </c:pt>
                <c:pt idx="449">
                  <c:v>9765</c:v>
                </c:pt>
                <c:pt idx="450">
                  <c:v>220073</c:v>
                </c:pt>
                <c:pt idx="451">
                  <c:v>289728</c:v>
                </c:pt>
                <c:pt idx="452">
                  <c:v>110310</c:v>
                </c:pt>
                <c:pt idx="453">
                  <c:v>45660</c:v>
                </c:pt>
                <c:pt idx="454">
                  <c:v>106463</c:v>
                </c:pt>
                <c:pt idx="455">
                  <c:v>60836</c:v>
                </c:pt>
                <c:pt idx="456">
                  <c:v>188634</c:v>
                </c:pt>
                <c:pt idx="457">
                  <c:v>193152</c:v>
                </c:pt>
                <c:pt idx="458">
                  <c:v>75650</c:v>
                </c:pt>
                <c:pt idx="459">
                  <c:v>48789</c:v>
                </c:pt>
                <c:pt idx="460">
                  <c:v>151300</c:v>
                </c:pt>
                <c:pt idx="461">
                  <c:v>197840</c:v>
                </c:pt>
                <c:pt idx="462">
                  <c:v>94317</c:v>
                </c:pt>
                <c:pt idx="463">
                  <c:v>154434</c:v>
                </c:pt>
                <c:pt idx="464">
                  <c:v>212620</c:v>
                </c:pt>
                <c:pt idx="465">
                  <c:v>337272</c:v>
                </c:pt>
                <c:pt idx="466">
                  <c:v>31304</c:v>
                </c:pt>
                <c:pt idx="467">
                  <c:v>337272</c:v>
                </c:pt>
                <c:pt idx="468">
                  <c:v>209064</c:v>
                </c:pt>
                <c:pt idx="469">
                  <c:v>5450</c:v>
                </c:pt>
                <c:pt idx="470">
                  <c:v>188420</c:v>
                </c:pt>
                <c:pt idx="471">
                  <c:v>102735</c:v>
                </c:pt>
                <c:pt idx="472">
                  <c:v>59932</c:v>
                </c:pt>
                <c:pt idx="473">
                  <c:v>62608</c:v>
                </c:pt>
                <c:pt idx="474">
                  <c:v>445140</c:v>
                </c:pt>
                <c:pt idx="475">
                  <c:v>209762</c:v>
                </c:pt>
                <c:pt idx="476">
                  <c:v>296760</c:v>
                </c:pt>
                <c:pt idx="477">
                  <c:v>48106</c:v>
                </c:pt>
                <c:pt idx="478">
                  <c:v>59932</c:v>
                </c:pt>
                <c:pt idx="479">
                  <c:v>75048</c:v>
                </c:pt>
                <c:pt idx="480">
                  <c:v>98920</c:v>
                </c:pt>
                <c:pt idx="481">
                  <c:v>261330</c:v>
                </c:pt>
                <c:pt idx="482">
                  <c:v>383796</c:v>
                </c:pt>
                <c:pt idx="483">
                  <c:v>54729</c:v>
                </c:pt>
                <c:pt idx="484">
                  <c:v>90531</c:v>
                </c:pt>
                <c:pt idx="485">
                  <c:v>45660</c:v>
                </c:pt>
                <c:pt idx="486">
                  <c:v>148834</c:v>
                </c:pt>
                <c:pt idx="487">
                  <c:v>5450</c:v>
                </c:pt>
                <c:pt idx="488">
                  <c:v>298508</c:v>
                </c:pt>
                <c:pt idx="489">
                  <c:v>12138</c:v>
                </c:pt>
                <c:pt idx="490">
                  <c:v>31612</c:v>
                </c:pt>
                <c:pt idx="491">
                  <c:v>151312</c:v>
                </c:pt>
                <c:pt idx="492">
                  <c:v>337272</c:v>
                </c:pt>
                <c:pt idx="493">
                  <c:v>34245</c:v>
                </c:pt>
                <c:pt idx="494">
                  <c:v>11415</c:v>
                </c:pt>
                <c:pt idx="495">
                  <c:v>9765</c:v>
                </c:pt>
                <c:pt idx="496">
                  <c:v>379431</c:v>
                </c:pt>
                <c:pt idx="497">
                  <c:v>63786</c:v>
                </c:pt>
                <c:pt idx="498">
                  <c:v>150096</c:v>
                </c:pt>
                <c:pt idx="499">
                  <c:v>434592</c:v>
                </c:pt>
                <c:pt idx="500">
                  <c:v>455140</c:v>
                </c:pt>
                <c:pt idx="501">
                  <c:v>85048</c:v>
                </c:pt>
                <c:pt idx="502">
                  <c:v>94317</c:v>
                </c:pt>
                <c:pt idx="503">
                  <c:v>127932</c:v>
                </c:pt>
                <c:pt idx="504">
                  <c:v>8416</c:v>
                </c:pt>
                <c:pt idx="505">
                  <c:v>292734</c:v>
                </c:pt>
                <c:pt idx="506">
                  <c:v>108080</c:v>
                </c:pt>
                <c:pt idx="507">
                  <c:v>7812</c:v>
                </c:pt>
                <c:pt idx="508">
                  <c:v>48789</c:v>
                </c:pt>
                <c:pt idx="509">
                  <c:v>110310</c:v>
                </c:pt>
                <c:pt idx="510">
                  <c:v>264775</c:v>
                </c:pt>
                <c:pt idx="511">
                  <c:v>240530</c:v>
                </c:pt>
                <c:pt idx="512">
                  <c:v>15209</c:v>
                </c:pt>
                <c:pt idx="513">
                  <c:v>102735</c:v>
                </c:pt>
                <c:pt idx="514">
                  <c:v>91254</c:v>
                </c:pt>
                <c:pt idx="515">
                  <c:v>159810</c:v>
                </c:pt>
                <c:pt idx="516">
                  <c:v>148380</c:v>
                </c:pt>
                <c:pt idx="517">
                  <c:v>346220</c:v>
                </c:pt>
                <c:pt idx="518">
                  <c:v>302600</c:v>
                </c:pt>
                <c:pt idx="519">
                  <c:v>282951</c:v>
                </c:pt>
                <c:pt idx="520">
                  <c:v>79905</c:v>
                </c:pt>
                <c:pt idx="521">
                  <c:v>23478</c:v>
                </c:pt>
                <c:pt idx="522">
                  <c:v>47260</c:v>
                </c:pt>
                <c:pt idx="523">
                  <c:v>15209</c:v>
                </c:pt>
                <c:pt idx="524">
                  <c:v>75650</c:v>
                </c:pt>
                <c:pt idx="525">
                  <c:v>295113</c:v>
                </c:pt>
                <c:pt idx="526">
                  <c:v>273084</c:v>
                </c:pt>
                <c:pt idx="527">
                  <c:v>8768</c:v>
                </c:pt>
                <c:pt idx="528">
                  <c:v>157195</c:v>
                </c:pt>
                <c:pt idx="529">
                  <c:v>130665</c:v>
                </c:pt>
                <c:pt idx="530">
                  <c:v>263788</c:v>
                </c:pt>
                <c:pt idx="531">
                  <c:v>60354</c:v>
                </c:pt>
                <c:pt idx="532">
                  <c:v>30418</c:v>
                </c:pt>
                <c:pt idx="533">
                  <c:v>72972</c:v>
                </c:pt>
                <c:pt idx="534">
                  <c:v>15624</c:v>
                </c:pt>
                <c:pt idx="535">
                  <c:v>1953</c:v>
                </c:pt>
                <c:pt idx="536">
                  <c:v>36486</c:v>
                </c:pt>
                <c:pt idx="537">
                  <c:v>48552</c:v>
                </c:pt>
                <c:pt idx="538">
                  <c:v>37825</c:v>
                </c:pt>
                <c:pt idx="539">
                  <c:v>390312</c:v>
                </c:pt>
                <c:pt idx="540">
                  <c:v>70434</c:v>
                </c:pt>
                <c:pt idx="541">
                  <c:v>113052</c:v>
                </c:pt>
                <c:pt idx="542">
                  <c:v>78260</c:v>
                </c:pt>
                <c:pt idx="543">
                  <c:v>191358</c:v>
                </c:pt>
                <c:pt idx="544">
                  <c:v>149830</c:v>
                </c:pt>
                <c:pt idx="545">
                  <c:v>127848</c:v>
                </c:pt>
                <c:pt idx="546">
                  <c:v>195156</c:v>
                </c:pt>
                <c:pt idx="547">
                  <c:v>264775</c:v>
                </c:pt>
                <c:pt idx="548">
                  <c:v>25016</c:v>
                </c:pt>
                <c:pt idx="549">
                  <c:v>181062</c:v>
                </c:pt>
                <c:pt idx="550">
                  <c:v>120708</c:v>
                </c:pt>
                <c:pt idx="551">
                  <c:v>18207</c:v>
                </c:pt>
                <c:pt idx="552">
                  <c:v>31612</c:v>
                </c:pt>
                <c:pt idx="553">
                  <c:v>27096</c:v>
                </c:pt>
                <c:pt idx="554">
                  <c:v>151312</c:v>
                </c:pt>
                <c:pt idx="555">
                  <c:v>75368</c:v>
                </c:pt>
                <c:pt idx="556">
                  <c:v>27096</c:v>
                </c:pt>
                <c:pt idx="557">
                  <c:v>282951</c:v>
                </c:pt>
                <c:pt idx="558">
                  <c:v>17577</c:v>
                </c:pt>
                <c:pt idx="559">
                  <c:v>145012</c:v>
                </c:pt>
                <c:pt idx="560">
                  <c:v>5450</c:v>
                </c:pt>
                <c:pt idx="561">
                  <c:v>273084</c:v>
                </c:pt>
                <c:pt idx="562">
                  <c:v>98920</c:v>
                </c:pt>
                <c:pt idx="563">
                  <c:v>44124</c:v>
                </c:pt>
                <c:pt idx="564">
                  <c:v>35072</c:v>
                </c:pt>
                <c:pt idx="565">
                  <c:v>127701</c:v>
                </c:pt>
                <c:pt idx="566">
                  <c:v>62878</c:v>
                </c:pt>
                <c:pt idx="567">
                  <c:v>136881</c:v>
                </c:pt>
                <c:pt idx="568">
                  <c:v>445140</c:v>
                </c:pt>
                <c:pt idx="569">
                  <c:v>4905</c:v>
                </c:pt>
                <c:pt idx="570">
                  <c:v>15652</c:v>
                </c:pt>
                <c:pt idx="571">
                  <c:v>102735</c:v>
                </c:pt>
                <c:pt idx="572">
                  <c:v>36414</c:v>
                </c:pt>
                <c:pt idx="573">
                  <c:v>132372</c:v>
                </c:pt>
                <c:pt idx="574">
                  <c:v>11415</c:v>
                </c:pt>
                <c:pt idx="575">
                  <c:v>27096</c:v>
                </c:pt>
                <c:pt idx="576">
                  <c:v>318598</c:v>
                </c:pt>
                <c:pt idx="577">
                  <c:v>271593</c:v>
                </c:pt>
                <c:pt idx="578">
                  <c:v>170096</c:v>
                </c:pt>
                <c:pt idx="579">
                  <c:v>127572</c:v>
                </c:pt>
                <c:pt idx="580">
                  <c:v>339156</c:v>
                </c:pt>
                <c:pt idx="581">
                  <c:v>212620</c:v>
                </c:pt>
                <c:pt idx="582">
                  <c:v>482880</c:v>
                </c:pt>
                <c:pt idx="583">
                  <c:v>13671</c:v>
                </c:pt>
                <c:pt idx="584">
                  <c:v>87680</c:v>
                </c:pt>
                <c:pt idx="585">
                  <c:v>12624</c:v>
                </c:pt>
                <c:pt idx="586">
                  <c:v>52266</c:v>
                </c:pt>
                <c:pt idx="587">
                  <c:v>35072</c:v>
                </c:pt>
                <c:pt idx="588">
                  <c:v>9765</c:v>
                </c:pt>
                <c:pt idx="589">
                  <c:v>136542</c:v>
                </c:pt>
                <c:pt idx="590">
                  <c:v>68490</c:v>
                </c:pt>
                <c:pt idx="591">
                  <c:v>346220</c:v>
                </c:pt>
                <c:pt idx="592">
                  <c:v>226950</c:v>
                </c:pt>
                <c:pt idx="593">
                  <c:v>17577</c:v>
                </c:pt>
                <c:pt idx="594">
                  <c:v>90531</c:v>
                </c:pt>
                <c:pt idx="595">
                  <c:v>22062</c:v>
                </c:pt>
                <c:pt idx="596">
                  <c:v>36414</c:v>
                </c:pt>
                <c:pt idx="597">
                  <c:v>2725</c:v>
                </c:pt>
                <c:pt idx="598">
                  <c:v>409626</c:v>
                </c:pt>
                <c:pt idx="599">
                  <c:v>213220</c:v>
                </c:pt>
                <c:pt idx="600">
                  <c:v>82705</c:v>
                </c:pt>
                <c:pt idx="601">
                  <c:v>482880</c:v>
                </c:pt>
                <c:pt idx="602">
                  <c:v>298508</c:v>
                </c:pt>
                <c:pt idx="603">
                  <c:v>15652</c:v>
                </c:pt>
                <c:pt idx="604">
                  <c:v>42524</c:v>
                </c:pt>
                <c:pt idx="605">
                  <c:v>273084</c:v>
                </c:pt>
                <c:pt idx="606">
                  <c:v>13548</c:v>
                </c:pt>
                <c:pt idx="607">
                  <c:v>96212</c:v>
                </c:pt>
                <c:pt idx="608">
                  <c:v>25248</c:v>
                </c:pt>
                <c:pt idx="609">
                  <c:v>4208</c:v>
                </c:pt>
                <c:pt idx="610">
                  <c:v>89898</c:v>
                </c:pt>
                <c:pt idx="611">
                  <c:v>7826</c:v>
                </c:pt>
                <c:pt idx="612">
                  <c:v>148380</c:v>
                </c:pt>
                <c:pt idx="613">
                  <c:v>145012</c:v>
                </c:pt>
                <c:pt idx="614">
                  <c:v>61376</c:v>
                </c:pt>
                <c:pt idx="615">
                  <c:v>66186</c:v>
                </c:pt>
                <c:pt idx="616">
                  <c:v>409626</c:v>
                </c:pt>
                <c:pt idx="617">
                  <c:v>57075</c:v>
                </c:pt>
                <c:pt idx="618">
                  <c:v>168636</c:v>
                </c:pt>
                <c:pt idx="619">
                  <c:v>17577</c:v>
                </c:pt>
                <c:pt idx="620">
                  <c:v>126477</c:v>
                </c:pt>
                <c:pt idx="621">
                  <c:v>132372</c:v>
                </c:pt>
                <c:pt idx="622">
                  <c:v>59075</c:v>
                </c:pt>
                <c:pt idx="623">
                  <c:v>247300</c:v>
                </c:pt>
                <c:pt idx="624">
                  <c:v>439101</c:v>
                </c:pt>
                <c:pt idx="625">
                  <c:v>213220</c:v>
                </c:pt>
                <c:pt idx="626">
                  <c:v>43840</c:v>
                </c:pt>
                <c:pt idx="627">
                  <c:v>191358</c:v>
                </c:pt>
                <c:pt idx="628">
                  <c:v>108080</c:v>
                </c:pt>
                <c:pt idx="629">
                  <c:v>9032</c:v>
                </c:pt>
                <c:pt idx="630">
                  <c:v>25248</c:v>
                </c:pt>
                <c:pt idx="631">
                  <c:v>288636</c:v>
                </c:pt>
                <c:pt idx="632">
                  <c:v>100064</c:v>
                </c:pt>
                <c:pt idx="633">
                  <c:v>94520</c:v>
                </c:pt>
                <c:pt idx="634">
                  <c:v>181062</c:v>
                </c:pt>
                <c:pt idx="635">
                  <c:v>102735</c:v>
                </c:pt>
                <c:pt idx="636">
                  <c:v>91215</c:v>
                </c:pt>
                <c:pt idx="637">
                  <c:v>288636</c:v>
                </c:pt>
                <c:pt idx="638">
                  <c:v>261330</c:v>
                </c:pt>
                <c:pt idx="639">
                  <c:v>30418</c:v>
                </c:pt>
                <c:pt idx="640">
                  <c:v>192424</c:v>
                </c:pt>
                <c:pt idx="641">
                  <c:v>482880</c:v>
                </c:pt>
                <c:pt idx="642">
                  <c:v>113475</c:v>
                </c:pt>
                <c:pt idx="643">
                  <c:v>339156</c:v>
                </c:pt>
                <c:pt idx="644">
                  <c:v>21616</c:v>
                </c:pt>
                <c:pt idx="645">
                  <c:v>29456</c:v>
                </c:pt>
                <c:pt idx="646">
                  <c:v>341152</c:v>
                </c:pt>
                <c:pt idx="647">
                  <c:v>439101</c:v>
                </c:pt>
                <c:pt idx="648">
                  <c:v>75650</c:v>
                </c:pt>
                <c:pt idx="649">
                  <c:v>82705</c:v>
                </c:pt>
                <c:pt idx="650">
                  <c:v>15624</c:v>
                </c:pt>
                <c:pt idx="651">
                  <c:v>52266</c:v>
                </c:pt>
                <c:pt idx="652">
                  <c:v>106463</c:v>
                </c:pt>
                <c:pt idx="653">
                  <c:v>11815</c:v>
                </c:pt>
                <c:pt idx="654">
                  <c:v>72506</c:v>
                </c:pt>
                <c:pt idx="655">
                  <c:v>42483</c:v>
                </c:pt>
                <c:pt idx="656">
                  <c:v>481060</c:v>
                </c:pt>
                <c:pt idx="657">
                  <c:v>6069</c:v>
                </c:pt>
                <c:pt idx="658">
                  <c:v>338016</c:v>
                </c:pt>
                <c:pt idx="659">
                  <c:v>179796</c:v>
                </c:pt>
                <c:pt idx="660">
                  <c:v>119864</c:v>
                </c:pt>
                <c:pt idx="661">
                  <c:v>252954</c:v>
                </c:pt>
                <c:pt idx="662">
                  <c:v>72506</c:v>
                </c:pt>
                <c:pt idx="663">
                  <c:v>33664</c:v>
                </c:pt>
                <c:pt idx="664">
                  <c:v>301770</c:v>
                </c:pt>
                <c:pt idx="665">
                  <c:v>195156</c:v>
                </c:pt>
                <c:pt idx="666">
                  <c:v>17536</c:v>
                </c:pt>
                <c:pt idx="667">
                  <c:v>31304</c:v>
                </c:pt>
                <c:pt idx="668">
                  <c:v>386304</c:v>
                </c:pt>
                <c:pt idx="669">
                  <c:v>13548</c:v>
                </c:pt>
                <c:pt idx="670">
                  <c:v>12138</c:v>
                </c:pt>
                <c:pt idx="671">
                  <c:v>11718</c:v>
                </c:pt>
                <c:pt idx="672">
                  <c:v>63786</c:v>
                </c:pt>
                <c:pt idx="673">
                  <c:v>31439</c:v>
                </c:pt>
                <c:pt idx="674">
                  <c:v>151300</c:v>
                </c:pt>
                <c:pt idx="675">
                  <c:v>339156</c:v>
                </c:pt>
                <c:pt idx="676">
                  <c:v>94317</c:v>
                </c:pt>
                <c:pt idx="677">
                  <c:v>170096</c:v>
                </c:pt>
                <c:pt idx="678">
                  <c:v>191772</c:v>
                </c:pt>
                <c:pt idx="679">
                  <c:v>346220</c:v>
                </c:pt>
                <c:pt idx="680">
                  <c:v>57075</c:v>
                </c:pt>
                <c:pt idx="681">
                  <c:v>45660</c:v>
                </c:pt>
                <c:pt idx="682">
                  <c:v>273084</c:v>
                </c:pt>
                <c:pt idx="683">
                  <c:v>182430</c:v>
                </c:pt>
                <c:pt idx="684">
                  <c:v>78912</c:v>
                </c:pt>
                <c:pt idx="685">
                  <c:v>106310</c:v>
                </c:pt>
                <c:pt idx="686">
                  <c:v>113052</c:v>
                </c:pt>
                <c:pt idx="687">
                  <c:v>96212</c:v>
                </c:pt>
                <c:pt idx="688">
                  <c:v>376840</c:v>
                </c:pt>
                <c:pt idx="689">
                  <c:v>1953</c:v>
                </c:pt>
                <c:pt idx="690">
                  <c:v>314390</c:v>
                </c:pt>
                <c:pt idx="691">
                  <c:v>197840</c:v>
                </c:pt>
                <c:pt idx="692">
                  <c:v>301472</c:v>
                </c:pt>
                <c:pt idx="693">
                  <c:v>42524</c:v>
                </c:pt>
                <c:pt idx="694">
                  <c:v>63786</c:v>
                </c:pt>
                <c:pt idx="695">
                  <c:v>545</c:v>
                </c:pt>
                <c:pt idx="696">
                  <c:v>223734</c:v>
                </c:pt>
                <c:pt idx="697">
                  <c:v>76045</c:v>
                </c:pt>
                <c:pt idx="698">
                  <c:v>182430</c:v>
                </c:pt>
                <c:pt idx="699">
                  <c:v>164187</c:v>
                </c:pt>
                <c:pt idx="700">
                  <c:v>100064</c:v>
                </c:pt>
                <c:pt idx="701">
                  <c:v>22580</c:v>
                </c:pt>
                <c:pt idx="702">
                  <c:v>217518</c:v>
                </c:pt>
                <c:pt idx="703">
                  <c:v>251512</c:v>
                </c:pt>
                <c:pt idx="704">
                  <c:v>108080</c:v>
                </c:pt>
                <c:pt idx="705">
                  <c:v>35445</c:v>
                </c:pt>
                <c:pt idx="706">
                  <c:v>22580</c:v>
                </c:pt>
                <c:pt idx="707">
                  <c:v>54729</c:v>
                </c:pt>
                <c:pt idx="708">
                  <c:v>189125</c:v>
                </c:pt>
                <c:pt idx="709">
                  <c:v>7826</c:v>
                </c:pt>
                <c:pt idx="710">
                  <c:v>22830</c:v>
                </c:pt>
                <c:pt idx="711">
                  <c:v>125080</c:v>
                </c:pt>
                <c:pt idx="712">
                  <c:v>127932</c:v>
                </c:pt>
                <c:pt idx="713">
                  <c:v>364112</c:v>
                </c:pt>
                <c:pt idx="714">
                  <c:v>42524</c:v>
                </c:pt>
                <c:pt idx="715">
                  <c:v>15624</c:v>
                </c:pt>
                <c:pt idx="716">
                  <c:v>168636</c:v>
                </c:pt>
                <c:pt idx="717">
                  <c:v>26133</c:v>
                </c:pt>
                <c:pt idx="718">
                  <c:v>156798</c:v>
                </c:pt>
                <c:pt idx="719">
                  <c:v>62608</c:v>
                </c:pt>
                <c:pt idx="720">
                  <c:v>36253</c:v>
                </c:pt>
                <c:pt idx="721">
                  <c:v>255864</c:v>
                </c:pt>
                <c:pt idx="722">
                  <c:v>379431</c:v>
                </c:pt>
                <c:pt idx="723">
                  <c:v>5859</c:v>
                </c:pt>
                <c:pt idx="724">
                  <c:v>72506</c:v>
                </c:pt>
                <c:pt idx="725">
                  <c:v>336742</c:v>
                </c:pt>
                <c:pt idx="726">
                  <c:v>9032</c:v>
                </c:pt>
                <c:pt idx="727">
                  <c:v>44124</c:v>
                </c:pt>
                <c:pt idx="728">
                  <c:v>91320</c:v>
                </c:pt>
                <c:pt idx="729">
                  <c:v>7826</c:v>
                </c:pt>
                <c:pt idx="730">
                  <c:v>88248</c:v>
                </c:pt>
                <c:pt idx="731">
                  <c:v>63786</c:v>
                </c:pt>
                <c:pt idx="732">
                  <c:v>216160</c:v>
                </c:pt>
                <c:pt idx="733">
                  <c:v>50032</c:v>
                </c:pt>
                <c:pt idx="734">
                  <c:v>338016</c:v>
                </c:pt>
                <c:pt idx="735">
                  <c:v>91320</c:v>
                </c:pt>
                <c:pt idx="736">
                  <c:v>22830</c:v>
                </c:pt>
                <c:pt idx="737">
                  <c:v>85288</c:v>
                </c:pt>
                <c:pt idx="738">
                  <c:v>269694</c:v>
                </c:pt>
                <c:pt idx="739">
                  <c:v>110310</c:v>
                </c:pt>
                <c:pt idx="740">
                  <c:v>170576</c:v>
                </c:pt>
                <c:pt idx="741">
                  <c:v>62608</c:v>
                </c:pt>
                <c:pt idx="742">
                  <c:v>22580</c:v>
                </c:pt>
                <c:pt idx="743">
                  <c:v>289728</c:v>
                </c:pt>
                <c:pt idx="744">
                  <c:v>85048</c:v>
                </c:pt>
                <c:pt idx="745">
                  <c:v>191772</c:v>
                </c:pt>
                <c:pt idx="746">
                  <c:v>145012</c:v>
                </c:pt>
                <c:pt idx="747">
                  <c:v>108759</c:v>
                </c:pt>
                <c:pt idx="748">
                  <c:v>157195</c:v>
                </c:pt>
                <c:pt idx="749">
                  <c:v>48288</c:v>
                </c:pt>
                <c:pt idx="750">
                  <c:v>168636</c:v>
                </c:pt>
                <c:pt idx="751">
                  <c:v>75048</c:v>
                </c:pt>
                <c:pt idx="752">
                  <c:v>44124</c:v>
                </c:pt>
                <c:pt idx="753">
                  <c:v>455140</c:v>
                </c:pt>
                <c:pt idx="754">
                  <c:v>1635</c:v>
                </c:pt>
                <c:pt idx="755">
                  <c:v>36486</c:v>
                </c:pt>
                <c:pt idx="756">
                  <c:v>164187</c:v>
                </c:pt>
                <c:pt idx="757">
                  <c:v>23630</c:v>
                </c:pt>
                <c:pt idx="758">
                  <c:v>40644</c:v>
                </c:pt>
                <c:pt idx="759">
                  <c:v>301472</c:v>
                </c:pt>
                <c:pt idx="760">
                  <c:v>3815</c:v>
                </c:pt>
                <c:pt idx="761">
                  <c:v>426440</c:v>
                </c:pt>
                <c:pt idx="762">
                  <c:v>6069</c:v>
                </c:pt>
                <c:pt idx="763">
                  <c:v>4360</c:v>
                </c:pt>
                <c:pt idx="764">
                  <c:v>42080</c:v>
                </c:pt>
                <c:pt idx="765">
                  <c:v>108080</c:v>
                </c:pt>
                <c:pt idx="766">
                  <c:v>9032</c:v>
                </c:pt>
                <c:pt idx="767">
                  <c:v>30418</c:v>
                </c:pt>
                <c:pt idx="768">
                  <c:v>434592</c:v>
                </c:pt>
                <c:pt idx="769">
                  <c:v>95886</c:v>
                </c:pt>
                <c:pt idx="770">
                  <c:v>120708</c:v>
                </c:pt>
                <c:pt idx="771">
                  <c:v>226950</c:v>
                </c:pt>
                <c:pt idx="772">
                  <c:v>85048</c:v>
                </c:pt>
                <c:pt idx="773">
                  <c:v>146367</c:v>
                </c:pt>
                <c:pt idx="774">
                  <c:v>91028</c:v>
                </c:pt>
                <c:pt idx="775">
                  <c:v>176496</c:v>
                </c:pt>
                <c:pt idx="776">
                  <c:v>148834</c:v>
                </c:pt>
                <c:pt idx="777">
                  <c:v>338016</c:v>
                </c:pt>
                <c:pt idx="778">
                  <c:v>54782</c:v>
                </c:pt>
                <c:pt idx="779">
                  <c:v>145012</c:v>
                </c:pt>
                <c:pt idx="780">
                  <c:v>113475</c:v>
                </c:pt>
                <c:pt idx="781">
                  <c:v>60836</c:v>
                </c:pt>
                <c:pt idx="782">
                  <c:v>91254</c:v>
                </c:pt>
                <c:pt idx="783">
                  <c:v>35072</c:v>
                </c:pt>
                <c:pt idx="784">
                  <c:v>70144</c:v>
                </c:pt>
                <c:pt idx="785">
                  <c:v>217518</c:v>
                </c:pt>
                <c:pt idx="786">
                  <c:v>409626</c:v>
                </c:pt>
                <c:pt idx="787">
                  <c:v>426440</c:v>
                </c:pt>
                <c:pt idx="788">
                  <c:v>136881</c:v>
                </c:pt>
                <c:pt idx="789">
                  <c:v>269694</c:v>
                </c:pt>
                <c:pt idx="790">
                  <c:v>95886</c:v>
                </c:pt>
                <c:pt idx="791">
                  <c:v>243945</c:v>
                </c:pt>
                <c:pt idx="792">
                  <c:v>152090</c:v>
                </c:pt>
                <c:pt idx="793">
                  <c:v>421590</c:v>
                </c:pt>
                <c:pt idx="794">
                  <c:v>346220</c:v>
                </c:pt>
                <c:pt idx="795">
                  <c:v>114150</c:v>
                </c:pt>
                <c:pt idx="796">
                  <c:v>61376</c:v>
                </c:pt>
                <c:pt idx="797">
                  <c:v>17577</c:v>
                </c:pt>
                <c:pt idx="798">
                  <c:v>220620</c:v>
                </c:pt>
                <c:pt idx="799">
                  <c:v>326277</c:v>
                </c:pt>
                <c:pt idx="800">
                  <c:v>106463</c:v>
                </c:pt>
                <c:pt idx="801">
                  <c:v>86464</c:v>
                </c:pt>
                <c:pt idx="802">
                  <c:v>88248</c:v>
                </c:pt>
                <c:pt idx="803">
                  <c:v>220073</c:v>
                </c:pt>
                <c:pt idx="804">
                  <c:v>106310</c:v>
                </c:pt>
                <c:pt idx="805">
                  <c:v>42483</c:v>
                </c:pt>
                <c:pt idx="806">
                  <c:v>301770</c:v>
                </c:pt>
                <c:pt idx="807">
                  <c:v>78912</c:v>
                </c:pt>
                <c:pt idx="808">
                  <c:v>12624</c:v>
                </c:pt>
                <c:pt idx="809">
                  <c:v>287658</c:v>
                </c:pt>
                <c:pt idx="810">
                  <c:v>314390</c:v>
                </c:pt>
                <c:pt idx="811">
                  <c:v>79905</c:v>
                </c:pt>
                <c:pt idx="812">
                  <c:v>4905</c:v>
                </c:pt>
                <c:pt idx="813">
                  <c:v>338016</c:v>
                </c:pt>
                <c:pt idx="814">
                  <c:v>36128</c:v>
                </c:pt>
                <c:pt idx="815">
                  <c:v>36253</c:v>
                </c:pt>
                <c:pt idx="816">
                  <c:v>37825</c:v>
                </c:pt>
                <c:pt idx="817">
                  <c:v>125080</c:v>
                </c:pt>
                <c:pt idx="818">
                  <c:v>70144</c:v>
                </c:pt>
                <c:pt idx="819">
                  <c:v>144864</c:v>
                </c:pt>
                <c:pt idx="820">
                  <c:v>136542</c:v>
                </c:pt>
                <c:pt idx="821">
                  <c:v>271593</c:v>
                </c:pt>
                <c:pt idx="822">
                  <c:v>194544</c:v>
                </c:pt>
                <c:pt idx="823">
                  <c:v>15209</c:v>
                </c:pt>
                <c:pt idx="824">
                  <c:v>170096</c:v>
                </c:pt>
                <c:pt idx="825">
                  <c:v>75650</c:v>
                </c:pt>
                <c:pt idx="826">
                  <c:v>197840</c:v>
                </c:pt>
                <c:pt idx="827">
                  <c:v>194544</c:v>
                </c:pt>
                <c:pt idx="828">
                  <c:v>127701</c:v>
                </c:pt>
                <c:pt idx="829">
                  <c:v>127572</c:v>
                </c:pt>
                <c:pt idx="830">
                  <c:v>299660</c:v>
                </c:pt>
                <c:pt idx="831">
                  <c:v>70890</c:v>
                </c:pt>
                <c:pt idx="832">
                  <c:v>482880</c:v>
                </c:pt>
                <c:pt idx="833">
                  <c:v>211239</c:v>
                </c:pt>
                <c:pt idx="834">
                  <c:v>104532</c:v>
                </c:pt>
                <c:pt idx="835">
                  <c:v>125756</c:v>
                </c:pt>
                <c:pt idx="836">
                  <c:v>154434</c:v>
                </c:pt>
                <c:pt idx="837">
                  <c:v>110310</c:v>
                </c:pt>
                <c:pt idx="838">
                  <c:v>31612</c:v>
                </c:pt>
                <c:pt idx="839">
                  <c:v>250160</c:v>
                </c:pt>
                <c:pt idx="840">
                  <c:v>211239</c:v>
                </c:pt>
                <c:pt idx="841">
                  <c:v>48288</c:v>
                </c:pt>
                <c:pt idx="842">
                  <c:v>273084</c:v>
                </c:pt>
                <c:pt idx="843">
                  <c:v>79905</c:v>
                </c:pt>
                <c:pt idx="844">
                  <c:v>11415</c:v>
                </c:pt>
                <c:pt idx="845">
                  <c:v>66186</c:v>
                </c:pt>
                <c:pt idx="846">
                  <c:v>43840</c:v>
                </c:pt>
                <c:pt idx="847">
                  <c:v>2180</c:v>
                </c:pt>
                <c:pt idx="848">
                  <c:v>5450</c:v>
                </c:pt>
                <c:pt idx="849">
                  <c:v>253771</c:v>
                </c:pt>
                <c:pt idx="850">
                  <c:v>106310</c:v>
                </c:pt>
                <c:pt idx="851">
                  <c:v>78399</c:v>
                </c:pt>
                <c:pt idx="852">
                  <c:v>47260</c:v>
                </c:pt>
                <c:pt idx="853">
                  <c:v>98920</c:v>
                </c:pt>
                <c:pt idx="854">
                  <c:v>13671</c:v>
                </c:pt>
                <c:pt idx="855">
                  <c:v>263788</c:v>
                </c:pt>
                <c:pt idx="856">
                  <c:v>26133</c:v>
                </c:pt>
                <c:pt idx="857">
                  <c:v>85048</c:v>
                </c:pt>
                <c:pt idx="858">
                  <c:v>48106</c:v>
                </c:pt>
                <c:pt idx="859">
                  <c:v>39130</c:v>
                </c:pt>
                <c:pt idx="860">
                  <c:v>432954</c:v>
                </c:pt>
                <c:pt idx="861">
                  <c:v>226104</c:v>
                </c:pt>
                <c:pt idx="862">
                  <c:v>60690</c:v>
                </c:pt>
                <c:pt idx="863">
                  <c:v>269694</c:v>
                </c:pt>
                <c:pt idx="864">
                  <c:v>146367</c:v>
                </c:pt>
                <c:pt idx="865">
                  <c:v>148834</c:v>
                </c:pt>
                <c:pt idx="866">
                  <c:v>282951</c:v>
                </c:pt>
                <c:pt idx="867">
                  <c:v>179796</c:v>
                </c:pt>
                <c:pt idx="868">
                  <c:v>59075</c:v>
                </c:pt>
                <c:pt idx="869">
                  <c:v>383796</c:v>
                </c:pt>
                <c:pt idx="870">
                  <c:v>195156</c:v>
                </c:pt>
                <c:pt idx="871">
                  <c:v>82705</c:v>
                </c:pt>
                <c:pt idx="872">
                  <c:v>127848</c:v>
                </c:pt>
                <c:pt idx="873">
                  <c:v>264775</c:v>
                </c:pt>
                <c:pt idx="874">
                  <c:v>282951</c:v>
                </c:pt>
                <c:pt idx="875">
                  <c:v>21262</c:v>
                </c:pt>
                <c:pt idx="876">
                  <c:v>118150</c:v>
                </c:pt>
                <c:pt idx="877">
                  <c:v>11718</c:v>
                </c:pt>
                <c:pt idx="878">
                  <c:v>545</c:v>
                </c:pt>
                <c:pt idx="879">
                  <c:v>239728</c:v>
                </c:pt>
                <c:pt idx="880">
                  <c:v>22580</c:v>
                </c:pt>
                <c:pt idx="881">
                  <c:v>54729</c:v>
                </c:pt>
                <c:pt idx="882">
                  <c:v>30345</c:v>
                </c:pt>
                <c:pt idx="883">
                  <c:v>21040</c:v>
                </c:pt>
                <c:pt idx="884">
                  <c:v>226950</c:v>
                </c:pt>
                <c:pt idx="885">
                  <c:v>104532</c:v>
                </c:pt>
                <c:pt idx="886">
                  <c:v>23630</c:v>
                </c:pt>
                <c:pt idx="887">
                  <c:v>1635</c:v>
                </c:pt>
                <c:pt idx="888">
                  <c:v>151312</c:v>
                </c:pt>
                <c:pt idx="889">
                  <c:v>16832</c:v>
                </c:pt>
                <c:pt idx="890">
                  <c:v>113052</c:v>
                </c:pt>
                <c:pt idx="891">
                  <c:v>182430</c:v>
                </c:pt>
                <c:pt idx="892">
                  <c:v>54621</c:v>
                </c:pt>
                <c:pt idx="893">
                  <c:v>96576</c:v>
                </c:pt>
                <c:pt idx="894">
                  <c:v>217518</c:v>
                </c:pt>
                <c:pt idx="895">
                  <c:v>341523</c:v>
                </c:pt>
                <c:pt idx="896">
                  <c:v>1635</c:v>
                </c:pt>
                <c:pt idx="897">
                  <c:v>45160</c:v>
                </c:pt>
                <c:pt idx="898">
                  <c:v>148380</c:v>
                </c:pt>
                <c:pt idx="899">
                  <c:v>75048</c:v>
                </c:pt>
                <c:pt idx="900">
                  <c:v>455140</c:v>
                </c:pt>
                <c:pt idx="901">
                  <c:v>188420</c:v>
                </c:pt>
                <c:pt idx="902">
                  <c:v>181062</c:v>
                </c:pt>
                <c:pt idx="903">
                  <c:v>261330</c:v>
                </c:pt>
                <c:pt idx="904">
                  <c:v>251512</c:v>
                </c:pt>
                <c:pt idx="905">
                  <c:v>11415</c:v>
                </c:pt>
                <c:pt idx="906">
                  <c:v>339156</c:v>
                </c:pt>
                <c:pt idx="907">
                  <c:v>29966</c:v>
                </c:pt>
                <c:pt idx="908">
                  <c:v>439101</c:v>
                </c:pt>
                <c:pt idx="909">
                  <c:v>4905</c:v>
                </c:pt>
                <c:pt idx="910">
                  <c:v>86464</c:v>
                </c:pt>
                <c:pt idx="911">
                  <c:v>5859</c:v>
                </c:pt>
                <c:pt idx="912">
                  <c:v>21040</c:v>
                </c:pt>
                <c:pt idx="913">
                  <c:v>45627</c:v>
                </c:pt>
                <c:pt idx="914">
                  <c:v>209762</c:v>
                </c:pt>
                <c:pt idx="915">
                  <c:v>129696</c:v>
                </c:pt>
                <c:pt idx="916">
                  <c:v>339156</c:v>
                </c:pt>
                <c:pt idx="917">
                  <c:v>409626</c:v>
                </c:pt>
                <c:pt idx="918">
                  <c:v>4905</c:v>
                </c:pt>
                <c:pt idx="919">
                  <c:v>43232</c:v>
                </c:pt>
                <c:pt idx="920">
                  <c:v>346220</c:v>
                </c:pt>
                <c:pt idx="921">
                  <c:v>68490</c:v>
                </c:pt>
                <c:pt idx="922">
                  <c:v>170096</c:v>
                </c:pt>
                <c:pt idx="923">
                  <c:v>11718</c:v>
                </c:pt>
                <c:pt idx="924">
                  <c:v>164187</c:v>
                </c:pt>
                <c:pt idx="925">
                  <c:v>42080</c:v>
                </c:pt>
                <c:pt idx="926">
                  <c:v>121672</c:v>
                </c:pt>
                <c:pt idx="927">
                  <c:v>175112</c:v>
                </c:pt>
                <c:pt idx="928">
                  <c:v>48288</c:v>
                </c:pt>
                <c:pt idx="929">
                  <c:v>85048</c:v>
                </c:pt>
                <c:pt idx="930">
                  <c:v>209064</c:v>
                </c:pt>
                <c:pt idx="931">
                  <c:v>43232</c:v>
                </c:pt>
                <c:pt idx="932">
                  <c:v>97578</c:v>
                </c:pt>
                <c:pt idx="933">
                  <c:v>175112</c:v>
                </c:pt>
                <c:pt idx="934">
                  <c:v>193152</c:v>
                </c:pt>
                <c:pt idx="935">
                  <c:v>9032</c:v>
                </c:pt>
                <c:pt idx="936">
                  <c:v>409626</c:v>
                </c:pt>
                <c:pt idx="937">
                  <c:v>225144</c:v>
                </c:pt>
                <c:pt idx="938">
                  <c:v>42080</c:v>
                </c:pt>
                <c:pt idx="939">
                  <c:v>395680</c:v>
                </c:pt>
                <c:pt idx="940">
                  <c:v>35072</c:v>
                </c:pt>
                <c:pt idx="941">
                  <c:v>170576</c:v>
                </c:pt>
                <c:pt idx="942">
                  <c:v>18207</c:v>
                </c:pt>
                <c:pt idx="943">
                  <c:v>290024</c:v>
                </c:pt>
                <c:pt idx="944">
                  <c:v>292734</c:v>
                </c:pt>
                <c:pt idx="945">
                  <c:v>91320</c:v>
                </c:pt>
                <c:pt idx="946">
                  <c:v>59075</c:v>
                </c:pt>
                <c:pt idx="947">
                  <c:v>181265</c:v>
                </c:pt>
                <c:pt idx="948">
                  <c:v>60690</c:v>
                </c:pt>
                <c:pt idx="949">
                  <c:v>376840</c:v>
                </c:pt>
                <c:pt idx="950">
                  <c:v>154434</c:v>
                </c:pt>
                <c:pt idx="951">
                  <c:v>182931</c:v>
                </c:pt>
                <c:pt idx="952">
                  <c:v>191358</c:v>
                </c:pt>
                <c:pt idx="953">
                  <c:v>26304</c:v>
                </c:pt>
                <c:pt idx="954">
                  <c:v>340425</c:v>
                </c:pt>
                <c:pt idx="955">
                  <c:v>4208</c:v>
                </c:pt>
                <c:pt idx="956">
                  <c:v>364112</c:v>
                </c:pt>
                <c:pt idx="957">
                  <c:v>43840</c:v>
                </c:pt>
                <c:pt idx="958">
                  <c:v>7826</c:v>
                </c:pt>
                <c:pt idx="959">
                  <c:v>189125</c:v>
                </c:pt>
                <c:pt idx="960">
                  <c:v>189125</c:v>
                </c:pt>
                <c:pt idx="961">
                  <c:v>181062</c:v>
                </c:pt>
                <c:pt idx="962">
                  <c:v>150736</c:v>
                </c:pt>
                <c:pt idx="963">
                  <c:v>182056</c:v>
                </c:pt>
                <c:pt idx="964">
                  <c:v>72972</c:v>
                </c:pt>
                <c:pt idx="965">
                  <c:v>338016</c:v>
                </c:pt>
                <c:pt idx="966">
                  <c:v>36253</c:v>
                </c:pt>
                <c:pt idx="967">
                  <c:v>48288</c:v>
                </c:pt>
                <c:pt idx="968">
                  <c:v>240530</c:v>
                </c:pt>
                <c:pt idx="969">
                  <c:v>11718</c:v>
                </c:pt>
                <c:pt idx="970">
                  <c:v>75368</c:v>
                </c:pt>
                <c:pt idx="971">
                  <c:v>376840</c:v>
                </c:pt>
                <c:pt idx="972">
                  <c:v>66186</c:v>
                </c:pt>
                <c:pt idx="973">
                  <c:v>379431</c:v>
                </c:pt>
                <c:pt idx="974">
                  <c:v>2725</c:v>
                </c:pt>
                <c:pt idx="975">
                  <c:v>62878</c:v>
                </c:pt>
                <c:pt idx="976">
                  <c:v>60690</c:v>
                </c:pt>
                <c:pt idx="977">
                  <c:v>545</c:v>
                </c:pt>
                <c:pt idx="978">
                  <c:v>9032</c:v>
                </c:pt>
                <c:pt idx="979">
                  <c:v>34245</c:v>
                </c:pt>
                <c:pt idx="980">
                  <c:v>3906</c:v>
                </c:pt>
                <c:pt idx="981">
                  <c:v>216160</c:v>
                </c:pt>
                <c:pt idx="982">
                  <c:v>36414</c:v>
                </c:pt>
                <c:pt idx="983">
                  <c:v>150736</c:v>
                </c:pt>
                <c:pt idx="984">
                  <c:v>409626</c:v>
                </c:pt>
                <c:pt idx="985">
                  <c:v>191358</c:v>
                </c:pt>
                <c:pt idx="986">
                  <c:v>47260</c:v>
                </c:pt>
                <c:pt idx="987">
                  <c:v>362530</c:v>
                </c:pt>
                <c:pt idx="988">
                  <c:v>23478</c:v>
                </c:pt>
                <c:pt idx="989">
                  <c:v>31439</c:v>
                </c:pt>
                <c:pt idx="990">
                  <c:v>193152</c:v>
                </c:pt>
                <c:pt idx="991">
                  <c:v>445140</c:v>
                </c:pt>
                <c:pt idx="992">
                  <c:v>30177</c:v>
                </c:pt>
                <c:pt idx="993">
                  <c:v>170096</c:v>
                </c:pt>
                <c:pt idx="994">
                  <c:v>296760</c:v>
                </c:pt>
                <c:pt idx="995">
                  <c:v>48106</c:v>
                </c:pt>
                <c:pt idx="996">
                  <c:v>341523</c:v>
                </c:pt>
                <c:pt idx="997">
                  <c:v>13548</c:v>
                </c:pt>
                <c:pt idx="998">
                  <c:v>42080</c:v>
                </c:pt>
                <c:pt idx="999">
                  <c:v>255696</c:v>
                </c:pt>
                <c:pt idx="1000">
                  <c:v>18064</c:v>
                </c:pt>
                <c:pt idx="1001">
                  <c:v>289728</c:v>
                </c:pt>
                <c:pt idx="1002">
                  <c:v>86464</c:v>
                </c:pt>
                <c:pt idx="1003">
                  <c:v>59075</c:v>
                </c:pt>
                <c:pt idx="1004">
                  <c:v>68490</c:v>
                </c:pt>
                <c:pt idx="1005">
                  <c:v>252954</c:v>
                </c:pt>
                <c:pt idx="1006">
                  <c:v>172928</c:v>
                </c:pt>
                <c:pt idx="1007">
                  <c:v>30418</c:v>
                </c:pt>
                <c:pt idx="1008">
                  <c:v>79905</c:v>
                </c:pt>
                <c:pt idx="1009">
                  <c:v>26304</c:v>
                </c:pt>
                <c:pt idx="1010">
                  <c:v>78399</c:v>
                </c:pt>
                <c:pt idx="1011">
                  <c:v>154434</c:v>
                </c:pt>
                <c:pt idx="1012">
                  <c:v>42080</c:v>
                </c:pt>
                <c:pt idx="1013">
                  <c:v>48552</c:v>
                </c:pt>
                <c:pt idx="1014">
                  <c:v>18064</c:v>
                </c:pt>
                <c:pt idx="1015">
                  <c:v>191358</c:v>
                </c:pt>
                <c:pt idx="1016">
                  <c:v>21040</c:v>
                </c:pt>
                <c:pt idx="1017">
                  <c:v>376840</c:v>
                </c:pt>
                <c:pt idx="1018">
                  <c:v>19530</c:v>
                </c:pt>
                <c:pt idx="1019">
                  <c:v>36128</c:v>
                </c:pt>
                <c:pt idx="1020">
                  <c:v>390312</c:v>
                </c:pt>
                <c:pt idx="1021">
                  <c:v>35072</c:v>
                </c:pt>
                <c:pt idx="1022">
                  <c:v>241440</c:v>
                </c:pt>
                <c:pt idx="1023">
                  <c:v>346220</c:v>
                </c:pt>
                <c:pt idx="1024">
                  <c:v>86464</c:v>
                </c:pt>
                <c:pt idx="1025">
                  <c:v>289728</c:v>
                </c:pt>
                <c:pt idx="1026">
                  <c:v>119864</c:v>
                </c:pt>
                <c:pt idx="1027">
                  <c:v>59075</c:v>
                </c:pt>
                <c:pt idx="1028">
                  <c:v>43840</c:v>
                </c:pt>
                <c:pt idx="1029">
                  <c:v>47260</c:v>
                </c:pt>
                <c:pt idx="1030">
                  <c:v>66186</c:v>
                </c:pt>
                <c:pt idx="1031">
                  <c:v>421590</c:v>
                </c:pt>
                <c:pt idx="1032">
                  <c:v>85048</c:v>
                </c:pt>
                <c:pt idx="1033">
                  <c:v>226950</c:v>
                </c:pt>
                <c:pt idx="1034">
                  <c:v>269694</c:v>
                </c:pt>
                <c:pt idx="1035">
                  <c:v>2180</c:v>
                </c:pt>
                <c:pt idx="1036">
                  <c:v>378250</c:v>
                </c:pt>
                <c:pt idx="1037">
                  <c:v>198558</c:v>
                </c:pt>
                <c:pt idx="1038">
                  <c:v>84318</c:v>
                </c:pt>
                <c:pt idx="1039">
                  <c:v>95886</c:v>
                </c:pt>
                <c:pt idx="1040">
                  <c:v>120708</c:v>
                </c:pt>
                <c:pt idx="1041">
                  <c:v>255696</c:v>
                </c:pt>
                <c:pt idx="1042">
                  <c:v>13671</c:v>
                </c:pt>
                <c:pt idx="1043">
                  <c:v>45514</c:v>
                </c:pt>
                <c:pt idx="1044">
                  <c:v>341523</c:v>
                </c:pt>
                <c:pt idx="1045">
                  <c:v>421590</c:v>
                </c:pt>
                <c:pt idx="1046">
                  <c:v>482880</c:v>
                </c:pt>
                <c:pt idx="1047">
                  <c:v>290024</c:v>
                </c:pt>
                <c:pt idx="1048">
                  <c:v>30177</c:v>
                </c:pt>
                <c:pt idx="1049">
                  <c:v>191772</c:v>
                </c:pt>
                <c:pt idx="1050">
                  <c:v>40644</c:v>
                </c:pt>
                <c:pt idx="1051">
                  <c:v>148380</c:v>
                </c:pt>
                <c:pt idx="1052">
                  <c:v>390312</c:v>
                </c:pt>
                <c:pt idx="1053">
                  <c:v>188634</c:v>
                </c:pt>
                <c:pt idx="1054">
                  <c:v>302600</c:v>
                </c:pt>
                <c:pt idx="1055">
                  <c:v>1635</c:v>
                </c:pt>
                <c:pt idx="1056">
                  <c:v>30345</c:v>
                </c:pt>
                <c:pt idx="1057">
                  <c:v>209762</c:v>
                </c:pt>
                <c:pt idx="1058">
                  <c:v>150885</c:v>
                </c:pt>
                <c:pt idx="1059">
                  <c:v>25248</c:v>
                </c:pt>
                <c:pt idx="1060">
                  <c:v>34245</c:v>
                </c:pt>
                <c:pt idx="1061">
                  <c:v>1635</c:v>
                </c:pt>
                <c:pt idx="1062">
                  <c:v>132372</c:v>
                </c:pt>
                <c:pt idx="1063">
                  <c:v>31612</c:v>
                </c:pt>
                <c:pt idx="1064">
                  <c:v>261330</c:v>
                </c:pt>
                <c:pt idx="1065">
                  <c:v>84318</c:v>
                </c:pt>
                <c:pt idx="1066">
                  <c:v>22830</c:v>
                </c:pt>
                <c:pt idx="1067">
                  <c:v>395680</c:v>
                </c:pt>
                <c:pt idx="1068">
                  <c:v>33664</c:v>
                </c:pt>
                <c:pt idx="1069">
                  <c:v>42483</c:v>
                </c:pt>
                <c:pt idx="1070">
                  <c:v>29966</c:v>
                </c:pt>
                <c:pt idx="1071">
                  <c:v>30177</c:v>
                </c:pt>
                <c:pt idx="1072">
                  <c:v>170096</c:v>
                </c:pt>
                <c:pt idx="1073">
                  <c:v>31439</c:v>
                </c:pt>
                <c:pt idx="1074">
                  <c:v>45160</c:v>
                </c:pt>
                <c:pt idx="1075">
                  <c:v>59075</c:v>
                </c:pt>
                <c:pt idx="1076">
                  <c:v>68490</c:v>
                </c:pt>
                <c:pt idx="1077">
                  <c:v>338016</c:v>
                </c:pt>
                <c:pt idx="1078">
                  <c:v>130665</c:v>
                </c:pt>
                <c:pt idx="1079">
                  <c:v>195156</c:v>
                </c:pt>
                <c:pt idx="1080">
                  <c:v>54782</c:v>
                </c:pt>
                <c:pt idx="1081">
                  <c:v>9032</c:v>
                </c:pt>
                <c:pt idx="1082">
                  <c:v>48552</c:v>
                </c:pt>
                <c:pt idx="1083">
                  <c:v>2180</c:v>
                </c:pt>
                <c:pt idx="1084">
                  <c:v>127572</c:v>
                </c:pt>
                <c:pt idx="1085">
                  <c:v>23478</c:v>
                </c:pt>
                <c:pt idx="1086">
                  <c:v>17536</c:v>
                </c:pt>
                <c:pt idx="1087">
                  <c:v>121672</c:v>
                </c:pt>
                <c:pt idx="1088">
                  <c:v>455140</c:v>
                </c:pt>
                <c:pt idx="1089">
                  <c:v>29456</c:v>
                </c:pt>
                <c:pt idx="1090">
                  <c:v>61376</c:v>
                </c:pt>
                <c:pt idx="1091">
                  <c:v>90531</c:v>
                </c:pt>
                <c:pt idx="1092">
                  <c:v>235197</c:v>
                </c:pt>
                <c:pt idx="1093">
                  <c:v>1090</c:v>
                </c:pt>
                <c:pt idx="1094">
                  <c:v>288636</c:v>
                </c:pt>
                <c:pt idx="1095">
                  <c:v>384848</c:v>
                </c:pt>
                <c:pt idx="1096">
                  <c:v>13671</c:v>
                </c:pt>
                <c:pt idx="1097">
                  <c:v>136542</c:v>
                </c:pt>
                <c:pt idx="1098">
                  <c:v>106310</c:v>
                </c:pt>
                <c:pt idx="1099">
                  <c:v>5859</c:v>
                </c:pt>
                <c:pt idx="1100">
                  <c:v>96212</c:v>
                </c:pt>
                <c:pt idx="1101">
                  <c:v>18243</c:v>
                </c:pt>
                <c:pt idx="1102">
                  <c:v>42524</c:v>
                </c:pt>
                <c:pt idx="1103">
                  <c:v>84318</c:v>
                </c:pt>
                <c:pt idx="1104">
                  <c:v>45160</c:v>
                </c:pt>
                <c:pt idx="1105">
                  <c:v>182056</c:v>
                </c:pt>
                <c:pt idx="1106">
                  <c:v>94520</c:v>
                </c:pt>
                <c:pt idx="1107">
                  <c:v>301770</c:v>
                </c:pt>
                <c:pt idx="1108">
                  <c:v>106310</c:v>
                </c:pt>
                <c:pt idx="1109">
                  <c:v>59075</c:v>
                </c:pt>
                <c:pt idx="1110">
                  <c:v>43232</c:v>
                </c:pt>
                <c:pt idx="1111">
                  <c:v>72506</c:v>
                </c:pt>
                <c:pt idx="1112">
                  <c:v>36486</c:v>
                </c:pt>
                <c:pt idx="1113">
                  <c:v>3906</c:v>
                </c:pt>
                <c:pt idx="1114">
                  <c:v>7826</c:v>
                </c:pt>
                <c:pt idx="1115">
                  <c:v>91028</c:v>
                </c:pt>
                <c:pt idx="1116">
                  <c:v>151300</c:v>
                </c:pt>
                <c:pt idx="1117">
                  <c:v>35445</c:v>
                </c:pt>
                <c:pt idx="1118">
                  <c:v>78260</c:v>
                </c:pt>
                <c:pt idx="1119">
                  <c:v>362530</c:v>
                </c:pt>
                <c:pt idx="1120">
                  <c:v>182931</c:v>
                </c:pt>
                <c:pt idx="1121">
                  <c:v>25016</c:v>
                </c:pt>
                <c:pt idx="1122">
                  <c:v>164187</c:v>
                </c:pt>
                <c:pt idx="1123">
                  <c:v>200128</c:v>
                </c:pt>
                <c:pt idx="1124">
                  <c:v>52608</c:v>
                </c:pt>
                <c:pt idx="1125">
                  <c:v>269694</c:v>
                </c:pt>
                <c:pt idx="1126">
                  <c:v>216160</c:v>
                </c:pt>
                <c:pt idx="1127">
                  <c:v>149830</c:v>
                </c:pt>
                <c:pt idx="1128">
                  <c:v>75650</c:v>
                </c:pt>
                <c:pt idx="1129">
                  <c:v>250160</c:v>
                </c:pt>
                <c:pt idx="1130">
                  <c:v>296760</c:v>
                </c:pt>
                <c:pt idx="1131">
                  <c:v>341523</c:v>
                </c:pt>
                <c:pt idx="1132">
                  <c:v>95886</c:v>
                </c:pt>
                <c:pt idx="1133">
                  <c:v>54621</c:v>
                </c:pt>
                <c:pt idx="1134">
                  <c:v>96212</c:v>
                </c:pt>
                <c:pt idx="1135">
                  <c:v>301472</c:v>
                </c:pt>
                <c:pt idx="1136">
                  <c:v>216160</c:v>
                </c:pt>
                <c:pt idx="1137">
                  <c:v>23630</c:v>
                </c:pt>
                <c:pt idx="1138">
                  <c:v>17536</c:v>
                </c:pt>
                <c:pt idx="1139">
                  <c:v>33664</c:v>
                </c:pt>
                <c:pt idx="1140">
                  <c:v>127701</c:v>
                </c:pt>
                <c:pt idx="1141">
                  <c:v>11815</c:v>
                </c:pt>
                <c:pt idx="1142">
                  <c:v>182931</c:v>
                </c:pt>
                <c:pt idx="1143">
                  <c:v>4905</c:v>
                </c:pt>
                <c:pt idx="1144">
                  <c:v>13548</c:v>
                </c:pt>
                <c:pt idx="1145">
                  <c:v>119864</c:v>
                </c:pt>
                <c:pt idx="1146">
                  <c:v>282951</c:v>
                </c:pt>
                <c:pt idx="1147">
                  <c:v>91215</c:v>
                </c:pt>
                <c:pt idx="1148">
                  <c:v>59075</c:v>
                </c:pt>
                <c:pt idx="1149">
                  <c:v>44124</c:v>
                </c:pt>
                <c:pt idx="1150">
                  <c:v>225144</c:v>
                </c:pt>
                <c:pt idx="1151">
                  <c:v>144864</c:v>
                </c:pt>
                <c:pt idx="1152">
                  <c:v>182931</c:v>
                </c:pt>
                <c:pt idx="1153">
                  <c:v>22580</c:v>
                </c:pt>
                <c:pt idx="1154">
                  <c:v>346220</c:v>
                </c:pt>
                <c:pt idx="1155">
                  <c:v>119864</c:v>
                </c:pt>
                <c:pt idx="1156">
                  <c:v>409626</c:v>
                </c:pt>
                <c:pt idx="1157">
                  <c:v>98920</c:v>
                </c:pt>
                <c:pt idx="1158">
                  <c:v>191772</c:v>
                </c:pt>
                <c:pt idx="1159">
                  <c:v>4208</c:v>
                </c:pt>
                <c:pt idx="1160">
                  <c:v>26304</c:v>
                </c:pt>
                <c:pt idx="1161">
                  <c:v>42524</c:v>
                </c:pt>
                <c:pt idx="1162">
                  <c:v>287658</c:v>
                </c:pt>
                <c:pt idx="1163">
                  <c:v>227570</c:v>
                </c:pt>
                <c:pt idx="1164">
                  <c:v>337272</c:v>
                </c:pt>
                <c:pt idx="1165">
                  <c:v>17536</c:v>
                </c:pt>
                <c:pt idx="1166">
                  <c:v>145012</c:v>
                </c:pt>
                <c:pt idx="1167">
                  <c:v>341152</c:v>
                </c:pt>
                <c:pt idx="1168">
                  <c:v>127572</c:v>
                </c:pt>
                <c:pt idx="1169">
                  <c:v>144864</c:v>
                </c:pt>
                <c:pt idx="1170">
                  <c:v>4905</c:v>
                </c:pt>
                <c:pt idx="1171">
                  <c:v>132372</c:v>
                </c:pt>
                <c:pt idx="1172">
                  <c:v>150885</c:v>
                </c:pt>
                <c:pt idx="1173">
                  <c:v>386304</c:v>
                </c:pt>
                <c:pt idx="1174">
                  <c:v>145012</c:v>
                </c:pt>
                <c:pt idx="1175">
                  <c:v>481060</c:v>
                </c:pt>
                <c:pt idx="1176">
                  <c:v>108759</c:v>
                </c:pt>
                <c:pt idx="1177">
                  <c:v>188634</c:v>
                </c:pt>
                <c:pt idx="1178">
                  <c:v>125080</c:v>
                </c:pt>
                <c:pt idx="1179">
                  <c:v>390312</c:v>
                </c:pt>
                <c:pt idx="1180">
                  <c:v>1953</c:v>
                </c:pt>
                <c:pt idx="1181">
                  <c:v>212620</c:v>
                </c:pt>
                <c:pt idx="1182">
                  <c:v>11718</c:v>
                </c:pt>
                <c:pt idx="1183">
                  <c:v>125080</c:v>
                </c:pt>
                <c:pt idx="1184">
                  <c:v>362530</c:v>
                </c:pt>
                <c:pt idx="1185">
                  <c:v>46956</c:v>
                </c:pt>
                <c:pt idx="1186">
                  <c:v>17536</c:v>
                </c:pt>
                <c:pt idx="1187">
                  <c:v>164187</c:v>
                </c:pt>
                <c:pt idx="1188">
                  <c:v>63786</c:v>
                </c:pt>
                <c:pt idx="1189">
                  <c:v>52266</c:v>
                </c:pt>
                <c:pt idx="1190">
                  <c:v>8416</c:v>
                </c:pt>
                <c:pt idx="1191">
                  <c:v>86464</c:v>
                </c:pt>
                <c:pt idx="1192">
                  <c:v>9032</c:v>
                </c:pt>
                <c:pt idx="1193">
                  <c:v>66186</c:v>
                </c:pt>
                <c:pt idx="1194">
                  <c:v>57075</c:v>
                </c:pt>
                <c:pt idx="1195">
                  <c:v>150885</c:v>
                </c:pt>
                <c:pt idx="1196">
                  <c:v>95886</c:v>
                </c:pt>
                <c:pt idx="1197">
                  <c:v>30177</c:v>
                </c:pt>
                <c:pt idx="1198">
                  <c:v>54621</c:v>
                </c:pt>
                <c:pt idx="1199">
                  <c:v>108080</c:v>
                </c:pt>
                <c:pt idx="1200">
                  <c:v>181265</c:v>
                </c:pt>
                <c:pt idx="1201">
                  <c:v>42080</c:v>
                </c:pt>
                <c:pt idx="1202">
                  <c:v>18243</c:v>
                </c:pt>
                <c:pt idx="1203">
                  <c:v>37825</c:v>
                </c:pt>
                <c:pt idx="1204">
                  <c:v>182056</c:v>
                </c:pt>
                <c:pt idx="1205">
                  <c:v>15209</c:v>
                </c:pt>
                <c:pt idx="1206">
                  <c:v>235197</c:v>
                </c:pt>
                <c:pt idx="1207">
                  <c:v>60354</c:v>
                </c:pt>
                <c:pt idx="1208">
                  <c:v>31304</c:v>
                </c:pt>
                <c:pt idx="1209">
                  <c:v>70144</c:v>
                </c:pt>
                <c:pt idx="1210">
                  <c:v>82705</c:v>
                </c:pt>
                <c:pt idx="1211">
                  <c:v>89898</c:v>
                </c:pt>
                <c:pt idx="1212">
                  <c:v>326277</c:v>
                </c:pt>
                <c:pt idx="1213">
                  <c:v>13548</c:v>
                </c:pt>
                <c:pt idx="1214">
                  <c:v>37872</c:v>
                </c:pt>
                <c:pt idx="1215">
                  <c:v>16832</c:v>
                </c:pt>
                <c:pt idx="1216">
                  <c:v>164187</c:v>
                </c:pt>
                <c:pt idx="1217">
                  <c:v>384848</c:v>
                </c:pt>
                <c:pt idx="1218">
                  <c:v>164187</c:v>
                </c:pt>
                <c:pt idx="1219">
                  <c:v>11415</c:v>
                </c:pt>
                <c:pt idx="1220">
                  <c:v>225144</c:v>
                </c:pt>
                <c:pt idx="1221">
                  <c:v>37872</c:v>
                </c:pt>
                <c:pt idx="1222">
                  <c:v>46956</c:v>
                </c:pt>
                <c:pt idx="1223">
                  <c:v>113052</c:v>
                </c:pt>
                <c:pt idx="1224">
                  <c:v>209762</c:v>
                </c:pt>
                <c:pt idx="1225">
                  <c:v>545</c:v>
                </c:pt>
                <c:pt idx="1226">
                  <c:v>54621</c:v>
                </c:pt>
                <c:pt idx="1227">
                  <c:v>95886</c:v>
                </c:pt>
                <c:pt idx="1228">
                  <c:v>59075</c:v>
                </c:pt>
                <c:pt idx="1229">
                  <c:v>421590</c:v>
                </c:pt>
                <c:pt idx="1230">
                  <c:v>22830</c:v>
                </c:pt>
                <c:pt idx="1231">
                  <c:v>213220</c:v>
                </c:pt>
                <c:pt idx="1232">
                  <c:v>193152</c:v>
                </c:pt>
                <c:pt idx="1233">
                  <c:v>341523</c:v>
                </c:pt>
                <c:pt idx="1234">
                  <c:v>487890</c:v>
                </c:pt>
                <c:pt idx="1235">
                  <c:v>104532</c:v>
                </c:pt>
                <c:pt idx="1236">
                  <c:v>72506</c:v>
                </c:pt>
                <c:pt idx="1237">
                  <c:v>487890</c:v>
                </c:pt>
                <c:pt idx="1238">
                  <c:v>21262</c:v>
                </c:pt>
                <c:pt idx="1239">
                  <c:v>45660</c:v>
                </c:pt>
                <c:pt idx="1240">
                  <c:v>22062</c:v>
                </c:pt>
                <c:pt idx="1241">
                  <c:v>15624</c:v>
                </c:pt>
                <c:pt idx="1242">
                  <c:v>36253</c:v>
                </c:pt>
                <c:pt idx="1243">
                  <c:v>182056</c:v>
                </c:pt>
                <c:pt idx="1244">
                  <c:v>109458</c:v>
                </c:pt>
                <c:pt idx="1245">
                  <c:v>170096</c:v>
                </c:pt>
                <c:pt idx="1246">
                  <c:v>91320</c:v>
                </c:pt>
                <c:pt idx="1247">
                  <c:v>100064</c:v>
                </c:pt>
                <c:pt idx="1248">
                  <c:v>247300</c:v>
                </c:pt>
                <c:pt idx="1249">
                  <c:v>4208</c:v>
                </c:pt>
                <c:pt idx="1250">
                  <c:v>21616</c:v>
                </c:pt>
                <c:pt idx="1251">
                  <c:v>289728</c:v>
                </c:pt>
                <c:pt idx="1252">
                  <c:v>376840</c:v>
                </c:pt>
                <c:pt idx="1253">
                  <c:v>22830</c:v>
                </c:pt>
                <c:pt idx="1254">
                  <c:v>108080</c:v>
                </c:pt>
                <c:pt idx="1255">
                  <c:v>22830</c:v>
                </c:pt>
                <c:pt idx="1256">
                  <c:v>42644</c:v>
                </c:pt>
                <c:pt idx="1257">
                  <c:v>296760</c:v>
                </c:pt>
                <c:pt idx="1258">
                  <c:v>545</c:v>
                </c:pt>
                <c:pt idx="1259">
                  <c:v>48106</c:v>
                </c:pt>
                <c:pt idx="1260">
                  <c:v>432954</c:v>
                </c:pt>
                <c:pt idx="1261">
                  <c:v>27096</c:v>
                </c:pt>
                <c:pt idx="1262">
                  <c:v>126477</c:v>
                </c:pt>
                <c:pt idx="1263">
                  <c:v>22830</c:v>
                </c:pt>
                <c:pt idx="1264">
                  <c:v>48288</c:v>
                </c:pt>
                <c:pt idx="1265">
                  <c:v>68490</c:v>
                </c:pt>
                <c:pt idx="1266">
                  <c:v>150885</c:v>
                </c:pt>
                <c:pt idx="1267">
                  <c:v>223734</c:v>
                </c:pt>
                <c:pt idx="1268">
                  <c:v>235197</c:v>
                </c:pt>
                <c:pt idx="1269">
                  <c:v>97578</c:v>
                </c:pt>
                <c:pt idx="1270">
                  <c:v>346220</c:v>
                </c:pt>
                <c:pt idx="1271">
                  <c:v>386304</c:v>
                </c:pt>
                <c:pt idx="1272">
                  <c:v>12138</c:v>
                </c:pt>
                <c:pt idx="1273">
                  <c:v>182056</c:v>
                </c:pt>
                <c:pt idx="1274">
                  <c:v>46956</c:v>
                </c:pt>
                <c:pt idx="1275">
                  <c:v>455140</c:v>
                </c:pt>
                <c:pt idx="1276">
                  <c:v>18207</c:v>
                </c:pt>
                <c:pt idx="1277">
                  <c:v>18207</c:v>
                </c:pt>
                <c:pt idx="1278">
                  <c:v>179796</c:v>
                </c:pt>
                <c:pt idx="1279">
                  <c:v>223734</c:v>
                </c:pt>
                <c:pt idx="1280">
                  <c:v>235197</c:v>
                </c:pt>
                <c:pt idx="1281">
                  <c:v>22062</c:v>
                </c:pt>
                <c:pt idx="1282">
                  <c:v>70434</c:v>
                </c:pt>
                <c:pt idx="1283">
                  <c:v>213220</c:v>
                </c:pt>
                <c:pt idx="1284">
                  <c:v>68490</c:v>
                </c:pt>
                <c:pt idx="1285">
                  <c:v>44124</c:v>
                </c:pt>
                <c:pt idx="1286">
                  <c:v>298508</c:v>
                </c:pt>
                <c:pt idx="1287">
                  <c:v>11815</c:v>
                </c:pt>
                <c:pt idx="1288">
                  <c:v>227570</c:v>
                </c:pt>
                <c:pt idx="1289">
                  <c:v>26133</c:v>
                </c:pt>
                <c:pt idx="1290">
                  <c:v>263788</c:v>
                </c:pt>
                <c:pt idx="1291">
                  <c:v>75048</c:v>
                </c:pt>
                <c:pt idx="1292">
                  <c:v>45627</c:v>
                </c:pt>
                <c:pt idx="1293">
                  <c:v>48106</c:v>
                </c:pt>
                <c:pt idx="1294">
                  <c:v>243945</c:v>
                </c:pt>
                <c:pt idx="1295">
                  <c:v>426440</c:v>
                </c:pt>
                <c:pt idx="1296">
                  <c:v>94317</c:v>
                </c:pt>
                <c:pt idx="1297">
                  <c:v>108759</c:v>
                </c:pt>
                <c:pt idx="1298">
                  <c:v>192424</c:v>
                </c:pt>
                <c:pt idx="1299">
                  <c:v>102735</c:v>
                </c:pt>
                <c:pt idx="1300">
                  <c:v>168636</c:v>
                </c:pt>
                <c:pt idx="1301">
                  <c:v>48106</c:v>
                </c:pt>
                <c:pt idx="1302">
                  <c:v>145012</c:v>
                </c:pt>
                <c:pt idx="1303">
                  <c:v>11718</c:v>
                </c:pt>
                <c:pt idx="1304">
                  <c:v>150885</c:v>
                </c:pt>
                <c:pt idx="1305">
                  <c:v>36128</c:v>
                </c:pt>
                <c:pt idx="1306">
                  <c:v>386304</c:v>
                </c:pt>
                <c:pt idx="1307">
                  <c:v>319620</c:v>
                </c:pt>
                <c:pt idx="1308">
                  <c:v>98920</c:v>
                </c:pt>
                <c:pt idx="1309">
                  <c:v>72506</c:v>
                </c:pt>
                <c:pt idx="1310">
                  <c:v>70434</c:v>
                </c:pt>
                <c:pt idx="1311">
                  <c:v>226950</c:v>
                </c:pt>
                <c:pt idx="1312">
                  <c:v>45660</c:v>
                </c:pt>
                <c:pt idx="1313">
                  <c:v>7812</c:v>
                </c:pt>
                <c:pt idx="1314">
                  <c:v>282951</c:v>
                </c:pt>
                <c:pt idx="1315">
                  <c:v>108080</c:v>
                </c:pt>
                <c:pt idx="1316">
                  <c:v>48288</c:v>
                </c:pt>
                <c:pt idx="1317">
                  <c:v>87680</c:v>
                </c:pt>
                <c:pt idx="1318">
                  <c:v>6069</c:v>
                </c:pt>
                <c:pt idx="1319">
                  <c:v>181265</c:v>
                </c:pt>
                <c:pt idx="1320">
                  <c:v>35072</c:v>
                </c:pt>
                <c:pt idx="1321">
                  <c:v>154434</c:v>
                </c:pt>
                <c:pt idx="1322">
                  <c:v>247300</c:v>
                </c:pt>
                <c:pt idx="1323">
                  <c:v>172928</c:v>
                </c:pt>
                <c:pt idx="1324">
                  <c:v>1953</c:v>
                </c:pt>
                <c:pt idx="1325">
                  <c:v>487890</c:v>
                </c:pt>
                <c:pt idx="1326">
                  <c:v>24276</c:v>
                </c:pt>
                <c:pt idx="1327">
                  <c:v>151312</c:v>
                </c:pt>
                <c:pt idx="1328">
                  <c:v>84318</c:v>
                </c:pt>
                <c:pt idx="1329">
                  <c:v>30345</c:v>
                </c:pt>
                <c:pt idx="1330">
                  <c:v>44124</c:v>
                </c:pt>
                <c:pt idx="1331">
                  <c:v>339156</c:v>
                </c:pt>
                <c:pt idx="1332">
                  <c:v>48106</c:v>
                </c:pt>
                <c:pt idx="1333">
                  <c:v>182056</c:v>
                </c:pt>
                <c:pt idx="1334">
                  <c:v>179796</c:v>
                </c:pt>
                <c:pt idx="1335">
                  <c:v>223734</c:v>
                </c:pt>
                <c:pt idx="1336">
                  <c:v>43232</c:v>
                </c:pt>
                <c:pt idx="1337">
                  <c:v>86464</c:v>
                </c:pt>
                <c:pt idx="1338">
                  <c:v>21262</c:v>
                </c:pt>
                <c:pt idx="1339">
                  <c:v>299660</c:v>
                </c:pt>
                <c:pt idx="1340">
                  <c:v>295113</c:v>
                </c:pt>
                <c:pt idx="1341">
                  <c:v>150736</c:v>
                </c:pt>
                <c:pt idx="1342">
                  <c:v>144318</c:v>
                </c:pt>
                <c:pt idx="1343">
                  <c:v>94317</c:v>
                </c:pt>
                <c:pt idx="1344">
                  <c:v>189125</c:v>
                </c:pt>
                <c:pt idx="1345">
                  <c:v>146367</c:v>
                </c:pt>
                <c:pt idx="1346">
                  <c:v>60354</c:v>
                </c:pt>
                <c:pt idx="1347">
                  <c:v>36253</c:v>
                </c:pt>
                <c:pt idx="1348">
                  <c:v>545</c:v>
                </c:pt>
                <c:pt idx="1349">
                  <c:v>36486</c:v>
                </c:pt>
                <c:pt idx="1350">
                  <c:v>250160</c:v>
                </c:pt>
                <c:pt idx="1351">
                  <c:v>7812</c:v>
                </c:pt>
                <c:pt idx="1352">
                  <c:v>30345</c:v>
                </c:pt>
                <c:pt idx="1353">
                  <c:v>290024</c:v>
                </c:pt>
                <c:pt idx="1354">
                  <c:v>289728</c:v>
                </c:pt>
                <c:pt idx="1355">
                  <c:v>18243</c:v>
                </c:pt>
                <c:pt idx="1356">
                  <c:v>91320</c:v>
                </c:pt>
                <c:pt idx="1357">
                  <c:v>21616</c:v>
                </c:pt>
                <c:pt idx="1358">
                  <c:v>130665</c:v>
                </c:pt>
                <c:pt idx="1359">
                  <c:v>26304</c:v>
                </c:pt>
                <c:pt idx="1360">
                  <c:v>60354</c:v>
                </c:pt>
                <c:pt idx="1361">
                  <c:v>127848</c:v>
                </c:pt>
                <c:pt idx="1362">
                  <c:v>11415</c:v>
                </c:pt>
                <c:pt idx="1363">
                  <c:v>35445</c:v>
                </c:pt>
                <c:pt idx="1364">
                  <c:v>52266</c:v>
                </c:pt>
                <c:pt idx="1365">
                  <c:v>100064</c:v>
                </c:pt>
                <c:pt idx="1366">
                  <c:v>23630</c:v>
                </c:pt>
                <c:pt idx="1367">
                  <c:v>118150</c:v>
                </c:pt>
                <c:pt idx="1368">
                  <c:v>136542</c:v>
                </c:pt>
                <c:pt idx="1369">
                  <c:v>75368</c:v>
                </c:pt>
                <c:pt idx="1370">
                  <c:v>45160</c:v>
                </c:pt>
                <c:pt idx="1371">
                  <c:v>68490</c:v>
                </c:pt>
                <c:pt idx="1372">
                  <c:v>11415</c:v>
                </c:pt>
                <c:pt idx="1373">
                  <c:v>36253</c:v>
                </c:pt>
                <c:pt idx="1374">
                  <c:v>42483</c:v>
                </c:pt>
                <c:pt idx="1375">
                  <c:v>82705</c:v>
                </c:pt>
                <c:pt idx="1376">
                  <c:v>211239</c:v>
                </c:pt>
                <c:pt idx="1377">
                  <c:v>494600</c:v>
                </c:pt>
                <c:pt idx="1378">
                  <c:v>42080</c:v>
                </c:pt>
                <c:pt idx="1379">
                  <c:v>70890</c:v>
                </c:pt>
                <c:pt idx="1380">
                  <c:v>70434</c:v>
                </c:pt>
                <c:pt idx="1381">
                  <c:v>79905</c:v>
                </c:pt>
                <c:pt idx="1382">
                  <c:v>75368</c:v>
                </c:pt>
                <c:pt idx="1383">
                  <c:v>52266</c:v>
                </c:pt>
                <c:pt idx="1384">
                  <c:v>113475</c:v>
                </c:pt>
                <c:pt idx="1385">
                  <c:v>181062</c:v>
                </c:pt>
                <c:pt idx="1386">
                  <c:v>181062</c:v>
                </c:pt>
                <c:pt idx="1387">
                  <c:v>269694</c:v>
                </c:pt>
                <c:pt idx="1388">
                  <c:v>170096</c:v>
                </c:pt>
                <c:pt idx="1389">
                  <c:v>151312</c:v>
                </c:pt>
                <c:pt idx="1390">
                  <c:v>94520</c:v>
                </c:pt>
                <c:pt idx="1391">
                  <c:v>126477</c:v>
                </c:pt>
                <c:pt idx="1392">
                  <c:v>289728</c:v>
                </c:pt>
                <c:pt idx="1393">
                  <c:v>37872</c:v>
                </c:pt>
                <c:pt idx="1394">
                  <c:v>18064</c:v>
                </c:pt>
                <c:pt idx="1395">
                  <c:v>250160</c:v>
                </c:pt>
                <c:pt idx="1396">
                  <c:v>17536</c:v>
                </c:pt>
                <c:pt idx="1397">
                  <c:v>5450</c:v>
                </c:pt>
                <c:pt idx="1398">
                  <c:v>62878</c:v>
                </c:pt>
                <c:pt idx="1399">
                  <c:v>7812</c:v>
                </c:pt>
                <c:pt idx="1400">
                  <c:v>151300</c:v>
                </c:pt>
                <c:pt idx="1401">
                  <c:v>130665</c:v>
                </c:pt>
                <c:pt idx="1402">
                  <c:v>100064</c:v>
                </c:pt>
                <c:pt idx="1403">
                  <c:v>151312</c:v>
                </c:pt>
                <c:pt idx="1404">
                  <c:v>445140</c:v>
                </c:pt>
                <c:pt idx="1405">
                  <c:v>36414</c:v>
                </c:pt>
                <c:pt idx="1406">
                  <c:v>481060</c:v>
                </c:pt>
                <c:pt idx="1407">
                  <c:v>17536</c:v>
                </c:pt>
                <c:pt idx="1408">
                  <c:v>102735</c:v>
                </c:pt>
                <c:pt idx="1409">
                  <c:v>76045</c:v>
                </c:pt>
                <c:pt idx="1410">
                  <c:v>273084</c:v>
                </c:pt>
                <c:pt idx="1411">
                  <c:v>129696</c:v>
                </c:pt>
                <c:pt idx="1412">
                  <c:v>108759</c:v>
                </c:pt>
                <c:pt idx="1413">
                  <c:v>15624</c:v>
                </c:pt>
                <c:pt idx="1414">
                  <c:v>44124</c:v>
                </c:pt>
                <c:pt idx="1415">
                  <c:v>94317</c:v>
                </c:pt>
                <c:pt idx="1416">
                  <c:v>62608</c:v>
                </c:pt>
                <c:pt idx="1417">
                  <c:v>11718</c:v>
                </c:pt>
                <c:pt idx="1418">
                  <c:v>269694</c:v>
                </c:pt>
                <c:pt idx="1419">
                  <c:v>48789</c:v>
                </c:pt>
                <c:pt idx="1420">
                  <c:v>255696</c:v>
                </c:pt>
                <c:pt idx="1421">
                  <c:v>50032</c:v>
                </c:pt>
                <c:pt idx="1422">
                  <c:v>15652</c:v>
                </c:pt>
                <c:pt idx="1423">
                  <c:v>193152</c:v>
                </c:pt>
                <c:pt idx="1424">
                  <c:v>434592</c:v>
                </c:pt>
                <c:pt idx="1425">
                  <c:v>18243</c:v>
                </c:pt>
                <c:pt idx="1426">
                  <c:v>287658</c:v>
                </c:pt>
                <c:pt idx="1427">
                  <c:v>75650</c:v>
                </c:pt>
                <c:pt idx="1428">
                  <c:v>341523</c:v>
                </c:pt>
                <c:pt idx="1429">
                  <c:v>31439</c:v>
                </c:pt>
                <c:pt idx="1430">
                  <c:v>37825</c:v>
                </c:pt>
                <c:pt idx="1431">
                  <c:v>341152</c:v>
                </c:pt>
                <c:pt idx="1432">
                  <c:v>159810</c:v>
                </c:pt>
                <c:pt idx="1433">
                  <c:v>30177</c:v>
                </c:pt>
                <c:pt idx="1434">
                  <c:v>39130</c:v>
                </c:pt>
                <c:pt idx="1435">
                  <c:v>5450</c:v>
                </c:pt>
                <c:pt idx="1436">
                  <c:v>64848</c:v>
                </c:pt>
                <c:pt idx="1437">
                  <c:v>148834</c:v>
                </c:pt>
                <c:pt idx="1438">
                  <c:v>250160</c:v>
                </c:pt>
                <c:pt idx="1439">
                  <c:v>121672</c:v>
                </c:pt>
                <c:pt idx="1440">
                  <c:v>455140</c:v>
                </c:pt>
                <c:pt idx="1441">
                  <c:v>91320</c:v>
                </c:pt>
                <c:pt idx="1442">
                  <c:v>18207</c:v>
                </c:pt>
                <c:pt idx="1443">
                  <c:v>9032</c:v>
                </c:pt>
                <c:pt idx="1444">
                  <c:v>60836</c:v>
                </c:pt>
                <c:pt idx="1445">
                  <c:v>15624</c:v>
                </c:pt>
                <c:pt idx="1446">
                  <c:v>243945</c:v>
                </c:pt>
                <c:pt idx="1447">
                  <c:v>23478</c:v>
                </c:pt>
                <c:pt idx="1448">
                  <c:v>95886</c:v>
                </c:pt>
                <c:pt idx="1449">
                  <c:v>13548</c:v>
                </c:pt>
                <c:pt idx="1450">
                  <c:v>379431</c:v>
                </c:pt>
                <c:pt idx="1451">
                  <c:v>15209</c:v>
                </c:pt>
                <c:pt idx="1452">
                  <c:v>181062</c:v>
                </c:pt>
                <c:pt idx="1453">
                  <c:v>434592</c:v>
                </c:pt>
                <c:pt idx="1454">
                  <c:v>290024</c:v>
                </c:pt>
                <c:pt idx="1455">
                  <c:v>243945</c:v>
                </c:pt>
                <c:pt idx="1456">
                  <c:v>5450</c:v>
                </c:pt>
                <c:pt idx="1457">
                  <c:v>301472</c:v>
                </c:pt>
                <c:pt idx="1458">
                  <c:v>60836</c:v>
                </c:pt>
                <c:pt idx="1459">
                  <c:v>273084</c:v>
                </c:pt>
                <c:pt idx="1460">
                  <c:v>125756</c:v>
                </c:pt>
                <c:pt idx="1461">
                  <c:v>31962</c:v>
                </c:pt>
                <c:pt idx="1462">
                  <c:v>182056</c:v>
                </c:pt>
                <c:pt idx="1463">
                  <c:v>30177</c:v>
                </c:pt>
                <c:pt idx="1464">
                  <c:v>182056</c:v>
                </c:pt>
                <c:pt idx="1465">
                  <c:v>30177</c:v>
                </c:pt>
                <c:pt idx="1466">
                  <c:v>121672</c:v>
                </c:pt>
                <c:pt idx="1467">
                  <c:v>172928</c:v>
                </c:pt>
                <c:pt idx="1468">
                  <c:v>94317</c:v>
                </c:pt>
                <c:pt idx="1469">
                  <c:v>60354</c:v>
                </c:pt>
                <c:pt idx="1470">
                  <c:v>18064</c:v>
                </c:pt>
                <c:pt idx="1471">
                  <c:v>150885</c:v>
                </c:pt>
                <c:pt idx="1472">
                  <c:v>376840</c:v>
                </c:pt>
                <c:pt idx="1473">
                  <c:v>379431</c:v>
                </c:pt>
                <c:pt idx="1474">
                  <c:v>76045</c:v>
                </c:pt>
                <c:pt idx="1475">
                  <c:v>17577</c:v>
                </c:pt>
                <c:pt idx="1476">
                  <c:v>3906</c:v>
                </c:pt>
                <c:pt idx="1477">
                  <c:v>130665</c:v>
                </c:pt>
                <c:pt idx="1478">
                  <c:v>110310</c:v>
                </c:pt>
                <c:pt idx="1479">
                  <c:v>70144</c:v>
                </c:pt>
                <c:pt idx="1480">
                  <c:v>31439</c:v>
                </c:pt>
                <c:pt idx="1481">
                  <c:v>1953</c:v>
                </c:pt>
                <c:pt idx="1482">
                  <c:v>151312</c:v>
                </c:pt>
                <c:pt idx="1483">
                  <c:v>54782</c:v>
                </c:pt>
                <c:pt idx="1484">
                  <c:v>79905</c:v>
                </c:pt>
                <c:pt idx="1485">
                  <c:v>127848</c:v>
                </c:pt>
                <c:pt idx="1486">
                  <c:v>269694</c:v>
                </c:pt>
                <c:pt idx="1487">
                  <c:v>48789</c:v>
                </c:pt>
                <c:pt idx="1488">
                  <c:v>421590</c:v>
                </c:pt>
                <c:pt idx="1489">
                  <c:v>26304</c:v>
                </c:pt>
                <c:pt idx="1490">
                  <c:v>18064</c:v>
                </c:pt>
                <c:pt idx="1491">
                  <c:v>127932</c:v>
                </c:pt>
                <c:pt idx="1492">
                  <c:v>24276</c:v>
                </c:pt>
                <c:pt idx="1493">
                  <c:v>13548</c:v>
                </c:pt>
                <c:pt idx="1494">
                  <c:v>30345</c:v>
                </c:pt>
                <c:pt idx="1495">
                  <c:v>54782</c:v>
                </c:pt>
                <c:pt idx="1496">
                  <c:v>545</c:v>
                </c:pt>
                <c:pt idx="1497">
                  <c:v>54621</c:v>
                </c:pt>
                <c:pt idx="1498">
                  <c:v>362530</c:v>
                </c:pt>
                <c:pt idx="1499">
                  <c:v>87680</c:v>
                </c:pt>
              </c:numCache>
            </c:numRef>
          </c:yVal>
          <c:smooth val="0"/>
          <c:extLst>
            <c:ext xmlns:c16="http://schemas.microsoft.com/office/drawing/2014/chart" uri="{C3380CC4-5D6E-409C-BE32-E72D297353CC}">
              <c16:uniqueId val="{00000000-6EE1-4685-AB58-533CFCFB9A61}"/>
            </c:ext>
          </c:extLst>
        </c:ser>
        <c:dLbls>
          <c:showLegendKey val="0"/>
          <c:showVal val="0"/>
          <c:showCatName val="0"/>
          <c:showSerName val="0"/>
          <c:showPercent val="0"/>
          <c:showBubbleSize val="0"/>
        </c:dLbls>
        <c:axId val="1213782704"/>
        <c:axId val="1213753904"/>
      </c:scatterChart>
      <c:valAx>
        <c:axId val="1213782704"/>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3753904"/>
        <c:crosses val="autoZero"/>
        <c:crossBetween val="midCat"/>
      </c:valAx>
      <c:valAx>
        <c:axId val="1213753904"/>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3782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[HRUDHUN S - VelocityRetail_Final_Project.xlsx]Pivo &amp; Measures!PivotTable4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BUDGET</a:t>
            </a:r>
            <a:r>
              <a:rPr lang="en-IN" baseline="0"/>
              <a:t> VS ACTUAL BY DEPARTMENT</a:t>
            </a:r>
            <a:endParaRPr lang="en-IN"/>
          </a:p>
        </c:rich>
      </c:tx>
      <c:layout>
        <c:manualLayout>
          <c:xMode val="edge"/>
          <c:yMode val="edge"/>
          <c:x val="0.14841493970758193"/>
          <c:y val="2.70432679510870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 &amp; Measures'!$C$58</c:f>
              <c:strCache>
                <c:ptCount val="1"/>
                <c:pt idx="0">
                  <c:v>Sum of BudgetExpense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 &amp; Measures'!$B$59:$B$64</c:f>
              <c:strCache>
                <c:ptCount val="5"/>
                <c:pt idx="0">
                  <c:v>Finance</c:v>
                </c:pt>
                <c:pt idx="1">
                  <c:v>HR</c:v>
                </c:pt>
                <c:pt idx="2">
                  <c:v>IT</c:v>
                </c:pt>
                <c:pt idx="3">
                  <c:v>Operations</c:v>
                </c:pt>
                <c:pt idx="4">
                  <c:v>Sales</c:v>
                </c:pt>
              </c:strCache>
            </c:strRef>
          </c:cat>
          <c:val>
            <c:numRef>
              <c:f>'Pivo &amp; Measures'!$C$59:$C$64</c:f>
              <c:numCache>
                <c:formatCode>General</c:formatCode>
                <c:ptCount val="5"/>
                <c:pt idx="0">
                  <c:v>4071407</c:v>
                </c:pt>
                <c:pt idx="1">
                  <c:v>3713445</c:v>
                </c:pt>
                <c:pt idx="2">
                  <c:v>4188005</c:v>
                </c:pt>
                <c:pt idx="3">
                  <c:v>3577819</c:v>
                </c:pt>
                <c:pt idx="4">
                  <c:v>3834990</c:v>
                </c:pt>
              </c:numCache>
            </c:numRef>
          </c:val>
          <c:extLst>
            <c:ext xmlns:c16="http://schemas.microsoft.com/office/drawing/2014/chart" uri="{C3380CC4-5D6E-409C-BE32-E72D297353CC}">
              <c16:uniqueId val="{00000000-63FA-4A50-8EFC-0656A959D317}"/>
            </c:ext>
          </c:extLst>
        </c:ser>
        <c:ser>
          <c:idx val="1"/>
          <c:order val="1"/>
          <c:tx>
            <c:strRef>
              <c:f>'Pivo &amp; Measures'!$D$58</c:f>
              <c:strCache>
                <c:ptCount val="1"/>
                <c:pt idx="0">
                  <c:v>Sum of ActualExpense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 &amp; Measures'!$B$59:$B$64</c:f>
              <c:strCache>
                <c:ptCount val="5"/>
                <c:pt idx="0">
                  <c:v>Finance</c:v>
                </c:pt>
                <c:pt idx="1">
                  <c:v>HR</c:v>
                </c:pt>
                <c:pt idx="2">
                  <c:v>IT</c:v>
                </c:pt>
                <c:pt idx="3">
                  <c:v>Operations</c:v>
                </c:pt>
                <c:pt idx="4">
                  <c:v>Sales</c:v>
                </c:pt>
              </c:strCache>
            </c:strRef>
          </c:cat>
          <c:val>
            <c:numRef>
              <c:f>'Pivo &amp; Measures'!$D$59:$D$64</c:f>
              <c:numCache>
                <c:formatCode>General</c:formatCode>
                <c:ptCount val="5"/>
                <c:pt idx="0">
                  <c:v>4229038</c:v>
                </c:pt>
                <c:pt idx="1">
                  <c:v>3679433</c:v>
                </c:pt>
                <c:pt idx="2">
                  <c:v>4264175</c:v>
                </c:pt>
                <c:pt idx="3">
                  <c:v>3586615</c:v>
                </c:pt>
                <c:pt idx="4">
                  <c:v>3900896</c:v>
                </c:pt>
              </c:numCache>
            </c:numRef>
          </c:val>
          <c:extLst>
            <c:ext xmlns:c16="http://schemas.microsoft.com/office/drawing/2014/chart" uri="{C3380CC4-5D6E-409C-BE32-E72D297353CC}">
              <c16:uniqueId val="{00000001-63FA-4A50-8EFC-0656A959D317}"/>
            </c:ext>
          </c:extLst>
        </c:ser>
        <c:dLbls>
          <c:showLegendKey val="0"/>
          <c:showVal val="0"/>
          <c:showCatName val="0"/>
          <c:showSerName val="0"/>
          <c:showPercent val="0"/>
          <c:showBubbleSize val="0"/>
        </c:dLbls>
        <c:gapWidth val="100"/>
        <c:overlap val="-24"/>
        <c:axId val="422142607"/>
        <c:axId val="422140687"/>
      </c:barChart>
      <c:catAx>
        <c:axId val="422142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2140687"/>
        <c:crosses val="autoZero"/>
        <c:auto val="1"/>
        <c:lblAlgn val="ctr"/>
        <c:lblOffset val="100"/>
        <c:noMultiLvlLbl val="0"/>
      </c:catAx>
      <c:valAx>
        <c:axId val="422140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21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9928</xdr:colOff>
      <xdr:row>3</xdr:row>
      <xdr:rowOff>21548</xdr:rowOff>
    </xdr:from>
    <xdr:ext cx="2031144" cy="344733"/>
    <xdr:sp macro="" textlink="">
      <xdr:nvSpPr>
        <xdr:cNvPr id="2" name="TextBox 1">
          <a:extLst>
            <a:ext uri="{FF2B5EF4-FFF2-40B4-BE49-F238E27FC236}">
              <a16:creationId xmlns:a16="http://schemas.microsoft.com/office/drawing/2014/main" id="{9199E791-CD78-798A-D0A3-674A8EEE986E}"/>
            </a:ext>
          </a:extLst>
        </xdr:cNvPr>
        <xdr:cNvSpPr txBox="1"/>
      </xdr:nvSpPr>
      <xdr:spPr>
        <a:xfrm>
          <a:off x="622249" y="565834"/>
          <a:ext cx="2031144" cy="344733"/>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200" b="1">
              <a:solidFill>
                <a:sysClr val="windowText" lastClr="000000"/>
              </a:solidFill>
            </a:rPr>
            <a:t>PRODUCT BY REVENUE</a:t>
          </a:r>
        </a:p>
      </xdr:txBody>
    </xdr:sp>
    <xdr:clientData/>
  </xdr:oneCellAnchor>
  <xdr:oneCellAnchor>
    <xdr:from>
      <xdr:col>1</xdr:col>
      <xdr:colOff>8639</xdr:colOff>
      <xdr:row>14</xdr:row>
      <xdr:rowOff>54207</xdr:rowOff>
    </xdr:from>
    <xdr:ext cx="2039992" cy="312331"/>
    <xdr:sp macro="" textlink="">
      <xdr:nvSpPr>
        <xdr:cNvPr id="3" name="TextBox 2">
          <a:extLst>
            <a:ext uri="{FF2B5EF4-FFF2-40B4-BE49-F238E27FC236}">
              <a16:creationId xmlns:a16="http://schemas.microsoft.com/office/drawing/2014/main" id="{9EA1918A-18CA-4C69-9368-80AFED892063}"/>
            </a:ext>
          </a:extLst>
        </xdr:cNvPr>
        <xdr:cNvSpPr txBox="1"/>
      </xdr:nvSpPr>
      <xdr:spPr>
        <a:xfrm>
          <a:off x="620960" y="2594207"/>
          <a:ext cx="2039992" cy="312331"/>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100" b="1">
              <a:solidFill>
                <a:sysClr val="windowText" lastClr="000000"/>
              </a:solidFill>
            </a:rPr>
            <a:t>TOP</a:t>
          </a:r>
          <a:r>
            <a:rPr lang="en-IN" sz="1100" b="1" baseline="0">
              <a:solidFill>
                <a:sysClr val="windowText" lastClr="000000"/>
              </a:solidFill>
            </a:rPr>
            <a:t>5 PRODUCT BY REVENUE</a:t>
          </a:r>
          <a:endParaRPr lang="en-IN" sz="1100" b="1">
            <a:solidFill>
              <a:sysClr val="windowText" lastClr="000000"/>
            </a:solidFill>
          </a:endParaRPr>
        </a:p>
      </xdr:txBody>
    </xdr:sp>
    <xdr:clientData/>
  </xdr:oneCellAnchor>
  <xdr:oneCellAnchor>
    <xdr:from>
      <xdr:col>1</xdr:col>
      <xdr:colOff>7744</xdr:colOff>
      <xdr:row>25</xdr:row>
      <xdr:rowOff>23232</xdr:rowOff>
    </xdr:from>
    <xdr:ext cx="5162972" cy="348716"/>
    <xdr:sp macro="" textlink="">
      <xdr:nvSpPr>
        <xdr:cNvPr id="4" name="TextBox 3">
          <a:extLst>
            <a:ext uri="{FF2B5EF4-FFF2-40B4-BE49-F238E27FC236}">
              <a16:creationId xmlns:a16="http://schemas.microsoft.com/office/drawing/2014/main" id="{18A54CBD-E2AA-45D0-A6DD-0F881448B17A}"/>
            </a:ext>
          </a:extLst>
        </xdr:cNvPr>
        <xdr:cNvSpPr txBox="1"/>
      </xdr:nvSpPr>
      <xdr:spPr>
        <a:xfrm>
          <a:off x="620065" y="4558946"/>
          <a:ext cx="5162972" cy="348716"/>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400" b="1">
              <a:solidFill>
                <a:sysClr val="windowText" lastClr="000000"/>
              </a:solidFill>
            </a:rPr>
            <a:t>REVENUE</a:t>
          </a:r>
          <a:r>
            <a:rPr lang="en-IN" sz="1400" b="1" baseline="0">
              <a:solidFill>
                <a:sysClr val="windowText" lastClr="000000"/>
              </a:solidFill>
            </a:rPr>
            <a:t> BY REGION</a:t>
          </a:r>
        </a:p>
        <a:p>
          <a:pPr algn="ctr"/>
          <a:endParaRPr lang="en-IN" sz="1100" b="1">
            <a:solidFill>
              <a:sysClr val="windowText" lastClr="000000"/>
            </a:solidFill>
          </a:endParaRPr>
        </a:p>
      </xdr:txBody>
    </xdr:sp>
    <xdr:clientData/>
  </xdr:oneCellAnchor>
  <xdr:oneCellAnchor>
    <xdr:from>
      <xdr:col>1</xdr:col>
      <xdr:colOff>12495</xdr:colOff>
      <xdr:row>36</xdr:row>
      <xdr:rowOff>69695</xdr:rowOff>
    </xdr:from>
    <xdr:ext cx="2036135" cy="306474"/>
    <xdr:sp macro="" textlink="">
      <xdr:nvSpPr>
        <xdr:cNvPr id="5" name="TextBox 4">
          <a:extLst>
            <a:ext uri="{FF2B5EF4-FFF2-40B4-BE49-F238E27FC236}">
              <a16:creationId xmlns:a16="http://schemas.microsoft.com/office/drawing/2014/main" id="{EDA22CFA-C8A2-4C30-87BF-60D0C72ED337}"/>
            </a:ext>
          </a:extLst>
        </xdr:cNvPr>
        <xdr:cNvSpPr txBox="1"/>
      </xdr:nvSpPr>
      <xdr:spPr>
        <a:xfrm>
          <a:off x="624816" y="6601124"/>
          <a:ext cx="2036135" cy="306474"/>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100" b="1">
              <a:solidFill>
                <a:sysClr val="windowText" lastClr="000000"/>
              </a:solidFill>
            </a:rPr>
            <a:t> </a:t>
          </a:r>
          <a:r>
            <a:rPr lang="en-IN" sz="1200" b="1">
              <a:solidFill>
                <a:sysClr val="windowText" lastClr="000000"/>
              </a:solidFill>
            </a:rPr>
            <a:t>Monthly Revenue Trend</a:t>
          </a:r>
        </a:p>
      </xdr:txBody>
    </xdr:sp>
    <xdr:clientData/>
  </xdr:oneCellAnchor>
  <xdr:oneCellAnchor>
    <xdr:from>
      <xdr:col>4</xdr:col>
      <xdr:colOff>1674</xdr:colOff>
      <xdr:row>3</xdr:row>
      <xdr:rowOff>54207</xdr:rowOff>
    </xdr:from>
    <xdr:ext cx="4942256" cy="315118"/>
    <xdr:sp macro="" textlink="">
      <xdr:nvSpPr>
        <xdr:cNvPr id="6" name="TextBox 5">
          <a:extLst>
            <a:ext uri="{FF2B5EF4-FFF2-40B4-BE49-F238E27FC236}">
              <a16:creationId xmlns:a16="http://schemas.microsoft.com/office/drawing/2014/main" id="{126CD31F-A5B1-46F0-A817-AA8E979C2D79}"/>
            </a:ext>
          </a:extLst>
        </xdr:cNvPr>
        <xdr:cNvSpPr txBox="1"/>
      </xdr:nvSpPr>
      <xdr:spPr>
        <a:xfrm>
          <a:off x="4076257" y="598493"/>
          <a:ext cx="4942256" cy="315118"/>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200" b="1">
              <a:solidFill>
                <a:sysClr val="windowText" lastClr="000000"/>
              </a:solidFill>
            </a:rPr>
            <a:t>Department-wise Headcount &amp; Attrition</a:t>
          </a:r>
        </a:p>
      </xdr:txBody>
    </xdr:sp>
    <xdr:clientData/>
  </xdr:oneCellAnchor>
  <xdr:oneCellAnchor>
    <xdr:from>
      <xdr:col>5</xdr:col>
      <xdr:colOff>1117470</xdr:colOff>
      <xdr:row>15</xdr:row>
      <xdr:rowOff>15488</xdr:rowOff>
    </xdr:from>
    <xdr:ext cx="6277958" cy="356218"/>
    <xdr:sp macro="" textlink="">
      <xdr:nvSpPr>
        <xdr:cNvPr id="7" name="TextBox 6">
          <a:extLst>
            <a:ext uri="{FF2B5EF4-FFF2-40B4-BE49-F238E27FC236}">
              <a16:creationId xmlns:a16="http://schemas.microsoft.com/office/drawing/2014/main" id="{E92017E5-55B7-4B31-8FF4-8BAFC655D857}"/>
            </a:ext>
          </a:extLst>
        </xdr:cNvPr>
        <xdr:cNvSpPr txBox="1"/>
      </xdr:nvSpPr>
      <xdr:spPr>
        <a:xfrm>
          <a:off x="7088019" y="2803293"/>
          <a:ext cx="6277958" cy="356218"/>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600" b="1">
              <a:solidFill>
                <a:sysClr val="windowText" lastClr="000000"/>
              </a:solidFill>
            </a:rPr>
            <a:t>Budget vs Actual Expense by Department</a:t>
          </a:r>
        </a:p>
      </xdr:txBody>
    </xdr:sp>
    <xdr:clientData/>
  </xdr:oneCellAnchor>
  <xdr:oneCellAnchor>
    <xdr:from>
      <xdr:col>6</xdr:col>
      <xdr:colOff>10423</xdr:colOff>
      <xdr:row>29</xdr:row>
      <xdr:rowOff>15488</xdr:rowOff>
    </xdr:from>
    <xdr:ext cx="6120352" cy="354458"/>
    <xdr:sp macro="" textlink="">
      <xdr:nvSpPr>
        <xdr:cNvPr id="8" name="TextBox 7">
          <a:extLst>
            <a:ext uri="{FF2B5EF4-FFF2-40B4-BE49-F238E27FC236}">
              <a16:creationId xmlns:a16="http://schemas.microsoft.com/office/drawing/2014/main" id="{C6D683A2-323F-41A8-B0E8-8C3F4261B610}"/>
            </a:ext>
          </a:extLst>
        </xdr:cNvPr>
        <xdr:cNvSpPr txBox="1"/>
      </xdr:nvSpPr>
      <xdr:spPr>
        <a:xfrm>
          <a:off x="6927387" y="5276917"/>
          <a:ext cx="6120352" cy="354458"/>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800" b="1">
              <a:solidFill>
                <a:sysClr val="windowText" lastClr="000000"/>
              </a:solidFill>
            </a:rPr>
            <a:t>Revenue by Region and Category</a:t>
          </a:r>
        </a:p>
      </xdr:txBody>
    </xdr:sp>
    <xdr:clientData/>
  </xdr:oneCellAnchor>
  <xdr:oneCellAnchor>
    <xdr:from>
      <xdr:col>6</xdr:col>
      <xdr:colOff>8949</xdr:colOff>
      <xdr:row>42</xdr:row>
      <xdr:rowOff>98274</xdr:rowOff>
    </xdr:from>
    <xdr:ext cx="4723313" cy="273435"/>
    <xdr:sp macro="" textlink="">
      <xdr:nvSpPr>
        <xdr:cNvPr id="9" name="TextBox 8">
          <a:extLst>
            <a:ext uri="{FF2B5EF4-FFF2-40B4-BE49-F238E27FC236}">
              <a16:creationId xmlns:a16="http://schemas.microsoft.com/office/drawing/2014/main" id="{713D38E8-657E-478F-B8A8-F66B7780430E}"/>
            </a:ext>
          </a:extLst>
        </xdr:cNvPr>
        <xdr:cNvSpPr txBox="1"/>
      </xdr:nvSpPr>
      <xdr:spPr>
        <a:xfrm>
          <a:off x="6925913" y="7718274"/>
          <a:ext cx="4723313" cy="27343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noAutofit/>
        </a:bodyPr>
        <a:lstStyle/>
        <a:p>
          <a:pPr algn="ctr"/>
          <a:r>
            <a:rPr lang="en-IN" sz="1200" b="1">
              <a:solidFill>
                <a:sysClr val="windowText" lastClr="000000"/>
              </a:solidFill>
            </a:rPr>
            <a:t> </a:t>
          </a:r>
          <a:r>
            <a:rPr lang="en-IN" sz="1400" b="1">
              <a:solidFill>
                <a:sysClr val="windowText" lastClr="000000"/>
              </a:solidFill>
            </a:rPr>
            <a:t>Employee Salary Distribution by Department</a:t>
          </a:r>
        </a:p>
      </xdr:txBody>
    </xdr:sp>
    <xdr:clientData/>
  </xdr:oneCellAnchor>
  <xdr:oneCellAnchor>
    <xdr:from>
      <xdr:col>3</xdr:col>
      <xdr:colOff>402683</xdr:colOff>
      <xdr:row>3</xdr:row>
      <xdr:rowOff>85183</xdr:rowOff>
    </xdr:from>
    <xdr:ext cx="184731" cy="264560"/>
    <xdr:sp macro="" textlink="">
      <xdr:nvSpPr>
        <xdr:cNvPr id="11" name="TextBox 10">
          <a:extLst>
            <a:ext uri="{FF2B5EF4-FFF2-40B4-BE49-F238E27FC236}">
              <a16:creationId xmlns:a16="http://schemas.microsoft.com/office/drawing/2014/main" id="{276F5AD4-451B-9BBA-3173-B1D7DBBAEE37}"/>
            </a:ext>
          </a:extLst>
        </xdr:cNvPr>
        <xdr:cNvSpPr txBox="1"/>
      </xdr:nvSpPr>
      <xdr:spPr>
        <a:xfrm>
          <a:off x="2965915" y="6427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141100</xdr:colOff>
      <xdr:row>9</xdr:row>
      <xdr:rowOff>126994</xdr:rowOff>
    </xdr:from>
    <xdr:to>
      <xdr:col>5</xdr:col>
      <xdr:colOff>508001</xdr:colOff>
      <xdr:row>21</xdr:row>
      <xdr:rowOff>183439</xdr:rowOff>
    </xdr:to>
    <xdr:graphicFrame macro="">
      <xdr:nvGraphicFramePr>
        <xdr:cNvPr id="2" name="Chart 1">
          <a:extLst>
            <a:ext uri="{FF2B5EF4-FFF2-40B4-BE49-F238E27FC236}">
              <a16:creationId xmlns:a16="http://schemas.microsoft.com/office/drawing/2014/main" id="{53C31DD2-AC0C-548E-B465-FA6CD06E7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545428</xdr:colOff>
      <xdr:row>9</xdr:row>
      <xdr:rowOff>122871</xdr:rowOff>
    </xdr:from>
    <xdr:to>
      <xdr:col>11</xdr:col>
      <xdr:colOff>112888</xdr:colOff>
      <xdr:row>21</xdr:row>
      <xdr:rowOff>183439</xdr:rowOff>
    </xdr:to>
    <xdr:graphicFrame macro="">
      <xdr:nvGraphicFramePr>
        <xdr:cNvPr id="3" name="Chart 2">
          <a:extLst>
            <a:ext uri="{FF2B5EF4-FFF2-40B4-BE49-F238E27FC236}">
              <a16:creationId xmlns:a16="http://schemas.microsoft.com/office/drawing/2014/main" id="{2339640B-AB83-ECFC-E712-1AAAFC048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148160</xdr:colOff>
      <xdr:row>9</xdr:row>
      <xdr:rowOff>119946</xdr:rowOff>
    </xdr:from>
    <xdr:to>
      <xdr:col>16</xdr:col>
      <xdr:colOff>324554</xdr:colOff>
      <xdr:row>21</xdr:row>
      <xdr:rowOff>176389</xdr:rowOff>
    </xdr:to>
    <xdr:graphicFrame macro="">
      <xdr:nvGraphicFramePr>
        <xdr:cNvPr id="4" name="Chart 3">
          <a:extLst>
            <a:ext uri="{FF2B5EF4-FFF2-40B4-BE49-F238E27FC236}">
              <a16:creationId xmlns:a16="http://schemas.microsoft.com/office/drawing/2014/main" id="{DE7261D5-345A-BA60-3D98-B78446696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352010</xdr:colOff>
      <xdr:row>5</xdr:row>
      <xdr:rowOff>160125</xdr:rowOff>
    </xdr:from>
    <xdr:ext cx="1477066" cy="311496"/>
    <xdr:sp macro="" textlink="">
      <xdr:nvSpPr>
        <xdr:cNvPr id="6" name="TextBox 5">
          <a:extLst>
            <a:ext uri="{FF2B5EF4-FFF2-40B4-BE49-F238E27FC236}">
              <a16:creationId xmlns:a16="http://schemas.microsoft.com/office/drawing/2014/main" id="{BE6C57AD-C4DB-1176-6804-CA5C2CCB66CF}"/>
            </a:ext>
          </a:extLst>
        </xdr:cNvPr>
        <xdr:cNvSpPr txBox="1"/>
      </xdr:nvSpPr>
      <xdr:spPr>
        <a:xfrm>
          <a:off x="1565566" y="1479514"/>
          <a:ext cx="147706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REVENUE</a:t>
          </a:r>
        </a:p>
      </xdr:txBody>
    </xdr:sp>
    <xdr:clientData/>
  </xdr:oneCellAnchor>
  <xdr:twoCellAnchor editAs="oneCell">
    <xdr:from>
      <xdr:col>4</xdr:col>
      <xdr:colOff>389834</xdr:colOff>
      <xdr:row>5</xdr:row>
      <xdr:rowOff>125460</xdr:rowOff>
    </xdr:from>
    <xdr:to>
      <xdr:col>5</xdr:col>
      <xdr:colOff>244887</xdr:colOff>
      <xdr:row>7</xdr:row>
      <xdr:rowOff>104753</xdr:rowOff>
    </xdr:to>
    <xdr:pic>
      <xdr:nvPicPr>
        <xdr:cNvPr id="8" name="Graphic 7" descr="Dollar with solid fill">
          <a:extLst>
            <a:ext uri="{FF2B5EF4-FFF2-40B4-BE49-F238E27FC236}">
              <a16:creationId xmlns:a16="http://schemas.microsoft.com/office/drawing/2014/main" id="{4C7985DD-F68B-5273-718E-B6293B30EF0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16945" y="1444849"/>
          <a:ext cx="461831" cy="346182"/>
        </a:xfrm>
        <a:prstGeom prst="rect">
          <a:avLst/>
        </a:prstGeom>
      </xdr:spPr>
    </xdr:pic>
    <xdr:clientData/>
  </xdr:twoCellAnchor>
  <xdr:oneCellAnchor>
    <xdr:from>
      <xdr:col>3</xdr:col>
      <xdr:colOff>62118</xdr:colOff>
      <xdr:row>7</xdr:row>
      <xdr:rowOff>18700</xdr:rowOff>
    </xdr:from>
    <xdr:ext cx="904185" cy="280205"/>
    <xdr:sp macro="" textlink="">
      <xdr:nvSpPr>
        <xdr:cNvPr id="9" name="TextBox 8">
          <a:extLst>
            <a:ext uri="{FF2B5EF4-FFF2-40B4-BE49-F238E27FC236}">
              <a16:creationId xmlns:a16="http://schemas.microsoft.com/office/drawing/2014/main" id="{582012DA-F6E0-8433-9EFF-3392A92EB50A}"/>
            </a:ext>
          </a:extLst>
        </xdr:cNvPr>
        <xdr:cNvSpPr txBox="1"/>
      </xdr:nvSpPr>
      <xdr:spPr>
        <a:xfrm>
          <a:off x="1882451" y="1704978"/>
          <a:ext cx="9041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i="0" u="none" strike="noStrike">
              <a:solidFill>
                <a:schemeClr val="tx1"/>
              </a:solidFill>
              <a:effectLst/>
              <a:latin typeface="+mn-lt"/>
              <a:ea typeface="+mn-ea"/>
              <a:cs typeface="+mn-cs"/>
            </a:rPr>
            <a:t>202603675</a:t>
          </a:r>
          <a:r>
            <a:rPr lang="en-IN" sz="1200">
              <a:effectLst/>
            </a:rPr>
            <a:t> </a:t>
          </a:r>
          <a:endParaRPr lang="en-IN" sz="1200"/>
        </a:p>
      </xdr:txBody>
    </xdr:sp>
    <xdr:clientData/>
  </xdr:oneCellAnchor>
  <xdr:oneCellAnchor>
    <xdr:from>
      <xdr:col>6</xdr:col>
      <xdr:colOff>261820</xdr:colOff>
      <xdr:row>5</xdr:row>
      <xdr:rowOff>160122</xdr:rowOff>
    </xdr:from>
    <xdr:ext cx="1780762" cy="311496"/>
    <xdr:sp macro="" textlink="">
      <xdr:nvSpPr>
        <xdr:cNvPr id="10" name="TextBox 9">
          <a:extLst>
            <a:ext uri="{FF2B5EF4-FFF2-40B4-BE49-F238E27FC236}">
              <a16:creationId xmlns:a16="http://schemas.microsoft.com/office/drawing/2014/main" id="{1BE03369-5225-3397-654D-28A021F38ABD}"/>
            </a:ext>
          </a:extLst>
        </xdr:cNvPr>
        <xdr:cNvSpPr txBox="1"/>
      </xdr:nvSpPr>
      <xdr:spPr>
        <a:xfrm>
          <a:off x="3902487" y="1479511"/>
          <a:ext cx="17807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TRANSATIONS</a:t>
          </a:r>
        </a:p>
      </xdr:txBody>
    </xdr:sp>
    <xdr:clientData/>
  </xdr:oneCellAnchor>
  <xdr:twoCellAnchor editAs="oneCell">
    <xdr:from>
      <xdr:col>9</xdr:col>
      <xdr:colOff>172554</xdr:colOff>
      <xdr:row>5</xdr:row>
      <xdr:rowOff>90788</xdr:rowOff>
    </xdr:from>
    <xdr:to>
      <xdr:col>9</xdr:col>
      <xdr:colOff>496956</xdr:colOff>
      <xdr:row>7</xdr:row>
      <xdr:rowOff>152908</xdr:rowOff>
    </xdr:to>
    <xdr:pic>
      <xdr:nvPicPr>
        <xdr:cNvPr id="12" name="Graphic 11" descr="Transfer with solid fill">
          <a:extLst>
            <a:ext uri="{FF2B5EF4-FFF2-40B4-BE49-F238E27FC236}">
              <a16:creationId xmlns:a16="http://schemas.microsoft.com/office/drawing/2014/main" id="{D4AEDE24-91E4-4D73-80F5-B759AF24795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33554" y="1410177"/>
          <a:ext cx="324402" cy="429009"/>
        </a:xfrm>
        <a:prstGeom prst="rect">
          <a:avLst/>
        </a:prstGeom>
      </xdr:spPr>
    </xdr:pic>
    <xdr:clientData/>
  </xdr:twoCellAnchor>
  <xdr:oneCellAnchor>
    <xdr:from>
      <xdr:col>7</xdr:col>
      <xdr:colOff>62119</xdr:colOff>
      <xdr:row>6</xdr:row>
      <xdr:rowOff>180681</xdr:rowOff>
    </xdr:from>
    <xdr:ext cx="848967" cy="311496"/>
    <xdr:sp macro="" textlink="">
      <xdr:nvSpPr>
        <xdr:cNvPr id="13" name="TextBox 12">
          <a:extLst>
            <a:ext uri="{FF2B5EF4-FFF2-40B4-BE49-F238E27FC236}">
              <a16:creationId xmlns:a16="http://schemas.microsoft.com/office/drawing/2014/main" id="{FC6C35FD-C9B5-609D-FA0F-D153F2F096EF}"/>
            </a:ext>
          </a:extLst>
        </xdr:cNvPr>
        <xdr:cNvSpPr txBox="1"/>
      </xdr:nvSpPr>
      <xdr:spPr>
        <a:xfrm>
          <a:off x="4309563" y="1683514"/>
          <a:ext cx="84896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i="0" u="none" strike="noStrike">
              <a:solidFill>
                <a:schemeClr val="tx1"/>
              </a:solidFill>
              <a:effectLst/>
              <a:latin typeface="+mn-lt"/>
              <a:ea typeface="+mn-ea"/>
              <a:cs typeface="+mn-cs"/>
            </a:rPr>
            <a:t>1500</a:t>
          </a:r>
          <a:r>
            <a:rPr lang="en-IN" sz="1400">
              <a:effectLst/>
            </a:rPr>
            <a:t> </a:t>
          </a:r>
          <a:endParaRPr lang="en-IN" sz="1400"/>
        </a:p>
      </xdr:txBody>
    </xdr:sp>
    <xdr:clientData/>
  </xdr:oneCellAnchor>
  <xdr:oneCellAnchor>
    <xdr:from>
      <xdr:col>10</xdr:col>
      <xdr:colOff>352012</xdr:colOff>
      <xdr:row>5</xdr:row>
      <xdr:rowOff>180986</xdr:rowOff>
    </xdr:from>
    <xdr:ext cx="1635815" cy="311496"/>
    <xdr:sp macro="" textlink="">
      <xdr:nvSpPr>
        <xdr:cNvPr id="14" name="TextBox 13">
          <a:extLst>
            <a:ext uri="{FF2B5EF4-FFF2-40B4-BE49-F238E27FC236}">
              <a16:creationId xmlns:a16="http://schemas.microsoft.com/office/drawing/2014/main" id="{A68D3E37-BD1C-BD4F-5235-DC1D810FAD4A}"/>
            </a:ext>
          </a:extLst>
        </xdr:cNvPr>
        <xdr:cNvSpPr txBox="1"/>
      </xdr:nvSpPr>
      <xdr:spPr>
        <a:xfrm>
          <a:off x="6419790" y="1500375"/>
          <a:ext cx="1635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ACTIVE EMPLOYEE</a:t>
          </a:r>
        </a:p>
      </xdr:txBody>
    </xdr:sp>
    <xdr:clientData/>
  </xdr:oneCellAnchor>
  <xdr:twoCellAnchor editAs="oneCell">
    <xdr:from>
      <xdr:col>13</xdr:col>
      <xdr:colOff>130834</xdr:colOff>
      <xdr:row>5</xdr:row>
      <xdr:rowOff>77141</xdr:rowOff>
    </xdr:from>
    <xdr:to>
      <xdr:col>14</xdr:col>
      <xdr:colOff>6594</xdr:colOff>
      <xdr:row>8</xdr:row>
      <xdr:rowOff>4131</xdr:rowOff>
    </xdr:to>
    <xdr:pic>
      <xdr:nvPicPr>
        <xdr:cNvPr id="16" name="Graphic 15" descr="Users with solid fill">
          <a:extLst>
            <a:ext uri="{FF2B5EF4-FFF2-40B4-BE49-F238E27FC236}">
              <a16:creationId xmlns:a16="http://schemas.microsoft.com/office/drawing/2014/main" id="{FB606408-BD72-C2BD-6256-3C69FBDC5FD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18945" y="1396530"/>
          <a:ext cx="482538" cy="477323"/>
        </a:xfrm>
        <a:prstGeom prst="rect">
          <a:avLst/>
        </a:prstGeom>
      </xdr:spPr>
    </xdr:pic>
    <xdr:clientData/>
  </xdr:twoCellAnchor>
  <xdr:oneCellAnchor>
    <xdr:from>
      <xdr:col>11</xdr:col>
      <xdr:colOff>387771</xdr:colOff>
      <xdr:row>7</xdr:row>
      <xdr:rowOff>22908</xdr:rowOff>
    </xdr:from>
    <xdr:ext cx="586684" cy="280205"/>
    <xdr:sp macro="" textlink="">
      <xdr:nvSpPr>
        <xdr:cNvPr id="17" name="TextBox 16">
          <a:extLst>
            <a:ext uri="{FF2B5EF4-FFF2-40B4-BE49-F238E27FC236}">
              <a16:creationId xmlns:a16="http://schemas.microsoft.com/office/drawing/2014/main" id="{A4F1AF74-48B2-0C26-F1BC-0943A4C55ED7}"/>
            </a:ext>
          </a:extLst>
        </xdr:cNvPr>
        <xdr:cNvSpPr txBox="1"/>
      </xdr:nvSpPr>
      <xdr:spPr>
        <a:xfrm>
          <a:off x="7062327" y="1709186"/>
          <a:ext cx="5866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i="0" u="none" strike="noStrike">
              <a:solidFill>
                <a:schemeClr val="tx1"/>
              </a:solidFill>
              <a:effectLst/>
              <a:latin typeface="+mn-lt"/>
              <a:ea typeface="+mn-ea"/>
              <a:cs typeface="+mn-cs"/>
            </a:rPr>
            <a:t>113</a:t>
          </a:r>
          <a:r>
            <a:rPr lang="en-IN">
              <a:effectLst/>
            </a:rPr>
            <a:t> </a:t>
          </a:r>
          <a:endParaRPr lang="en-IN" sz="1100"/>
        </a:p>
      </xdr:txBody>
    </xdr:sp>
    <xdr:clientData/>
  </xdr:oneCellAnchor>
  <xdr:oneCellAnchor>
    <xdr:from>
      <xdr:col>14</xdr:col>
      <xdr:colOff>282989</xdr:colOff>
      <xdr:row>5</xdr:row>
      <xdr:rowOff>166722</xdr:rowOff>
    </xdr:from>
    <xdr:ext cx="1559891" cy="317500"/>
    <xdr:sp macro="" textlink="">
      <xdr:nvSpPr>
        <xdr:cNvPr id="18" name="TextBox 17">
          <a:extLst>
            <a:ext uri="{FF2B5EF4-FFF2-40B4-BE49-F238E27FC236}">
              <a16:creationId xmlns:a16="http://schemas.microsoft.com/office/drawing/2014/main" id="{0818F4FF-3A57-4429-A34D-71803B38EE00}"/>
            </a:ext>
          </a:extLst>
        </xdr:cNvPr>
        <xdr:cNvSpPr txBox="1"/>
      </xdr:nvSpPr>
      <xdr:spPr>
        <a:xfrm>
          <a:off x="8777878" y="1486111"/>
          <a:ext cx="1559891"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ATTRITION RATE</a:t>
          </a:r>
        </a:p>
      </xdr:txBody>
    </xdr:sp>
    <xdr:clientData/>
  </xdr:oneCellAnchor>
  <xdr:oneCellAnchor>
    <xdr:from>
      <xdr:col>15</xdr:col>
      <xdr:colOff>225131</xdr:colOff>
      <xdr:row>7</xdr:row>
      <xdr:rowOff>27129</xdr:rowOff>
    </xdr:from>
    <xdr:ext cx="780722" cy="280205"/>
    <xdr:sp macro="" textlink="">
      <xdr:nvSpPr>
        <xdr:cNvPr id="19" name="TextBox 18">
          <a:extLst>
            <a:ext uri="{FF2B5EF4-FFF2-40B4-BE49-F238E27FC236}">
              <a16:creationId xmlns:a16="http://schemas.microsoft.com/office/drawing/2014/main" id="{7A18388C-7719-4E5E-9F05-E0A3BBAACCFA}"/>
            </a:ext>
          </a:extLst>
        </xdr:cNvPr>
        <xdr:cNvSpPr txBox="1"/>
      </xdr:nvSpPr>
      <xdr:spPr>
        <a:xfrm>
          <a:off x="9326798" y="1713407"/>
          <a:ext cx="78072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i="0" u="none" strike="noStrike">
              <a:solidFill>
                <a:schemeClr val="tx1"/>
              </a:solidFill>
              <a:effectLst/>
              <a:latin typeface="+mn-lt"/>
              <a:ea typeface="+mn-ea"/>
              <a:cs typeface="+mn-cs"/>
            </a:rPr>
            <a:t>24.67%</a:t>
          </a:r>
          <a:r>
            <a:rPr lang="en-IN" sz="1200">
              <a:effectLst/>
            </a:rPr>
            <a:t> </a:t>
          </a:r>
          <a:endParaRPr lang="en-IN" sz="1200"/>
        </a:p>
      </xdr:txBody>
    </xdr:sp>
    <xdr:clientData/>
  </xdr:oneCellAnchor>
  <xdr:twoCellAnchor editAs="oneCell">
    <xdr:from>
      <xdr:col>16</xdr:col>
      <xdr:colOff>510759</xdr:colOff>
      <xdr:row>5</xdr:row>
      <xdr:rowOff>90800</xdr:rowOff>
    </xdr:from>
    <xdr:to>
      <xdr:col>17</xdr:col>
      <xdr:colOff>303696</xdr:colOff>
      <xdr:row>7</xdr:row>
      <xdr:rowOff>118411</xdr:rowOff>
    </xdr:to>
    <xdr:pic>
      <xdr:nvPicPr>
        <xdr:cNvPr id="21" name="Graphic 20" descr="Upward trend with solid fill">
          <a:extLst>
            <a:ext uri="{FF2B5EF4-FFF2-40B4-BE49-F238E27FC236}">
              <a16:creationId xmlns:a16="http://schemas.microsoft.com/office/drawing/2014/main" id="{65BD7DB4-6F6E-F2FD-50B1-E890DF7DA7B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219203" y="1410189"/>
          <a:ext cx="399715" cy="394500"/>
        </a:xfrm>
        <a:prstGeom prst="rect">
          <a:avLst/>
        </a:prstGeom>
      </xdr:spPr>
    </xdr:pic>
    <xdr:clientData/>
  </xdr:twoCellAnchor>
  <xdr:oneCellAnchor>
    <xdr:from>
      <xdr:col>7</xdr:col>
      <xdr:colOff>0</xdr:colOff>
      <xdr:row>1</xdr:row>
      <xdr:rowOff>0</xdr:rowOff>
    </xdr:from>
    <xdr:ext cx="4141304" cy="476250"/>
    <xdr:sp macro="" textlink="">
      <xdr:nvSpPr>
        <xdr:cNvPr id="22" name="TextBox 21">
          <a:extLst>
            <a:ext uri="{FF2B5EF4-FFF2-40B4-BE49-F238E27FC236}">
              <a16:creationId xmlns:a16="http://schemas.microsoft.com/office/drawing/2014/main" id="{E890C0A7-CC1B-45A8-8A4A-E17D6015FE40}"/>
            </a:ext>
          </a:extLst>
        </xdr:cNvPr>
        <xdr:cNvSpPr txBox="1"/>
      </xdr:nvSpPr>
      <xdr:spPr>
        <a:xfrm>
          <a:off x="4251739" y="186359"/>
          <a:ext cx="4141304"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4</xdr:col>
      <xdr:colOff>465666</xdr:colOff>
      <xdr:row>3</xdr:row>
      <xdr:rowOff>84666</xdr:rowOff>
    </xdr:from>
    <xdr:to>
      <xdr:col>14</xdr:col>
      <xdr:colOff>479776</xdr:colOff>
      <xdr:row>5</xdr:row>
      <xdr:rowOff>28222</xdr:rowOff>
    </xdr:to>
    <xdr:sp macro="" textlink="">
      <xdr:nvSpPr>
        <xdr:cNvPr id="1025" name="Text Box 1">
          <a:extLst>
            <a:ext uri="{FF2B5EF4-FFF2-40B4-BE49-F238E27FC236}">
              <a16:creationId xmlns:a16="http://schemas.microsoft.com/office/drawing/2014/main" id="{2B9E1D30-088B-FB26-1570-E2942F117E0E}"/>
            </a:ext>
          </a:extLst>
        </xdr:cNvPr>
        <xdr:cNvSpPr txBox="1">
          <a:spLocks noChangeArrowheads="1"/>
        </xdr:cNvSpPr>
      </xdr:nvSpPr>
      <xdr:spPr bwMode="auto">
        <a:xfrm>
          <a:off x="2892777" y="634999"/>
          <a:ext cx="6081888" cy="712612"/>
        </a:xfrm>
        <a:prstGeom prst="rect">
          <a:avLst/>
        </a:prstGeom>
        <a:solidFill>
          <a:schemeClr val="accent2">
            <a:lumMod val="75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IN" sz="4400" b="1" i="0" u="none" strike="noStrike" baseline="0">
              <a:solidFill>
                <a:schemeClr val="tx1"/>
              </a:solidFill>
              <a:latin typeface="Calibri"/>
              <a:ea typeface="Calibri"/>
              <a:cs typeface="Calibri"/>
            </a:rPr>
            <a:t>Velocity Retail Analysis</a:t>
          </a:r>
        </a:p>
      </xdr:txBody>
    </xdr:sp>
    <xdr:clientData/>
  </xdr:twoCellAnchor>
  <xdr:twoCellAnchor>
    <xdr:from>
      <xdr:col>0</xdr:col>
      <xdr:colOff>152528</xdr:colOff>
      <xdr:row>22</xdr:row>
      <xdr:rowOff>35271</xdr:rowOff>
    </xdr:from>
    <xdr:to>
      <xdr:col>6</xdr:col>
      <xdr:colOff>87601</xdr:colOff>
      <xdr:row>34</xdr:row>
      <xdr:rowOff>14181</xdr:rowOff>
    </xdr:to>
    <xdr:graphicFrame macro="">
      <xdr:nvGraphicFramePr>
        <xdr:cNvPr id="24" name="Chart 23">
          <a:extLst>
            <a:ext uri="{FF2B5EF4-FFF2-40B4-BE49-F238E27FC236}">
              <a16:creationId xmlns:a16="http://schemas.microsoft.com/office/drawing/2014/main" id="{0BF20D8E-81DA-3956-842A-E61639462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345722</xdr:colOff>
      <xdr:row>22</xdr:row>
      <xdr:rowOff>28434</xdr:rowOff>
    </xdr:from>
    <xdr:to>
      <xdr:col>18</xdr:col>
      <xdr:colOff>378977</xdr:colOff>
      <xdr:row>33</xdr:row>
      <xdr:rowOff>134055</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3A70EFA6-C5A1-16A2-415F-5D73CDB904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47389" y="4466378"/>
              <a:ext cx="1853588" cy="2123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479778</xdr:colOff>
      <xdr:row>22</xdr:row>
      <xdr:rowOff>34727</xdr:rowOff>
    </xdr:from>
    <xdr:to>
      <xdr:col>21</xdr:col>
      <xdr:colOff>366889</xdr:colOff>
      <xdr:row>33</xdr:row>
      <xdr:rowOff>126995</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B677B2A2-6FC3-6AA7-5D6D-DD58A788BF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01778" y="4472671"/>
              <a:ext cx="1707444" cy="2110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63073</xdr:colOff>
      <xdr:row>22</xdr:row>
      <xdr:rowOff>49382</xdr:rowOff>
    </xdr:from>
    <xdr:to>
      <xdr:col>15</xdr:col>
      <xdr:colOff>239889</xdr:colOff>
      <xdr:row>33</xdr:row>
      <xdr:rowOff>169329</xdr:rowOff>
    </xdr:to>
    <mc:AlternateContent xmlns:mc="http://schemas.openxmlformats.org/markup-compatibility/2006" xmlns:a14="http://schemas.microsoft.com/office/drawing/2010/main">
      <mc:Choice Requires="a14">
        <xdr:graphicFrame macro="">
          <xdr:nvGraphicFramePr>
            <xdr:cNvPr id="31" name="Year-Month">
              <a:extLst>
                <a:ext uri="{FF2B5EF4-FFF2-40B4-BE49-F238E27FC236}">
                  <a16:creationId xmlns:a16="http://schemas.microsoft.com/office/drawing/2014/main" id="{1A2E0AA5-D36A-172F-E052-94B71A162F4D}"/>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7344406" y="4487326"/>
              <a:ext cx="1997150" cy="2137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119943</xdr:colOff>
      <xdr:row>22</xdr:row>
      <xdr:rowOff>21156</xdr:rowOff>
    </xdr:from>
    <xdr:to>
      <xdr:col>11</xdr:col>
      <xdr:colOff>571501</xdr:colOff>
      <xdr:row>34</xdr:row>
      <xdr:rowOff>14111</xdr:rowOff>
    </xdr:to>
    <xdr:graphicFrame macro="">
      <xdr:nvGraphicFramePr>
        <xdr:cNvPr id="15" name="Chart 14">
          <a:extLst>
            <a:ext uri="{FF2B5EF4-FFF2-40B4-BE49-F238E27FC236}">
              <a16:creationId xmlns:a16="http://schemas.microsoft.com/office/drawing/2014/main" id="{CECE5CD2-E588-4215-B53D-5C329295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359834</xdr:colOff>
      <xdr:row>9</xdr:row>
      <xdr:rowOff>112888</xdr:rowOff>
    </xdr:from>
    <xdr:to>
      <xdr:col>21</xdr:col>
      <xdr:colOff>529167</xdr:colOff>
      <xdr:row>21</xdr:row>
      <xdr:rowOff>155222</xdr:rowOff>
    </xdr:to>
    <xdr:graphicFrame macro="">
      <xdr:nvGraphicFramePr>
        <xdr:cNvPr id="7" name="Chart 6">
          <a:extLst>
            <a:ext uri="{FF2B5EF4-FFF2-40B4-BE49-F238E27FC236}">
              <a16:creationId xmlns:a16="http://schemas.microsoft.com/office/drawing/2014/main" id="{304B2494-A146-422E-9240-5F5603428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25400</xdr:colOff>
      <xdr:row>2</xdr:row>
      <xdr:rowOff>6350</xdr:rowOff>
    </xdr:from>
    <xdr:ext cx="3422650" cy="342786"/>
    <xdr:sp macro="" textlink="">
      <xdr:nvSpPr>
        <xdr:cNvPr id="2" name="TextBox 1">
          <a:extLst>
            <a:ext uri="{FF2B5EF4-FFF2-40B4-BE49-F238E27FC236}">
              <a16:creationId xmlns:a16="http://schemas.microsoft.com/office/drawing/2014/main" id="{D0867CDE-B2BB-0419-FD8C-2452BA58882E}"/>
            </a:ext>
          </a:extLst>
        </xdr:cNvPr>
        <xdr:cNvSpPr txBox="1"/>
      </xdr:nvSpPr>
      <xdr:spPr>
        <a:xfrm>
          <a:off x="3073400" y="374650"/>
          <a:ext cx="34226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                           BUSINESS</a:t>
          </a:r>
          <a:r>
            <a:rPr lang="en-IN" sz="1600" b="1" baseline="0"/>
            <a:t> INSIGHTS</a:t>
          </a:r>
          <a:endParaRPr lang="en-IN" sz="16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2083334" backgroundQuery="1" createdVersion="8" refreshedVersion="8" minRefreshableVersion="3" recordCount="0" supportSubquery="1" supportAdvancedDrill="1" xr:uid="{1B921114-130A-431E-B228-A9473279FDD2}">
  <cacheSource type="external" connectionId="5"/>
  <cacheFields count="3">
    <cacheField name="[Measures].[Sum of Revenue]" caption="Sum of Revenue" numFmtId="0" hierarchy="24" level="32767"/>
    <cacheField name="[Products].[Category].[Category]" caption="Category" numFmtId="0" hierarchy="12" level="1">
      <sharedItems count="5">
        <s v="Electronics"/>
        <s v="Fashion"/>
        <s v="Furniture"/>
        <s v="Grocery"/>
        <s v="Sports"/>
      </sharedItems>
    </cacheField>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2"/>
      </fieldsUsage>
    </cacheHierarchy>
    <cacheHierarchy uniqueName="[Measures].[Sum of Revenue]" caption="Sum of Revenue" measure="1" displayFolder="" measureGroup="Sales_Data" count="0" oneField="1">
      <fieldsUsage count="1">
        <fieldUsage x="0"/>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2546296" backgroundQuery="1" createdVersion="8" refreshedVersion="8" minRefreshableVersion="3" recordCount="0" supportSubquery="1" supportAdvancedDrill="1" xr:uid="{5398D3B5-D2C1-413F-978B-824A0398AF34}">
  <cacheSource type="external" connectionId="5"/>
  <cacheFields count="2">
    <cacheField name="[Sales_Data].[Year-Month].[Year-Month]" caption="Year-Month" numFmtId="0" hierarchy="23" level="1">
      <sharedItems count="12">
        <s v="2025-01"/>
        <s v="2025-02"/>
        <s v="2025-03"/>
        <s v="2025-04"/>
        <s v="2025-05"/>
        <s v="2025-06"/>
        <s v="2025-07"/>
        <s v="2025-08"/>
        <s v="2025-09"/>
        <s v="2025-10"/>
        <s v="2025-11"/>
        <s v="2025-12"/>
      </sharedItems>
    </cacheField>
    <cacheField name="[Measures].[Sum of Revenue]" caption="Sum of Revenue" numFmtId="0" hierarchy="24" level="32767"/>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0"/>
      </fieldsUsage>
    </cacheHierarchy>
    <cacheHierarchy uniqueName="[Measures].[Sum of Revenue]" caption="Sum of Revenue" measure="1" displayFolder="" measureGroup="Sales_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2893519" backgroundQuery="1" createdVersion="8" refreshedVersion="8" minRefreshableVersion="3" recordCount="0" supportSubquery="1" supportAdvancedDrill="1" xr:uid="{0AC2CBE3-60C7-4337-B775-E0F02155E8E5}">
  <cacheSource type="external" connectionId="5"/>
  <cacheFields count="3">
    <cacheField name="[Measures].[Sum of Revenue]" caption="Sum of Revenue" numFmtId="0" hierarchy="24" level="32767"/>
    <cacheField name="[Products].[ProductName].[ProductName]" caption="ProductName" numFmtId="0" hierarchy="11" level="1">
      <sharedItems count="5">
        <s v="Product_10"/>
        <s v="Product_14"/>
        <s v="Product_16"/>
        <s v="Product_21"/>
        <s v="Product_25"/>
      </sharedItems>
    </cacheField>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2"/>
      </fieldsUsage>
    </cacheHierarchy>
    <cacheHierarchy uniqueName="[Measures].[Sum of Revenue]" caption="Sum of Revenue" measure="1" displayFolder="" measureGroup="Sales_Data" count="0" oneField="1">
      <fieldsUsage count="1">
        <fieldUsage x="0"/>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3240743" backgroundQuery="1" createdVersion="8" refreshedVersion="8" minRefreshableVersion="3" recordCount="0" supportSubquery="1" supportAdvancedDrill="1" xr:uid="{8AF1B0CA-310A-41EB-A3B7-4629AE9C954D}">
  <cacheSource type="external" connectionId="5"/>
  <cacheFields count="5">
    <cacheField name="[Measures].[Sum of Revenue]" caption="Sum of Revenue" numFmtId="0" hierarchy="24" level="32767"/>
    <cacheField name="[Sales_Data].[Region].[Region]" caption="Region" numFmtId="0" hierarchy="18" level="1">
      <sharedItems count="5">
        <s v="Central"/>
        <s v="East"/>
        <s v="North"/>
        <s v="South"/>
        <s v="West"/>
      </sharedItems>
    </cacheField>
    <cacheField name="[Measures].[Count of TransactionID]" caption="Count of TransactionID" numFmtId="0" hierarchy="34" level="32767"/>
    <cacheField name="[Measures].[Avg Revenue Per Transaton]" caption="Avg Revenue Per Transaton" numFmtId="0" hierarchy="38"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4"/>
      </fieldsUsage>
    </cacheHierarchy>
    <cacheHierarchy uniqueName="[Measures].[Sum of Revenue]" caption="Sum of Revenue" measure="1" displayFolder="" measureGroup="Sales_Data" count="0" oneField="1">
      <fieldsUsage count="1">
        <fieldUsage x="0"/>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oneField="1">
      <fieldsUsage count="1">
        <fieldUsage x="2"/>
      </fieldsUsage>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oneField="1">
      <fieldsUsage count="1">
        <fieldUsage x="3"/>
      </fieldsUsage>
    </cacheHierarchy>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3587966" backgroundQuery="1" createdVersion="8" refreshedVersion="8" minRefreshableVersion="3" recordCount="0" supportSubquery="1" supportAdvancedDrill="1" xr:uid="{08275CB9-A890-405F-99B2-A2280347296A}">
  <cacheSource type="external" connectionId="5"/>
  <cacheFields count="5">
    <cacheField name="[Employees].[Department].[Department]" caption="Department" numFmtId="0" hierarchy="6" level="1">
      <sharedItems count="5">
        <s v="Finance"/>
        <s v="HR"/>
        <s v="IT"/>
        <s v="Operations"/>
        <s v="Sales"/>
      </sharedItems>
    </cacheField>
    <cacheField name="[Measures].[Sum of Active_flag]" caption="Sum of Active_flag" numFmtId="0" hierarchy="26" level="32767"/>
    <cacheField name="[Measures].[Count of EmployeeID]" caption="Count of EmployeeID" numFmtId="0" hierarchy="25" level="32767"/>
    <cacheField name="[Measures].[Attrition Rate]" caption="Attrition Rate" numFmtId="0" hierarchy="41"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Status]" caption="Status" attribute="1" defaultMemberUniqueName="[Employees].[Status].[All]" allUniqueName="[Employees].[Status].[All]" dimensionUniqueName="[Employees]" displayFolder="" count="2"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4"/>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oneField="1">
      <fieldsUsage count="1">
        <fieldUsage x="2"/>
      </fieldsUsage>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oneField="1">
      <fieldsUsage count="1">
        <fieldUsage x="1"/>
      </fieldsUsage>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oneField="1">
      <fieldsUsage count="1">
        <fieldUsage x="3"/>
      </fieldsUsage>
    </cacheHierarchy>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3935182" backgroundQuery="1" createdVersion="8" refreshedVersion="8" minRefreshableVersion="3" recordCount="0" supportSubquery="1" supportAdvancedDrill="1" xr:uid="{A91393EE-C24F-4435-807C-0720568F4101}">
  <cacheSource type="external" connectionId="5"/>
  <cacheFields count="6">
    <cacheField name="[Budget].[Department].[Department]" caption="Department" numFmtId="0" hierarchy="1" level="1">
      <sharedItems count="5">
        <s v="Finance"/>
        <s v="HR"/>
        <s v="IT"/>
        <s v="Operations"/>
        <s v="Sales"/>
      </sharedItems>
    </cacheField>
    <cacheField name="[Budget].[Month].[Month]" caption="Month" numFmtId="0" level="1">
      <sharedItems count="12">
        <s v="Apr"/>
        <s v="Aug"/>
        <s v="Dec"/>
        <s v="Feb"/>
        <s v="Jan"/>
        <s v="Jul"/>
        <s v="Jun"/>
        <s v="Mar"/>
        <s v="May"/>
        <s v="Nov"/>
        <s v="Oct"/>
        <s v="Sep"/>
      </sharedItems>
    </cacheField>
    <cacheField name="[Measures].[Sum of BudgetExpense]" caption="Sum of BudgetExpense" numFmtId="0" hierarchy="27" level="32767"/>
    <cacheField name="[Measures].[Sum of ActualExpense]" caption="Sum of ActualExpense" numFmtId="0" hierarchy="33" level="32767"/>
    <cacheField name="[Measures].[Varions %]" caption="Varions %" numFmtId="0" hierarchy="46"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2" memberValueDatatype="130" unbalanced="0">
      <fieldsUsage count="2">
        <fieldUsage x="-1"/>
        <fieldUsage x="1"/>
      </fieldsUsage>
    </cacheHierarchy>
    <cacheHierarchy uniqueName="[Budget].[Department]" caption="Department" attribute="1" defaultMemberUniqueName="[Budget].[Department].[All]" allUniqueName="[Budget].[Department].[All]" dimensionUniqueName="[Budget]" displayFolder="" count="2" memberValueDatatype="130" unbalanced="0">
      <fieldsUsage count="2">
        <fieldUsage x="-1"/>
        <fieldUsage x="0"/>
      </fieldsUsage>
    </cacheHierarchy>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5"/>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oneField="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oneField="1">
      <fieldsUsage count="1">
        <fieldUsage x="3"/>
      </fieldsUsage>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oneField="1">
      <fieldsUsage count="1">
        <fieldUsage x="4"/>
      </fieldsUsage>
    </cacheHierarchy>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451389" backgroundQuery="1" createdVersion="8" refreshedVersion="8" minRefreshableVersion="3" recordCount="0" supportSubquery="1" supportAdvancedDrill="1" xr:uid="{5021359A-15E5-47B5-9464-8BE8E442CC38}">
  <cacheSource type="external" connectionId="5"/>
  <cacheFields count="4">
    <cacheField name="[Sales_Data].[Region].[Region]" caption="Region" numFmtId="0" hierarchy="18" level="1">
      <sharedItems count="5">
        <s v="Central"/>
        <s v="East"/>
        <s v="North"/>
        <s v="South"/>
        <s v="West"/>
      </sharedItems>
    </cacheField>
    <cacheField name="[Measures].[Sum of Revenue]" caption="Sum of Revenue" numFmtId="0" hierarchy="24" level="32767"/>
    <cacheField name="[Products].[Category].[Category]" caption="Category" numFmtId="0" hierarchy="12" level="1">
      <sharedItems count="5">
        <s v="Electronics"/>
        <s v="Fashion"/>
        <s v="Furniture"/>
        <s v="Grocery"/>
        <s v="Sports"/>
      </sharedItems>
    </cacheField>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3"/>
      </fieldsUsage>
    </cacheHierarchy>
    <cacheHierarchy uniqueName="[Measures].[Sum of Revenue]" caption="Sum of Revenue" measure="1" displayFolder="" measureGroup="Sales_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4861113" backgroundQuery="1" createdVersion="8" refreshedVersion="8" minRefreshableVersion="3" recordCount="0" supportSubquery="1" supportAdvancedDrill="1" xr:uid="{36F71AB3-A245-4A5D-93CA-0DFCE408CA1E}">
  <cacheSource type="external" connectionId="5"/>
  <cacheFields count="6">
    <cacheField name="[Employees].[Department].[Department]" caption="Department" numFmtId="0" hierarchy="6" level="1">
      <sharedItems count="5">
        <s v="Finance"/>
        <s v="HR"/>
        <s v="IT"/>
        <s v="Operations"/>
        <s v="Sales"/>
      </sharedItems>
    </cacheField>
    <cacheField name="[Measures].[Average of Salary]" caption="Average of Salary" numFmtId="0" hierarchy="29" level="32767"/>
    <cacheField name="[Measures].[Min of Salary]" caption="Min of Salary" numFmtId="0" hierarchy="30" level="32767"/>
    <cacheField name="[Measures].[Max of Salary]" caption="Max of Salary" numFmtId="0" hierarchy="31" level="32767"/>
    <cacheField name="[Measures].[Count of Salary]" caption="Count of Salary" numFmtId="0" hierarchy="32"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5"/>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oneField="1">
      <fieldsUsage count="1">
        <fieldUsage x="1"/>
      </fieldsUsage>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oneField="1">
      <fieldsUsage count="1">
        <fieldUsage x="2"/>
      </fieldsUsage>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oneField="1">
      <fieldsUsage count="1">
        <fieldUsage x="3"/>
      </fieldsUsage>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oneField="1">
      <fieldsUsage count="1">
        <fieldUsage x="4"/>
      </fieldsUsage>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6712961" backgroundQuery="1" createdVersion="8" refreshedVersion="8" minRefreshableVersion="3" recordCount="0" supportSubquery="1" supportAdvancedDrill="1" xr:uid="{10238F50-E6A4-4DC5-B44F-1CA05BBA4DB0}">
  <cacheSource type="external" connectionId="5"/>
  <cacheFields count="4">
    <cacheField name="[Budget].[Department].[Department]" caption="Department" numFmtId="0" hierarchy="1" level="1">
      <sharedItems count="5">
        <s v="Finance"/>
        <s v="HR"/>
        <s v="IT"/>
        <s v="Operations"/>
        <s v="Sales"/>
      </sharedItems>
    </cacheField>
    <cacheField name="[Measures].[Sum of BudgetExpense]" caption="Sum of BudgetExpense" numFmtId="0" hierarchy="27" level="32767"/>
    <cacheField name="[Measures].[Sum of ActualExpense]" caption="Sum of ActualExpense" numFmtId="0" hierarchy="33"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2"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0"/>
      </fieldsUsage>
    </cacheHierarchy>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3"/>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oneField="1">
      <fieldsUsage count="1">
        <fieldUsage x="1"/>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oneField="1">
      <fieldsUsage count="1">
        <fieldUsage x="2"/>
      </fieldsUsage>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7060184" backgroundQuery="1" createdVersion="8" refreshedVersion="8" minRefreshableVersion="3" recordCount="0" supportSubquery="1" supportAdvancedDrill="1" xr:uid="{B99A594D-739F-480D-835E-5C17364A62E6}">
  <cacheSource type="external" connectionId="5"/>
  <cacheFields count="6">
    <cacheField name="[Budget].[Department].[Department]" caption="Department" numFmtId="0" hierarchy="1" level="1">
      <sharedItems count="5">
        <s v="Finance"/>
        <s v="HR"/>
        <s v="IT"/>
        <s v="Operations"/>
        <s v="Sales"/>
      </sharedItems>
    </cacheField>
    <cacheField name="[Measures].[Total Revenue]" caption="Total Revenue" numFmtId="0" hierarchy="36" level="32767"/>
    <cacheField name="[Measures].[Total Transation]" caption="Total Transation" numFmtId="0" hierarchy="37" level="32767"/>
    <cacheField name="[Measures].[Active Employee]" caption="Active Employee" numFmtId="0" hierarchy="40" level="32767"/>
    <cacheField name="[Measures].[Attrition Rate]" caption="Attrition Rate" numFmtId="0" hierarchy="41"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2"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0"/>
      </fieldsUsage>
    </cacheHierarchy>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5"/>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oneField="1">
      <fieldsUsage count="1">
        <fieldUsage x="1"/>
      </fieldsUsage>
    </cacheHierarchy>
    <cacheHierarchy uniqueName="[Measures].[Total Transation]" caption="Total Transation" measure="1" displayFolder="" measureGroup="Sales_Data" count="0" oneField="1">
      <fieldsUsage count="1">
        <fieldUsage x="2"/>
      </fieldsUsage>
    </cacheHierarchy>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oneField="1">
      <fieldsUsage count="1">
        <fieldUsage x="3"/>
      </fieldsUsage>
    </cacheHierarchy>
    <cacheHierarchy uniqueName="[Measures].[Attrition Rate]" caption="Attrition Rate" measure="1" displayFolder="" measureGroup="Employees" count="0" oneField="1">
      <fieldsUsage count="1">
        <fieldUsage x="4"/>
      </fieldsUsage>
    </cacheHierarchy>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689844097222" backgroundQuery="1" createdVersion="3" refreshedVersion="8" minRefreshableVersion="3" recordCount="0" supportSubquery="1" supportAdvancedDrill="1" xr:uid="{1DEA3BB9-155F-47E3-952C-2DEDCE93E266}">
  <cacheSource type="external" connectionId="5">
    <extLst>
      <ext xmlns:x14="http://schemas.microsoft.com/office/spreadsheetml/2009/9/main" uri="{F057638F-6D5F-4e77-A914-E7F072B9BCA8}">
        <x14:sourceConnection name="ThisWorkbookDataModel"/>
      </ext>
    </extLst>
  </cacheSource>
  <cacheFields count="0"/>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extLst>
    <ext xmlns:x14="http://schemas.microsoft.com/office/spreadsheetml/2009/9/main" uri="{725AE2AE-9491-48be-B2B4-4EB974FC3084}">
      <x14:pivotCacheDefinition slicerData="1" pivotCacheId="133715372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5208336" backgroundQuery="1" createdVersion="8" refreshedVersion="8" minRefreshableVersion="3" recordCount="0" supportSubquery="1" supportAdvancedDrill="1" xr:uid="{57F8A250-C49F-442E-89D8-90C1DDE93AAD}">
  <cacheSource type="external" connectionId="5">
    <extLst>
      <ext xmlns:x14="http://schemas.microsoft.com/office/spreadsheetml/2009/9/main" uri="{F057638F-6D5F-4e77-A914-E7F072B9BCA8}">
        <x14:sourceConnection name="ThisWorkbookDataModel"/>
      </ext>
    </extLst>
  </cacheSource>
  <cacheFields count="3">
    <cacheField name="[Sales_Data].[Region].[Region]" caption="Region" numFmtId="0" hierarchy="18" level="1">
      <sharedItems count="5">
        <s v="Central"/>
        <s v="East"/>
        <s v="North"/>
        <s v="South"/>
        <s v="West"/>
      </sharedItems>
    </cacheField>
    <cacheField name="[Measures].[Total Revenue]" caption="Total Revenue" numFmtId="0" hierarchy="36"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2"/>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oneField="1">
      <fieldsUsage count="1">
        <fieldUsage x="1"/>
      </fieldsUsage>
    </cacheHierarchy>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pivotCacheId="8210903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5555552" backgroundQuery="1" createdVersion="8" refreshedVersion="8" minRefreshableVersion="3" recordCount="0" supportSubquery="1" supportAdvancedDrill="1" xr:uid="{84174C15-DC9C-4C82-B3CB-57389FB287A6}">
  <cacheSource type="external" connectionId="5">
    <extLst>
      <ext xmlns:x14="http://schemas.microsoft.com/office/spreadsheetml/2009/9/main" uri="{F057638F-6D5F-4e77-A914-E7F072B9BCA8}">
        <x14:sourceConnection name="ThisWorkbookDataModel"/>
      </ext>
    </extLst>
  </cacheSource>
  <cacheFields count="4">
    <cacheField name="[Employees].[Department].[Department]" caption="Department" numFmtId="0" hierarchy="6" level="1">
      <sharedItems count="5">
        <s v="Finance"/>
        <s v="HR"/>
        <s v="IT"/>
        <s v="Operations"/>
        <s v="Sales"/>
      </sharedItems>
    </cacheField>
    <cacheField name="[Employees].[Status].[Status]" caption="Status" numFmtId="0" hierarchy="7" level="1">
      <sharedItems count="2">
        <s v="Active"/>
        <s v="Left"/>
      </sharedItems>
    </cacheField>
    <cacheField name="[Measures].[Active Employee]" caption="Active Employee" numFmtId="0" hierarchy="40"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Status]" caption="Status" attribute="1" defaultMemberUniqueName="[Employees].[Status].[All]" allUniqueName="[Employees].[Status].[All]" dimensionUniqueName="[Employees]" displayFolder="" count="2" memberValueDatatype="130" unbalanced="0">
      <fieldsUsage count="2">
        <fieldUsage x="-1"/>
        <fieldUsage x="1"/>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3"/>
      </fieldsUsage>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oneField="1">
      <fieldsUsage count="1">
        <fieldUsage x="2"/>
      </fieldsUsage>
    </cacheHierarchy>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pivotCacheId="13514616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6018521" backgroundQuery="1" createdVersion="8" refreshedVersion="8" minRefreshableVersion="3" recordCount="0" supportSubquery="1" supportAdvancedDrill="1" xr:uid="{DE221B7B-9DF3-43C2-AACB-914DA0B0381E}">
  <cacheSource type="external" connectionId="5">
    <extLst>
      <ext xmlns:x14="http://schemas.microsoft.com/office/spreadsheetml/2009/9/main" uri="{F057638F-6D5F-4e77-A914-E7F072B9BCA8}">
        <x14:sourceConnection name="ThisWorkbookDataModel"/>
      </ext>
    </extLst>
  </cacheSource>
  <cacheFields count="2">
    <cacheField name="[Measures].[Sum of Revenue]" caption="Sum of Revenue" numFmtId="0" hierarchy="24" level="32767"/>
    <cacheField name="[Sales_Data].[Year-Month].[Year-Month]" caption="Year-Month" numFmtId="0" hierarchy="23" level="1">
      <sharedItems count="12">
        <s v="2025-01"/>
        <s v="2025-02"/>
        <s v="2025-03"/>
        <s v="2025-04"/>
        <s v="2025-05"/>
        <s v="2025-06"/>
        <s v="2025-07"/>
        <s v="2025-08"/>
        <s v="2025-09"/>
        <s v="2025-10"/>
        <s v="2025-11"/>
        <s v="2025-12"/>
      </sharedItems>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1"/>
      </fieldsUsage>
    </cacheHierarchy>
    <cacheHierarchy uniqueName="[Measures].[Sum of Revenue]" caption="Sum of Revenue" measure="1" displayFolder="" measureGroup="Sales_Data" count="0" oneField="1">
      <fieldsUsage count="1">
        <fieldUsage x="0"/>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pivotCacheId="4249657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2.897106365737" backgroundQuery="1" createdVersion="8" refreshedVersion="8" minRefreshableVersion="3" recordCount="0" supportSubquery="1" supportAdvancedDrill="1" xr:uid="{DB89B88E-84E9-410E-A4DA-B552F83F770B}">
  <cacheSource type="external" connectionId="5">
    <extLst>
      <ext xmlns:x14="http://schemas.microsoft.com/office/spreadsheetml/2009/9/main" uri="{F057638F-6D5F-4e77-A914-E7F072B9BCA8}">
        <x14:sourceConnection name="ThisWorkbookDataModel"/>
      </ext>
    </extLst>
  </cacheSource>
  <cacheFields count="3">
    <cacheField name="[Products].[Category].[Category]" caption="Category" numFmtId="0" hierarchy="12" level="1">
      <sharedItems count="5">
        <s v="Electronics"/>
        <s v="Fashion"/>
        <s v="Furniture"/>
        <s v="Grocery"/>
        <s v="Sports"/>
      </sharedItems>
    </cacheField>
    <cacheField name="[Measures].[Sum of Revenue]" caption="Sum of Revenue" numFmtId="0" hierarchy="24" level="32767"/>
    <cacheField name="[Sales_Data].[Year-Month].[Year-Month]" caption="Year-Month" numFmtId="0" hierarchy="23" level="1">
      <sharedItems containsSemiMixedTypes="0" containsNonDate="0" containsString="0"/>
    </cacheField>
  </cacheFields>
  <cacheHierarchies count="72">
    <cacheHierarchy uniqueName="[Budget].[Month]" caption="Month" attribute="1" defaultMemberUniqueName="[Budget].[Month].[All]" allUniqueName="[Budget].[Month].[All]" dimensionUniqueName="[Budget]"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BudgetExpense]" caption="BudgetExpense" attribute="1" defaultMemberUniqueName="[Budget].[BudgetExpense].[All]" allUniqueName="[Budget].[BudgetExpense].[All]" dimensionUniqueName="[Budget]" displayFolder="" count="0" memberValueDatatype="20" unbalanced="0"/>
    <cacheHierarchy uniqueName="[Budget].[ActualExpense]" caption="ActualExpense" attribute="1" defaultMemberUniqueName="[Budget].[ActualExpense].[All]" allUniqueName="[Budget].[ActualExpense].[All]" dimensionUniqueName="[Budget]"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Active_flag]" caption="Active_flag" attribute="1" defaultMemberUniqueName="[Employees].[Active_flag].[All]" allUniqueName="[Employees].[Active_flag].[All]" dimensionUniqueName="[Employee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Sales_Data].[TransactionID]" caption="TransactionID" attribute="1" defaultMemberUniqueName="[Sales_Data].[TransactionID].[All]" allUniqueName="[Sales_Data].[Transaction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ProductID]" caption="ProductID" attribute="1" defaultMemberUniqueName="[Sales_Data].[ProductID].[All]" allUniqueName="[Sales_Data].[ProductID].[All]" dimensionUniqueName="[Sales_Data]" displayFolder="" count="0" memberValueDatatype="130" unbalanced="0"/>
    <cacheHierarchy uniqueName="[Sales_Data].[EmployeeID]" caption="EmployeeID" attribute="1" defaultMemberUniqueName="[Sales_Data].[EmployeeID].[All]" allUniqueName="[Sales_Data].[EmployeeID].[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Blank count quality]" caption="Blank count quality" attribute="1" defaultMemberUniqueName="[Sales_Data].[Blank count quality].[All]" allUniqueName="[Sales_Data].[Blank count quality].[All]" dimensionUniqueName="[Sales_Data]" displayFolder="" count="0" memberValueDatatype="20" unbalanced="0"/>
    <cacheHierarchy uniqueName="[Sales_Data].[Blank count revenue]" caption="Blank count revenue" attribute="1" defaultMemberUniqueName="[Sales_Data].[Blank count revenue].[All]" allUniqueName="[Sales_Data].[Blank count revenue].[All]" dimensionUniqueName="[Sales_Data]" displayFolder="" count="0" memberValueDatatype="20" unbalanced="0"/>
    <cacheHierarchy uniqueName="[Sales_Data].[Year-Month]" caption="Year-Month" attribute="1" defaultMemberUniqueName="[Sales_Data].[Year-Month].[All]" allUniqueName="[Sales_Data].[Year-Month].[All]" dimensionUniqueName="[Sales_Data]" displayFolder="" count="2" memberValueDatatype="130" unbalanced="0">
      <fieldsUsage count="2">
        <fieldUsage x="-1"/>
        <fieldUsage x="2"/>
      </fieldsUsage>
    </cacheHierarchy>
    <cacheHierarchy uniqueName="[Measures].[Sum of Revenue]" caption="Sum of Revenue" measure="1" displayFolder="" measureGroup="Sales_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4"/>
        </ext>
      </extLst>
    </cacheHierarchy>
    <cacheHierarchy uniqueName="[Measures].[Sum of Active_flag]" caption="Sum of Active_flag" measure="1" displayFolder="" measureGroup="Employees" count="0">
      <extLst>
        <ext xmlns:x15="http://schemas.microsoft.com/office/spreadsheetml/2010/11/main" uri="{B97F6D7D-B522-45F9-BDA1-12C45D357490}">
          <x15:cacheHierarchy aggregatedColumn="9"/>
        </ext>
      </extLst>
    </cacheHierarchy>
    <cacheHierarchy uniqueName="[Measures].[Sum of BudgetExpense]" caption="Sum of BudgetExpense" measure="1" displayFolder="" measureGroup="Budget" count="0">
      <extLst>
        <ext xmlns:x15="http://schemas.microsoft.com/office/spreadsheetml/2010/11/main" uri="{B97F6D7D-B522-45F9-BDA1-12C45D357490}">
          <x15:cacheHierarchy aggregatedColumn="2"/>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8"/>
        </ext>
      </extLst>
    </cacheHierarchy>
    <cacheHierarchy uniqueName="[Measures].[Min of Salary]" caption="Min of Salary" measure="1" displayFolder="" measureGroup="Employees" count="0">
      <extLst>
        <ext xmlns:x15="http://schemas.microsoft.com/office/spreadsheetml/2010/11/main" uri="{B97F6D7D-B522-45F9-BDA1-12C45D357490}">
          <x15:cacheHierarchy aggregatedColumn="8"/>
        </ext>
      </extLst>
    </cacheHierarchy>
    <cacheHierarchy uniqueName="[Measures].[Max of Salary]" caption="Max of Salary" measure="1" displayFolder="" measureGroup="Employees" count="0">
      <extLst>
        <ext xmlns:x15="http://schemas.microsoft.com/office/spreadsheetml/2010/11/main" uri="{B97F6D7D-B522-45F9-BDA1-12C45D357490}">
          <x15:cacheHierarchy aggregatedColumn="8"/>
        </ext>
      </extLst>
    </cacheHierarchy>
    <cacheHierarchy uniqueName="[Measures].[Count of Salary]" caption="Count of Salary" measure="1" displayFolder="" measureGroup="Employees" count="0">
      <extLst>
        <ext xmlns:x15="http://schemas.microsoft.com/office/spreadsheetml/2010/11/main" uri="{B97F6D7D-B522-45F9-BDA1-12C45D357490}">
          <x15:cacheHierarchy aggregatedColumn="8"/>
        </ext>
      </extLst>
    </cacheHierarchy>
    <cacheHierarchy uniqueName="[Measures].[Sum of ActualExpense]" caption="Sum of ActualExpense" measure="1" displayFolder="" measureGroup="Budget" count="0">
      <extLst>
        <ext xmlns:x15="http://schemas.microsoft.com/office/spreadsheetml/2010/11/main" uri="{B97F6D7D-B522-45F9-BDA1-12C45D357490}">
          <x15:cacheHierarchy aggregatedColumn="3"/>
        </ext>
      </extLst>
    </cacheHierarchy>
    <cacheHierarchy uniqueName="[Measures].[Count of TransactionID]" caption="Count of TransactionID" measure="1" displayFolder="" measureGroup="Sales_Data" count="0">
      <extLst>
        <ext xmlns:x15="http://schemas.microsoft.com/office/spreadsheetml/2010/11/main" uri="{B97F6D7D-B522-45F9-BDA1-12C45D357490}">
          <x15:cacheHierarchy aggregatedColumn="14"/>
        </ext>
      </extLst>
    </cacheHierarchy>
    <cacheHierarchy uniqueName="[Measures].[Average revenue]" caption="Average revenue" measure="1" displayFolder="" measureGroup="Products" count="0"/>
    <cacheHierarchy uniqueName="[Measures].[Total Revenue]" caption="Total Revenue" measure="1" displayFolder="" measureGroup="Sales_Data" count="0"/>
    <cacheHierarchy uniqueName="[Measures].[Total Transation]" caption="Total Transation" measure="1" displayFolder="" measureGroup="Sales_Data" count="0"/>
    <cacheHierarchy uniqueName="[Measures].[Avg Revenue Per Transaton]" caption="Avg Revenue Per Transaton" measure="1" displayFolder="" measureGroup="Sales_Data" count="0"/>
    <cacheHierarchy uniqueName="[Measures].[Total Headcount]" caption="Total Headcount" measure="1" displayFolder="" measureGroup="Employees" count="0"/>
    <cacheHierarchy uniqueName="[Measures].[Active Employee]" caption="Active Employee" measure="1" displayFolder="" measureGroup="Employees" count="0"/>
    <cacheHierarchy uniqueName="[Measures].[Attrition Rate]" caption="Attrition Rate" measure="1" displayFolder="" measureGroup="Employees" count="0"/>
    <cacheHierarchy uniqueName="[Measures].[Total Budget Expences]" caption="Total Budget Expences" measure="1" displayFolder="" measureGroup="Budget" count="0"/>
    <cacheHierarchy uniqueName="[Measures].[Total Actual Expences]" caption="Total Actual Expences" measure="1" displayFolder="" measureGroup="Budget" count="0"/>
    <cacheHierarchy uniqueName="[Measures].[Budget Veriances %]" caption="Budget Veriances %" measure="1" displayFolder="" measureGroup="Budget" count="0"/>
    <cacheHierarchy uniqueName="[Measures].[Budget Veriance]" caption="Budget Veriance" measure="1" displayFolder="" measureGroup="Budget" count="0"/>
    <cacheHierarchy uniqueName="[Measures].[Varions %]" caption="Varions %" measure="1" displayFolder="" measureGroup="Sales_Data" count="0"/>
    <cacheHierarchy uniqueName="[Measures].[__XL_Count Products]" caption="__XL_Count Products" measure="1" displayFolder="" measureGroup="Products" count="0" hidden="1"/>
    <cacheHierarchy uniqueName="[Measures].[__XL_Count Budget]" caption="__XL_Count Budget" measure="1" displayFolder="" measureGroup="Budget" count="0" hidden="1"/>
    <cacheHierarchy uniqueName="[Measures].[__XL_Count Employees]" caption="__XL_Count Employees" measure="1" displayFolder="" measureGroup="Employe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_Total Revenue Goal]" caption="_Total Revenue Goal" measure="1" displayFolder="" measureGroup="Sales_Data" count="0" hidden="1"/>
    <cacheHierarchy uniqueName="[Measures].[_Total Revenue Status]" caption="_Total Revenue Status" measure="1" iconSet="6" displayFolder="" measureGroup="Sales_Data" count="0" hidden="1"/>
    <cacheHierarchy uniqueName="[Measures].[_Total Transation Goal]" caption="_Total Transation Goal" measure="1" displayFolder="" measureGroup="Sales_Data" count="0" hidden="1"/>
    <cacheHierarchy uniqueName="[Measures].[_Total Transation Status]" caption="_Total Transation Status" measure="1" iconSet="6" displayFolder="" measureGroup="Sales_Data" count="0" hidden="1"/>
    <cacheHierarchy uniqueName="[Measures].[_Avg Revenue Per Transaton Goal]" caption="_Avg Revenue Per Transaton Goal" measure="1" displayFolder="" measureGroup="Sales_Data" count="0" hidden="1"/>
    <cacheHierarchy uniqueName="[Measures].[_Avg Revenue Per Transaton Status]" caption="_Avg Revenue Per Transaton Status" measure="1" iconSet="6" displayFolder="" measureGroup="Sales_Data" count="0" hidden="1"/>
    <cacheHierarchy uniqueName="[Measures].[_Total Headcount Goal]" caption="_Total Headcount Goal" measure="1" displayFolder="" measureGroup="Employees" count="0" hidden="1"/>
    <cacheHierarchy uniqueName="[Measures].[_Total Headcount Status]" caption="_Total Headcount Status" measure="1" iconSet="6" displayFolder="" measureGroup="Employees" count="0" hidden="1"/>
    <cacheHierarchy uniqueName="[Measures].[_Active Employee Goal]" caption="_Active Employee Goal" measure="1" displayFolder="" measureGroup="Employees" count="0" hidden="1"/>
    <cacheHierarchy uniqueName="[Measures].[_Active Employee Status]" caption="_Active Employee Status" measure="1" iconSet="6" displayFolder="" measureGroup="Employees" count="0" hidden="1"/>
    <cacheHierarchy uniqueName="[Measures].[_Attrition Rate Goal]" caption="_Attrition Rate Goal" measure="1" displayFolder="" measureGroup="Employees" count="0" hidden="1"/>
    <cacheHierarchy uniqueName="[Measures].[_Attrition Rate Status]" caption="_Attrition Rate Status" measure="1" iconSet="6" displayFolder="" measureGroup="Employees" count="0" hidden="1"/>
    <cacheHierarchy uniqueName="[Measures].[_Total Budget Expences Goal]" caption="_Total Budget Expences Goal" measure="1" displayFolder="" measureGroup="Budget" count="0" hidden="1"/>
    <cacheHierarchy uniqueName="[Measures].[_Total Budget Expences Status]" caption="_Total Budget Expences Status" measure="1" iconSet="6" displayFolder="" measureGroup="Budget" count="0" hidden="1"/>
    <cacheHierarchy uniqueName="[Measures].[_Total Actual Expences Goal]" caption="_Total Actual Expences Goal" measure="1" displayFolder="" measureGroup="Budget" count="0" hidden="1"/>
    <cacheHierarchy uniqueName="[Measures].[_Total Actual Expences Status]" caption="_Total Actual Expences Status" measure="1" iconSet="6" displayFolder="" measureGroup="Budget" count="0" hidden="1"/>
    <cacheHierarchy uniqueName="[Measures].[_Budget Veriances % Goal]" caption="_Budget Veriances % Goal" measure="1" displayFolder="" measureGroup="Budget" count="0" hidden="1"/>
    <cacheHierarchy uniqueName="[Measures].[_Budget Veriances % Status]" caption="_Budget Veriances % Status" measure="1" iconSet="6" displayFolder="" measureGroup="Budget" count="0" hidden="1"/>
    <cacheHierarchy uniqueName="[Measures].[_Budget Veriance Goal]" caption="_Budget Veriance Goal" measure="1" displayFolder="" measureGroup="Budget" count="0" hidden="1"/>
    <cacheHierarchy uniqueName="[Measures].[_Budget Veriance Status]" caption="_Budget Veriance Status" measure="1" iconSet="6" displayFolder="" measureGroup="Budget" count="0" hidden="1"/>
  </cacheHierarchies>
  <kpis count="10">
    <kpi uniqueName="Total Revenue" caption="Total Revenue" displayFolder="" measureGroup="Sales_Data" parent="" value="[Measures].[Total Revenue]" goal="[Measures].[_Total Revenue Goal]" status="[Measures].[_Total Revenue Status]" trend="" weight=""/>
    <kpi uniqueName="Total Transation" caption="Total Transation" displayFolder="" measureGroup="Sales_Data" parent="" value="[Measures].[Total Transation]" goal="[Measures].[_Total Transation Goal]" status="[Measures].[_Total Transation Status]" trend="" weight=""/>
    <kpi uniqueName="Avg Revenue Per Transaton" caption="Avg Revenue Per Transaton" displayFolder="" measureGroup="Sales_Data" parent="" value="[Measures].[Avg Revenue Per Transaton]" goal="[Measures].[_Avg Revenue Per Transaton Goal]" status="[Measures].[_Avg Revenue Per Transaton Status]" trend="" weight=""/>
    <kpi uniqueName="Total Headcount" caption="Total Headcount" displayFolder="" measureGroup="Employees" parent="" value="[Measures].[Total Headcount]" goal="[Measures].[_Total Headcount Goal]" status="[Measures].[_Total Headcount Status]" trend="" weight=""/>
    <kpi uniqueName="Active Employee" caption="Active Employee" displayFolder="" measureGroup="Employees" parent="" value="[Measures].[Active Employee]" goal="[Measures].[_Active Employee Goal]" status="[Measures].[_Active Employee Status]" trend="" weight=""/>
    <kpi uniqueName="Attrition Rate" caption="Attrition Rate" displayFolder="" measureGroup="Employees" parent="" value="[Measures].[Attrition Rate]" goal="[Measures].[_Attrition Rate Goal]" status="[Measures].[_Attrition Rate Status]" trend="" weight=""/>
    <kpi uniqueName="Total Budget Expences" caption="Total Budget Expences" displayFolder="" measureGroup="Budget" parent="" value="[Measures].[Total Budget Expences]" goal="[Measures].[_Total Budget Expences Goal]" status="[Measures].[_Total Budget Expences Status]" trend="" weight=""/>
    <kpi uniqueName="Total Actual Expences" caption="Total Actual Expences" displayFolder="" measureGroup="Budget" parent="" value="[Measures].[Total Actual Expences]" goal="[Measures].[_Total Actual Expences Goal]" status="[Measures].[_Total Actual Expences Status]" trend="" weight=""/>
    <kpi uniqueName="Budget Veriances %" caption="Budget Veriances %" displayFolder="" measureGroup="Budget" parent="" value="[Measures].[Budget Veriances %]" goal="[Measures].[_Budget Veriances % Goal]" status="[Measures].[_Budget Veriances % Status]" trend="" weight=""/>
    <kpi uniqueName="Budget Veriance" caption="Budget Veriance" displayFolder="" measureGroup="Budget" parent="" value="[Measures].[Budget Veriance]" goal="[Measures].[_Budget Veriance Goal]" status="[Measures].[_Budget Veriance Status]" trend="" weight=""/>
  </kpis>
  <dimensions count="5">
    <dimension name="Budget" uniqueName="[Budget]" caption="Budget"/>
    <dimension name="Employees" uniqueName="[Employees]" caption="Employees"/>
    <dimension measure="1" name="Measures" uniqueName="[Measures]" caption="Measures"/>
    <dimension name="Products" uniqueName="[Products]" caption="Products"/>
    <dimension name="Sales_Data" uniqueName="[Sales_Data]" caption="Sales_Data"/>
  </dimensions>
  <measureGroups count="4">
    <measureGroup name="Budget" caption="Budget"/>
    <measureGroup name="Employees" caption="Employees"/>
    <measureGroup name="Products" caption="Products"/>
    <measureGroup name="Sales_Data" caption="Sales_Data"/>
  </measureGroups>
  <maps count="6">
    <map measureGroup="0" dimension="0"/>
    <map measureGroup="1" dimension="1"/>
    <map measureGroup="2" dimension="3"/>
    <map measureGroup="3" dimension="1"/>
    <map measureGroup="3" dimension="3"/>
    <map measureGroup="3" dimension="4"/>
  </maps>
  <extLst>
    <ext xmlns:x14="http://schemas.microsoft.com/office/spreadsheetml/2009/9/main" uri="{725AE2AE-9491-48be-B2B4-4EB974FC3084}">
      <x14:pivotCacheDefinition pivotCacheId="10962177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1A2B9-9F2E-4B70-A1DC-834AE6ECBE97}" name="PivotChar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6" columnCount="1" cacheId="821090397">
        <x15:pivotRow count="1">
          <x15:c>
            <x15:v>43894877</x15:v>
            <x15:x in="0"/>
          </x15:c>
        </x15:pivotRow>
        <x15:pivotRow count="1">
          <x15:c>
            <x15:v>39795962</x15:v>
            <x15:x in="0"/>
          </x15:c>
        </x15:pivotRow>
        <x15:pivotRow count="1">
          <x15:c>
            <x15:v>37107887</x15:v>
            <x15:x in="0"/>
          </x15:c>
        </x15:pivotRow>
        <x15:pivotRow count="1">
          <x15:c>
            <x15:v>41036357</x15:v>
            <x15:x in="0"/>
          </x15:c>
        </x15:pivotRow>
        <x15:pivotRow count="1">
          <x15:c>
            <x15:v>40768592</x15:v>
            <x15:x in="0"/>
          </x15:c>
        </x15:pivotRow>
        <x15:pivotRow count="1">
          <x15:c>
            <x15:v>202603675</x15:v>
            <x15:x in="0"/>
          </x15:c>
        </x15:pivotRow>
      </x15:pivotTableData>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5B579-3E5B-4467-9A12-CBA8C30CE550}" name="PivotChartTable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1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424965780">
        <x15:pivotRow count="1">
          <x15:c>
            <x15:v>18629446</x15:v>
          </x15:c>
        </x15:pivotRow>
        <x15:pivotRow count="1">
          <x15:c>
            <x15:v>16608397</x15:v>
          </x15:c>
        </x15:pivotRow>
        <x15:pivotRow count="1">
          <x15:c>
            <x15:v>15174757</x15:v>
          </x15:c>
        </x15:pivotRow>
        <x15:pivotRow count="1">
          <x15:c>
            <x15:v>13108190</x15:v>
          </x15:c>
        </x15:pivotRow>
        <x15:pivotRow count="1">
          <x15:c>
            <x15:v>15965173</x15:v>
          </x15:c>
        </x15:pivotRow>
        <x15:pivotRow count="1">
          <x15:c>
            <x15:v>16297022</x15:v>
          </x15:c>
        </x15:pivotRow>
        <x15:pivotRow count="1">
          <x15:c>
            <x15:v>16948686</x15:v>
          </x15:c>
        </x15:pivotRow>
        <x15:pivotRow count="1">
          <x15:c>
            <x15:v>18270741</x15:v>
          </x15:c>
        </x15:pivotRow>
        <x15:pivotRow count="1">
          <x15:c>
            <x15:v>19450485</x15:v>
          </x15:c>
        </x15:pivotRow>
        <x15:pivotRow count="1">
          <x15:c>
            <x15:v>20228686</x15:v>
          </x15:c>
        </x15:pivotRow>
        <x15:pivotRow count="1">
          <x15:c>
            <x15:v>17816857</x15:v>
          </x15:c>
        </x15:pivotRow>
        <x15:pivotRow count="1">
          <x15:c>
            <x15:v>14105235</x15:v>
          </x15:c>
        </x15:pivotRow>
        <x15:pivotRow count="1">
          <x15:c>
            <x15:v>202603675</x15:v>
          </x15:c>
        </x15:pivotRow>
      </x15:pivotTableData>
    </ext>
    <ext xmlns:x15="http://schemas.microsoft.com/office/spreadsheetml/2010/11/main" uri="{E67621CE-5B39-4880-91FE-76760E9C1902}">
      <x15:pivotTableUISettings>
        <x15:activeTabTopLevelEntity name="[Budget]"/>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DA48F-8528-41B6-8A6E-E0DA9788072F}" name="PivotChar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096217730">
        <x15:pivotRow count="1">
          <x15:c>
            <x15:v>26086994</x15:v>
          </x15:c>
        </x15:pivotRow>
        <x15:pivotRow count="1">
          <x15:c>
            <x15:v>32676456</x15:v>
          </x15:c>
        </x15:pivotRow>
        <x15:pivotRow count="1">
          <x15:c>
            <x15:v>39537981</x15:v>
          </x15:c>
        </x15:pivotRow>
        <x15:pivotRow count="1">
          <x15:c>
            <x15:v>42911204</x15:v>
          </x15:c>
        </x15:pivotRow>
        <x15:pivotRow count="1">
          <x15:c>
            <x15:v>61391040</x15:v>
          </x15:c>
        </x15:pivotRow>
        <x15:pivotRow count="1">
          <x15:c>
            <x15:v>202603675</x15:v>
          </x15:c>
        </x15:pivotRow>
      </x15:pivotTableData>
    </ext>
    <ext xmlns:x15="http://schemas.microsoft.com/office/spreadsheetml/2010/11/main" uri="{E67621CE-5B39-4880-91FE-76760E9C1902}">
      <x15:pivotTableUISettings>
        <x15:activeTabTopLevelEntity name="[Product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57D781-C6CD-4B2A-B35B-6D9674DC8C75}" name="PivotChar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1:D8"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Active Employee" fld="2" subtotal="count" baseField="0" baseItem="0"/>
  </dataFields>
  <chartFormats count="4">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6" columnCount="3" cacheId="1351461658">
        <x15:pivotRow count="3">
          <x15:c>
            <x15:v>22</x15:v>
            <x15:x in="0"/>
          </x15:c>
          <x15:c>
            <x15:v>22</x15:v>
            <x15:x in="0"/>
          </x15:c>
          <x15:c>
            <x15:v>22</x15:v>
            <x15:x in="0"/>
          </x15:c>
        </x15:pivotRow>
        <x15:pivotRow count="3">
          <x15:c>
            <x15:v>22</x15:v>
            <x15:x in="0"/>
          </x15:c>
          <x15:c>
            <x15:v>22</x15:v>
            <x15:x in="0"/>
          </x15:c>
          <x15:c>
            <x15:v>22</x15:v>
            <x15:x in="0"/>
          </x15:c>
        </x15:pivotRow>
        <x15:pivotRow count="3">
          <x15:c>
            <x15:v>23</x15:v>
            <x15:x in="0"/>
          </x15:c>
          <x15:c>
            <x15:v>23</x15:v>
            <x15:x in="0"/>
          </x15:c>
          <x15:c>
            <x15:v>23</x15:v>
            <x15:x in="0"/>
          </x15:c>
        </x15:pivotRow>
        <x15:pivotRow count="3">
          <x15:c>
            <x15:v>23</x15:v>
            <x15:x in="0"/>
          </x15:c>
          <x15:c>
            <x15:v>23</x15:v>
            <x15:x in="0"/>
          </x15:c>
          <x15:c>
            <x15:v>23</x15:v>
            <x15:x in="0"/>
          </x15:c>
        </x15:pivotRow>
        <x15:pivotRow count="3">
          <x15:c>
            <x15:v>23</x15:v>
            <x15:x in="0"/>
          </x15:c>
          <x15:c>
            <x15:v>23</x15:v>
            <x15:x in="0"/>
          </x15:c>
          <x15:c>
            <x15:v>23</x15:v>
            <x15:x in="0"/>
          </x15:c>
        </x15:pivotRow>
        <x15:pivotRow count="3">
          <x15:c>
            <x15:v>113</x15:v>
            <x15:x in="0"/>
          </x15:c>
          <x15:c>
            <x15:v>113</x15:v>
            <x15:x in="0"/>
          </x15:c>
          <x15:c>
            <x15:v>113</x15:v>
            <x15:x in="0"/>
          </x15:c>
        </x15:pivotRow>
      </x15:pivotTableData>
    </ext>
    <ext xmlns:x15="http://schemas.microsoft.com/office/spreadsheetml/2010/11/main" uri="{E67621CE-5B39-4880-91FE-76760E9C1902}">
      <x15:pivotTableUISettings>
        <x15:activeTabTopLevelEntity name="[Employee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8F8A9-CCB6-4C68-83A4-544C2D1DFA1A}" name="PivotTable2" cacheId="2" applyNumberFormats="0" applyBorderFormats="0" applyFontFormats="0" applyPatternFormats="0" applyAlignmentFormats="0" applyWidthHeightFormats="1" dataCaption="Values" tag="774e1465-9ccc-4fac-86d2-613bde324c58" updatedVersion="8" minRefreshableVersion="3" useAutoFormatting="1" subtotalHiddenItems="1" itemPrintTitles="1" createdVersion="8" indent="0" outline="1" outlineData="1" multipleFieldFilters="0">
  <location ref="B17:C2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AF326-4A85-4610-AB6B-1E4ED22C394E}" name="PivotTable8" cacheId="9" applyNumberFormats="0" applyBorderFormats="0" applyFontFormats="0" applyPatternFormats="0" applyAlignmentFormats="0" applyWidthHeightFormats="1" dataCaption="Values" tag="b1d64af9-8896-444f-83e1-abaf673deef9" updatedVersion="8" minRefreshableVersion="3" subtotalHiddenItems="1" itemPrintTitles="1" createdVersion="8" indent="0" outline="1" outlineData="1" multipleFieldFilters="0" chartFormat="27">
  <location ref="B69:F75"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Total Revenue" fld="1" subtotal="count" baseField="0" baseItem="0"/>
    <dataField name="Total Transation" fld="2" subtotal="count" baseField="0" baseItem="0"/>
    <dataField name="Active Employee" fld="3" subtotal="count" baseField="0" baseItem="0"/>
    <dataField name="Attrition Rate" fld="4"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udget]"/>
        <x15:activeTabTopLevelEntity name="[Product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E51333-7DD7-458B-8992-89A80DCA8A24}" name="PivotTable7" cacheId="6" applyNumberFormats="0" applyBorderFormats="0" applyFontFormats="0" applyPatternFormats="0" applyAlignmentFormats="0" applyWidthHeightFormats="1" dataCaption="Values" tag="a12a3bfc-23cc-4365-95c2-d8062b6e5154" updatedVersion="8" minRefreshableVersion="3" useAutoFormatting="1" subtotalHiddenItems="1" itemPrintTitles="1" createdVersion="8" indent="0" outline="1" outlineData="1" multipleFieldFilters="0" chartFormat="4">
  <location ref="G32:M39"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onditionalFormats count="1">
    <conditionalFormat priority="2">
      <pivotAreas count="1">
        <pivotArea type="all" outline="0" fieldPosition="0"/>
      </pivotAreas>
    </conditionalFormat>
  </conditional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3DC47B-0F6F-4004-AC03-49FFB7AD7945}" name="PivotTable9" cacheId="7" applyNumberFormats="0" applyBorderFormats="0" applyFontFormats="0" applyPatternFormats="0" applyAlignmentFormats="0" applyWidthHeightFormats="1" dataCaption="Values" tag="014fb91e-17a5-476a-8bc2-861ca612fcae" updatedVersion="8" minRefreshableVersion="3" useAutoFormatting="1" subtotalHiddenItems="1" itemPrintTitles="1" createdVersion="8" indent="0" outline="1" outlineData="1" multipleFieldFilters="0">
  <location ref="G45:K51"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Average of Salary" fld="1" subtotal="average" baseField="0" baseItem="0" numFmtId="167"/>
    <dataField name="Min of Salary" fld="2" subtotal="min" baseField="0" baseItem="0" numFmtId="167"/>
    <dataField name="Max of Salary" fld="3" subtotal="max" baseField="0" baseItem="0" numFmtId="167"/>
    <dataField name="Count of Salary" fld="4" subtotal="count" baseField="0" baseItem="4" numFmtId="4"/>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Salary"/>
    <pivotHierarchy dragToData="1" caption="Min of Salary"/>
    <pivotHierarchy dragToData="1" caption="Max of Salary"/>
    <pivotHierarchy dragToData="1" caption="Count of Salar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Employe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B70A4D-F11C-4799-A376-BC561D133B87}" name="PivotTable4" cacheId="8" applyNumberFormats="0" applyBorderFormats="0" applyFontFormats="0" applyPatternFormats="0" applyAlignmentFormats="0" applyWidthHeightFormats="1" dataCaption="Values" tag="b1d64af9-8896-444f-83e1-abaf673deef9" updatedVersion="8" minRefreshableVersion="3" subtotalHiddenItems="1" itemPrintTitles="1" createdVersion="8" indent="0" outline="1" outlineData="1" multipleFieldFilters="0" chartFormat="27">
  <location ref="B58:D64"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BudgetExpense" fld="1" baseField="0" baseItem="0"/>
    <dataField name="Sum of ActualExpense" fld="2" baseField="0" baseItem="0"/>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udget]"/>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BAB2A1-1AD2-43DE-81E6-E1B327FC588D}" name="PivotTable3" cacheId="3" applyNumberFormats="0" applyBorderFormats="0" applyFontFormats="0" applyPatternFormats="0" applyAlignmentFormats="0" applyWidthHeightFormats="1" dataCaption="Values" tag="08493fac-8a33-4e78-90c9-cbfc305b3b64" updatedVersion="8" minRefreshableVersion="3" useAutoFormatting="1" subtotalHiddenItems="1" itemPrintTitles="1" createdVersion="8" indent="0" outline="1" outlineData="1" multipleFieldFilters="0">
  <location ref="B28:E34"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i="1">
      <x v="1"/>
    </i>
    <i i="2">
      <x v="2"/>
    </i>
  </colItems>
  <dataFields count="3">
    <dataField name="Sum of Revenue" fld="0" baseField="0" baseItem="0"/>
    <dataField name="Count of TransactionID" fld="2" subtotal="count" baseField="0" baseItem="0"/>
    <dataField name="Avg Revenue Per Transaton" fld="3"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CA008F-8808-463D-AEAF-125D83D7D10D}" name="PivotTable5" cacheId="4" applyNumberFormats="0" applyBorderFormats="0" applyFontFormats="0" applyPatternFormats="0" applyAlignmentFormats="0" applyWidthHeightFormats="1" dataCaption="Values" tag="0cf0909d-419c-49d9-a3aa-bd80f48f4c2c" updatedVersion="8" minRefreshableVersion="3" subtotalHiddenItems="1" itemPrintTitles="1" createdVersion="8" indent="0" outline="1" outlineData="1" multipleFieldFilters="0" chartFormat="29">
  <location ref="E6:H12"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Active_flag" fld="1" baseField="0" baseItem="0"/>
    <dataField name="Count of EmployeeID" fld="2" subtotal="count" baseField="0" baseItem="0"/>
    <dataField name="Attrition Rate" fld="3" subtotal="count" baseField="0" baseItem="0"/>
  </dataFields>
  <chartFormats count="3">
    <chartFormat chart="10" format="35" series="1">
      <pivotArea type="data" outline="0" fieldPosition="0">
        <references count="1">
          <reference field="4294967294" count="1" selected="0">
            <x v="0"/>
          </reference>
        </references>
      </pivotArea>
    </chartFormat>
    <chartFormat chart="10" format="37" series="1">
      <pivotArea type="data" outline="0" fieldPosition="0">
        <references count="1">
          <reference field="4294967294" count="1" selected="0">
            <x v="1"/>
          </reference>
        </references>
      </pivotArea>
    </chartFormat>
    <chartFormat chart="10" format="38" series="1">
      <pivotArea type="data" outline="0" fieldPosition="0">
        <references count="1">
          <reference field="4294967294"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Employees]"/>
        <x15:activeTabTopLevelEntity name="[Budget]"/>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A0E9C3-F043-41FC-8EBE-C06C9A6E0CF0}" name="PivotTable6" cacheId="5" applyNumberFormats="0" applyBorderFormats="0" applyFontFormats="0" applyPatternFormats="0" applyAlignmentFormats="0" applyWidthHeightFormats="1" dataCaption="Values" tag="b1d64af9-8896-444f-83e1-abaf673deef9" updatedVersion="8" minRefreshableVersion="3" subtotalHiddenItems="1" itemPrintTitles="1" createdVersion="8" indent="0" outline="1" outlineData="1" multipleFieldFilters="0" chartFormat="19">
  <location ref="G18:AT26" firstHeaderRow="1" firstDataRow="3" firstDataCol="1"/>
  <pivotFields count="6">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2">
    <field x="1"/>
    <field x="-2"/>
  </colFields>
  <colItems count="39">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x v="10"/>
      <x/>
    </i>
    <i r="1" i="1">
      <x v="1"/>
    </i>
    <i r="1" i="2">
      <x v="2"/>
    </i>
    <i>
      <x v="11"/>
      <x/>
    </i>
    <i r="1" i="1">
      <x v="1"/>
    </i>
    <i r="1" i="2">
      <x v="2"/>
    </i>
    <i t="grand">
      <x/>
    </i>
    <i t="grand" i="1">
      <x/>
    </i>
    <i t="grand" i="2">
      <x/>
    </i>
  </colItems>
  <dataFields count="3">
    <dataField name="Sum of BudgetExpense" fld="2" baseField="0" baseItem="0"/>
    <dataField name="Sum of ActualExpense" fld="3" baseField="0" baseItem="0"/>
    <dataField fld="4" subtotal="count" baseField="0" baseItem="0"/>
  </dataFields>
  <chartFormats count="28">
    <chartFormat chart="11" format="112" series="1">
      <pivotArea type="data" outline="0" fieldPosition="0">
        <references count="1">
          <reference field="1" count="1" selected="0">
            <x v="0"/>
          </reference>
        </references>
      </pivotArea>
    </chartFormat>
    <chartFormat chart="11" format="113" series="1">
      <pivotArea type="data" outline="0" fieldPosition="0">
        <references count="1">
          <reference field="1" count="1" selected="0">
            <x v="1"/>
          </reference>
        </references>
      </pivotArea>
    </chartFormat>
    <chartFormat chart="11" format="114" series="1">
      <pivotArea type="data" outline="0" fieldPosition="0">
        <references count="1">
          <reference field="1" count="1" selected="0">
            <x v="2"/>
          </reference>
        </references>
      </pivotArea>
    </chartFormat>
    <chartFormat chart="11" format="115" series="1">
      <pivotArea type="data" outline="0" fieldPosition="0">
        <references count="1">
          <reference field="1" count="1" selected="0">
            <x v="3"/>
          </reference>
        </references>
      </pivotArea>
    </chartFormat>
    <chartFormat chart="11" format="116" series="1">
      <pivotArea type="data" outline="0" fieldPosition="0">
        <references count="1">
          <reference field="1" count="1" selected="0">
            <x v="4"/>
          </reference>
        </references>
      </pivotArea>
    </chartFormat>
    <chartFormat chart="11" format="117" series="1">
      <pivotArea type="data" outline="0" fieldPosition="0">
        <references count="1">
          <reference field="1" count="1" selected="0">
            <x v="5"/>
          </reference>
        </references>
      </pivotArea>
    </chartFormat>
    <chartFormat chart="11" format="118" series="1">
      <pivotArea type="data" outline="0" fieldPosition="0">
        <references count="1">
          <reference field="1" count="1" selected="0">
            <x v="6"/>
          </reference>
        </references>
      </pivotArea>
    </chartFormat>
    <chartFormat chart="11" format="119" series="1">
      <pivotArea type="data" outline="0" fieldPosition="0">
        <references count="1">
          <reference field="1" count="1" selected="0">
            <x v="7"/>
          </reference>
        </references>
      </pivotArea>
    </chartFormat>
    <chartFormat chart="11" format="120" series="1">
      <pivotArea type="data" outline="0" fieldPosition="0">
        <references count="1">
          <reference field="1" count="1" selected="0">
            <x v="8"/>
          </reference>
        </references>
      </pivotArea>
    </chartFormat>
    <chartFormat chart="11" format="121" series="1">
      <pivotArea type="data" outline="0" fieldPosition="0">
        <references count="1">
          <reference field="1" count="1" selected="0">
            <x v="9"/>
          </reference>
        </references>
      </pivotArea>
    </chartFormat>
    <chartFormat chart="11" format="122" series="1">
      <pivotArea type="data" outline="0" fieldPosition="0">
        <references count="1">
          <reference field="1" count="1" selected="0">
            <x v="10"/>
          </reference>
        </references>
      </pivotArea>
    </chartFormat>
    <chartFormat chart="11" format="123" series="1">
      <pivotArea type="data" outline="0" fieldPosition="0">
        <references count="1">
          <reference field="1" count="1" selected="0">
            <x v="11"/>
          </reference>
        </references>
      </pivotArea>
    </chartFormat>
    <chartFormat chart="11" format="124" series="1">
      <pivotArea type="data" outline="0" fieldPosition="0">
        <references count="2">
          <reference field="4294967294" count="1" selected="0">
            <x v="0"/>
          </reference>
          <reference field="1" count="1" selected="0">
            <x v="6"/>
          </reference>
        </references>
      </pivotArea>
    </chartFormat>
    <chartFormat chart="11" format="125" series="1">
      <pivotArea type="data" outline="0" fieldPosition="0">
        <references count="2">
          <reference field="4294967294" count="1" selected="0">
            <x v="1"/>
          </reference>
          <reference field="1" count="1" selected="0">
            <x v="6"/>
          </reference>
        </references>
      </pivotArea>
    </chartFormat>
    <chartFormat chart="11" format="126" series="1">
      <pivotArea type="data" outline="0" fieldPosition="0">
        <references count="2">
          <reference field="4294967294" count="1" selected="0">
            <x v="0"/>
          </reference>
          <reference field="1" count="1" selected="0">
            <x v="7"/>
          </reference>
        </references>
      </pivotArea>
    </chartFormat>
    <chartFormat chart="11" format="127" series="1">
      <pivotArea type="data" outline="0" fieldPosition="0">
        <references count="2">
          <reference field="4294967294" count="1" selected="0">
            <x v="1"/>
          </reference>
          <reference field="1" count="1" selected="0">
            <x v="7"/>
          </reference>
        </references>
      </pivotArea>
    </chartFormat>
    <chartFormat chart="11" format="128" series="1">
      <pivotArea type="data" outline="0" fieldPosition="0">
        <references count="2">
          <reference field="4294967294" count="1" selected="0">
            <x v="0"/>
          </reference>
          <reference field="1" count="1" selected="0">
            <x v="8"/>
          </reference>
        </references>
      </pivotArea>
    </chartFormat>
    <chartFormat chart="11" format="129" series="1">
      <pivotArea type="data" outline="0" fieldPosition="0">
        <references count="2">
          <reference field="4294967294" count="1" selected="0">
            <x v="1"/>
          </reference>
          <reference field="1" count="1" selected="0">
            <x v="8"/>
          </reference>
        </references>
      </pivotArea>
    </chartFormat>
    <chartFormat chart="11" format="130" series="1">
      <pivotArea type="data" outline="0" fieldPosition="0">
        <references count="2">
          <reference field="4294967294" count="1" selected="0">
            <x v="0"/>
          </reference>
          <reference field="1" count="1" selected="0">
            <x v="9"/>
          </reference>
        </references>
      </pivotArea>
    </chartFormat>
    <chartFormat chart="11" format="131" series="1">
      <pivotArea type="data" outline="0" fieldPosition="0">
        <references count="2">
          <reference field="4294967294" count="1" selected="0">
            <x v="1"/>
          </reference>
          <reference field="1" count="1" selected="0">
            <x v="9"/>
          </reference>
        </references>
      </pivotArea>
    </chartFormat>
    <chartFormat chart="11" format="132" series="1">
      <pivotArea type="data" outline="0" fieldPosition="0">
        <references count="2">
          <reference field="4294967294" count="1" selected="0">
            <x v="0"/>
          </reference>
          <reference field="1" count="1" selected="0">
            <x v="10"/>
          </reference>
        </references>
      </pivotArea>
    </chartFormat>
    <chartFormat chart="11" format="133" series="1">
      <pivotArea type="data" outline="0" fieldPosition="0">
        <references count="2">
          <reference field="4294967294" count="1" selected="0">
            <x v="1"/>
          </reference>
          <reference field="1" count="1" selected="0">
            <x v="10"/>
          </reference>
        </references>
      </pivotArea>
    </chartFormat>
    <chartFormat chart="11" format="134" series="1">
      <pivotArea type="data" outline="0" fieldPosition="0">
        <references count="2">
          <reference field="4294967294" count="1" selected="0">
            <x v="0"/>
          </reference>
          <reference field="1" count="1" selected="0">
            <x v="11"/>
          </reference>
        </references>
      </pivotArea>
    </chartFormat>
    <chartFormat chart="11" format="135" series="1">
      <pivotArea type="data" outline="0" fieldPosition="0">
        <references count="2">
          <reference field="4294967294" count="1" selected="0">
            <x v="1"/>
          </reference>
          <reference field="1" count="1" selected="0">
            <x v="11"/>
          </reference>
        </references>
      </pivotArea>
    </chartFormat>
    <chartFormat chart="11" format="140" series="1">
      <pivotArea type="data" outline="0" fieldPosition="0">
        <references count="2">
          <reference field="4294967294" count="1" selected="0">
            <x v="2"/>
          </reference>
          <reference field="1" count="1" selected="0">
            <x v="8"/>
          </reference>
        </references>
      </pivotArea>
    </chartFormat>
    <chartFormat chart="11" format="141" series="1">
      <pivotArea type="data" outline="0" fieldPosition="0">
        <references count="2">
          <reference field="4294967294" count="1" selected="0">
            <x v="2"/>
          </reference>
          <reference field="1" count="1" selected="0">
            <x v="9"/>
          </reference>
        </references>
      </pivotArea>
    </chartFormat>
    <chartFormat chart="11" format="142" series="1">
      <pivotArea type="data" outline="0" fieldPosition="0">
        <references count="2">
          <reference field="4294967294" count="1" selected="0">
            <x v="2"/>
          </reference>
          <reference field="1" count="1" selected="0">
            <x v="10"/>
          </reference>
        </references>
      </pivotArea>
    </chartFormat>
    <chartFormat chart="11" format="143" series="1">
      <pivotArea type="data" outline="0" fieldPosition="0">
        <references count="2">
          <reference field="4294967294" count="1" selected="0">
            <x v="2"/>
          </reference>
          <reference field="1" count="1" selected="0">
            <x v="1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Budget]"/>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2BB9E4-80D3-4A57-B172-5B60713FBC6A}" name="PivotTable10" cacheId="1" applyNumberFormats="0" applyBorderFormats="0" applyFontFormats="0" applyPatternFormats="0" applyAlignmentFormats="0" applyWidthHeightFormats="1" dataCaption="Values" tag="7dbb42cc-b002-4cd8-961f-71bbee400fb1" updatedVersion="8" minRefreshableVersion="3" useAutoFormatting="1" subtotalHiddenItems="1" itemPrintTitles="1" createdVersion="8" indent="0" outline="1" outlineData="1" multipleFieldFilters="0">
  <location ref="B39:C52" firstHeaderRow="1" firstDataRow="1" firstDataCol="1"/>
  <pivotFields count="2">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UDHUN S - VelocityRetail_Final_Project.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3ED1A5-3BA2-4CE4-8381-28517D9FB666}" name="PivotTable1" cacheId="0" applyNumberFormats="0" applyBorderFormats="0" applyFontFormats="0" applyPatternFormats="0" applyAlignmentFormats="0" applyWidthHeightFormats="1" dataCaption="Values" tag="93db3827-3ab0-4f10-9ce2-c3aec8602bca" updatedVersion="8" minRefreshableVersion="3" subtotalHiddenItems="1" itemPrintTitles="1" createdVersion="8" indent="0" outline="1" outlineData="1" multipleFieldFilters="0">
  <location ref="B6:C1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4877ECA-ABAA-4ADC-8E09-5B5111A9F01A}"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Unit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758A10A-4416-4166-BEC3-E7D600A9AC1D}" autoFormatId="16" applyNumberFormats="0" applyBorderFormats="0" applyFontFormats="0" applyPatternFormats="0" applyAlignmentFormats="0" applyWidthHeightFormats="0">
  <queryTableRefresh nextId="5">
    <queryTableFields count="4">
      <queryTableField id="1" name="Month" tableColumnId="1"/>
      <queryTableField id="2" name="Department" tableColumnId="2"/>
      <queryTableField id="3" name="BudgetExpense" tableColumnId="3"/>
      <queryTableField id="4" name="ActualExpens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CF8C4521-1FAC-481B-825B-3FF5C6ED62E4}" autoFormatId="16" applyNumberFormats="0" applyBorderFormats="0" applyFontFormats="0" applyPatternFormats="0" applyAlignmentFormats="0" applyWidthHeightFormats="0">
  <queryTableRefresh nextId="13" unboundColumnsRight="3">
    <queryTableFields count="10">
      <queryTableField id="1" name="TransactionID" tableColumnId="1"/>
      <queryTableField id="2" name="Date" tableColumnId="2"/>
      <queryTableField id="3" name="ProductID" tableColumnId="3"/>
      <queryTableField id="4" name="EmployeeID" tableColumnId="4"/>
      <queryTableField id="5" name="Region" tableColumnId="5"/>
      <queryTableField id="6" name="Quantity" tableColumnId="6"/>
      <queryTableField id="7" name="Revenue" tableColumnId="7"/>
      <queryTableField id="9" dataBound="0" tableColumnId="9"/>
      <queryTableField id="10" dataBound="0" tableColumnId="10"/>
      <queryTableField id="12" dataBound="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FF5FFC1C-8560-400B-BB59-C5547D0D5509}" autoFormatId="16" applyNumberFormats="0" applyBorderFormats="0" applyFontFormats="0" applyPatternFormats="0" applyAlignmentFormats="0" applyWidthHeightFormats="0">
  <queryTableRefresh nextId="7" unboundColumnsRight="1">
    <queryTableFields count="6">
      <queryTableField id="1" name="EmployeeID" tableColumnId="1"/>
      <queryTableField id="2" name="EmployeeName" tableColumnId="2"/>
      <queryTableField id="3" name="Department" tableColumnId="3"/>
      <queryTableField id="4" name="Status" tableColumnId="4"/>
      <queryTableField id="5" name="Salary"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A1D327-B80F-4241-AC34-E495D35464ED}" sourceName="[Sales_Data].[Region]">
  <pivotTables>
    <pivotTable tabId="9" name="PivotTable1"/>
    <pivotTable tabId="9" name="PivotTable10"/>
    <pivotTable tabId="9" name="PivotTable2"/>
    <pivotTable tabId="9" name="PivotTable3"/>
    <pivotTable tabId="9" name="PivotTable5"/>
    <pivotTable tabId="9" name="PivotTable6"/>
    <pivotTable tabId="9" name="PivotTable7"/>
    <pivotTable tabId="9" name="PivotTable9"/>
    <pivotTable tabId="9" name="PivotTable4"/>
    <pivotTable tabId="9" name="PivotTable8"/>
  </pivotTables>
  <data>
    <olap pivotCacheId="1337153727">
      <levels count="2">
        <level uniqueName="[Sales_Data].[Region].[(All)]" sourceCaption="(All)" count="0"/>
        <level uniqueName="[Sales_Data].[Region].[Region]" sourceCaption="Region" count="5">
          <ranges>
            <range startItem="0">
              <i n="[Sales_Data].[Region].&amp;[Central]" c="Central"/>
              <i n="[Sales_Data].[Region].&amp;[East]" c="East"/>
              <i n="[Sales_Data].[Region].&amp;[North]" c="North"/>
              <i n="[Sales_Data].[Region].&amp;[South]" c="South"/>
              <i n="[Sales_Data].[Region].&amp;[West]" c="West"/>
            </range>
          </ranges>
        </level>
      </levels>
      <selections count="1">
        <selection n="[Sales_Data].[Region].[All]"/>
      </selections>
    </olap>
  </data>
  <extLst>
    <x:ext xmlns:x15="http://schemas.microsoft.com/office/spreadsheetml/2010/11/main" uri="{03082B11-2C62-411c-B77F-237D8FCFBE4C}">
      <x15:slicerCachePivotTables>
        <pivotTable tabId="4294967295" name="PivotChartTable3"/>
        <pivotTable tabId="4294967295" name="PivotChartTable5"/>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D2DC18-5603-4DC7-9860-614A196D9446}" sourceName="[Products].[Category]">
  <pivotTables>
    <pivotTable tabId="9" name="PivotTable1"/>
    <pivotTable tabId="9" name="PivotTable10"/>
    <pivotTable tabId="9" name="PivotTable2"/>
    <pivotTable tabId="9" name="PivotTable3"/>
    <pivotTable tabId="9" name="PivotTable5"/>
    <pivotTable tabId="9" name="PivotTable6"/>
    <pivotTable tabId="9" name="PivotTable7"/>
    <pivotTable tabId="9" name="PivotTable9"/>
    <pivotTable tabId="9" name="PivotTable4"/>
    <pivotTable tabId="9" name="PivotTable8"/>
  </pivotTables>
  <data>
    <olap pivotCacheId="1337153727">
      <levels count="2">
        <level uniqueName="[Products].[Category].[(All)]" sourceCaption="(All)" count="0"/>
        <level uniqueName="[Products].[Category].[Category]" sourceCaption="Category" count="5">
          <ranges>
            <range startItem="0">
              <i n="[Products].[Category].&amp;[Electronics]" c="Electronics"/>
              <i n="[Products].[Category].&amp;[Fashion]" c="Fashion"/>
              <i n="[Products].[Category].&amp;[Furniture]" c="Furniture"/>
              <i n="[Products].[Category].&amp;[Grocery]" c="Grocery"/>
              <i n="[Products].[Category].&amp;[Sports]" c="Sports"/>
            </range>
          </ranges>
        </level>
      </levels>
      <selections count="1">
        <selection n="[Products].[Category].[All]"/>
      </selections>
    </olap>
  </data>
  <extLst>
    <x:ext xmlns:x15="http://schemas.microsoft.com/office/spreadsheetml/2010/11/main" uri="{03082B11-2C62-411c-B77F-237D8FCFBE4C}">
      <x15:slicerCachePivotTables>
        <pivotTable tabId="4294967295" name="PivotChartTable3"/>
        <pivotTable tabId="4294967295" name="PivotChartTable5"/>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7B45AAEC-5097-4D40-98A8-9D24F988FB82}" sourceName="[Sales_Data].[Year-Month]">
  <pivotTables>
    <pivotTable tabId="9" name="PivotTable1"/>
    <pivotTable tabId="9" name="PivotTable10"/>
    <pivotTable tabId="9" name="PivotTable2"/>
    <pivotTable tabId="9" name="PivotTable3"/>
    <pivotTable tabId="9" name="PivotTable5"/>
    <pivotTable tabId="9" name="PivotTable6"/>
    <pivotTable tabId="9" name="PivotTable7"/>
    <pivotTable tabId="9" name="PivotTable9"/>
    <pivotTable tabId="9" name="PivotTable4"/>
    <pivotTable tabId="9" name="PivotTable8"/>
  </pivotTables>
  <data>
    <olap pivotCacheId="1337153727">
      <levels count="2">
        <level uniqueName="[Sales_Data].[Year-Month].[(All)]" sourceCaption="(All)" count="0"/>
        <level uniqueName="[Sales_Data].[Year-Month].[Year-Month]" sourceCaption="Year-Month" count="12">
          <ranges>
            <range startItem="0">
              <i n="[Sales_Data].[Year-Month].&amp;[2025-01]" c="2025-01"/>
              <i n="[Sales_Data].[Year-Month].&amp;[2025-02]" c="2025-02"/>
              <i n="[Sales_Data].[Year-Month].&amp;[2025-03]" c="2025-03"/>
              <i n="[Sales_Data].[Year-Month].&amp;[2025-04]" c="2025-04"/>
              <i n="[Sales_Data].[Year-Month].&amp;[2025-05]" c="2025-05"/>
              <i n="[Sales_Data].[Year-Month].&amp;[2025-06]" c="2025-06"/>
              <i n="[Sales_Data].[Year-Month].&amp;[2025-07]" c="2025-07"/>
              <i n="[Sales_Data].[Year-Month].&amp;[2025-08]" c="2025-08"/>
              <i n="[Sales_Data].[Year-Month].&amp;[2025-09]" c="2025-09"/>
              <i n="[Sales_Data].[Year-Month].&amp;[2025-10]" c="2025-10"/>
              <i n="[Sales_Data].[Year-Month].&amp;[2025-11]" c="2025-11"/>
              <i n="[Sales_Data].[Year-Month].&amp;[2025-12]" c="2025-12"/>
            </range>
          </ranges>
        </level>
      </levels>
      <selections count="1">
        <selection n="[Sales_Data].[Year-Month].[All]"/>
      </selections>
    </olap>
  </data>
  <extLst>
    <x:ext xmlns:x15="http://schemas.microsoft.com/office/spreadsheetml/2010/11/main" uri="{03082B11-2C62-411c-B77F-237D8FCFBE4C}">
      <x15:slicerCachePivotTables>
        <pivotTable tabId="4294967295" name="PivotChartTable3"/>
        <pivotTable tabId="4294967295" name="PivotChartTable5"/>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6E029B-5270-4D9A-844A-EE108334DA60}" cache="Slicer_Region" caption="Region" level="1" style="SlicerStyleDark1" rowHeight="241300"/>
  <slicer name="Category" xr10:uid="{D4D0B8AB-06E6-4214-B5B1-431C522799E1}" cache="Slicer_Category" caption="Category" level="1" style="SlicerStyleDark2" rowHeight="241300"/>
  <slicer name="Year-Month" xr10:uid="{76ACD832-5F5B-4A35-95AD-95B89236A8CA}" cache="Slicer_Year_Month" caption="Year-Month" startItem="6"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BD7A37-8872-411A-9EB5-54BA2848EBFF}" name="Products" displayName="Products" ref="A1:D31" tableType="queryTable" totalsRowShown="0">
  <autoFilter ref="A1:D31" xr:uid="{F6BD7A37-8872-411A-9EB5-54BA2848EBFF}"/>
  <tableColumns count="4">
    <tableColumn id="1" xr3:uid="{6232D677-2906-44C1-8A28-BB55045F6CFB}" uniqueName="1" name="ProductID" queryTableFieldId="1" dataDxfId="22"/>
    <tableColumn id="2" xr3:uid="{68A1593B-CCD9-43F2-82F3-D2C4172CE177}" uniqueName="2" name="ProductName" queryTableFieldId="2" dataDxfId="21"/>
    <tableColumn id="3" xr3:uid="{18BF2B33-A467-4CE0-8DC5-27A315EFCC94}" uniqueName="3" name="Category" queryTableFieldId="3" dataDxfId="20"/>
    <tableColumn id="4" xr3:uid="{82F1F16E-C81E-4DDF-A826-D43B019D8173}" uniqueName="4" name="UnitPrice" queryTableFieldId="4" dataDxfId="19" dataCellStyle="Currency"/>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9F6B3-259A-4A72-8C0A-7EAD484BA0B4}" name="Budget" displayName="Budget" ref="A1:D61" tableType="queryTable" totalsRowShown="0">
  <autoFilter ref="A1:D61" xr:uid="{4279F6B3-259A-4A72-8C0A-7EAD484BA0B4}"/>
  <tableColumns count="4">
    <tableColumn id="1" xr3:uid="{FCD559E9-B1EA-4CE4-AB79-58FD4377ECF9}" uniqueName="1" name="Month" queryTableFieldId="1" dataDxfId="18"/>
    <tableColumn id="2" xr3:uid="{17039288-1661-4BA9-B51F-ADD97CF05FAF}" uniqueName="2" name="Department" queryTableFieldId="2" dataDxfId="17"/>
    <tableColumn id="3" xr3:uid="{9C12AF7E-D8C5-4689-964A-370C80F3DCC5}" uniqueName="3" name="BudgetExpense" queryTableFieldId="3" dataDxfId="16" dataCellStyle="Currency"/>
    <tableColumn id="4" xr3:uid="{2C439425-DDB6-40C9-A36E-E73E7138333B}" uniqueName="4" name="ActualExpense" queryTableFieldId="4" dataDxfId="15" dataCellStyle="Currency"/>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9BC198-AC7D-484F-A456-9B47CAD6918C}" name="Sales_Data" displayName="Sales_Data" ref="A1:J1501" tableType="queryTable" totalsRowShown="0">
  <autoFilter ref="A1:J1501" xr:uid="{8C9BC198-AC7D-484F-A456-9B47CAD6918C}"/>
  <tableColumns count="10">
    <tableColumn id="1" xr3:uid="{BA705496-0136-42FE-B283-3ED50798B3DA}" uniqueName="1" name="TransactionID" queryTableFieldId="1" dataDxfId="14"/>
    <tableColumn id="2" xr3:uid="{E945F323-F035-4EC9-9D87-8873B8D46E8B}" uniqueName="2" name="Date" queryTableFieldId="2" dataDxfId="13"/>
    <tableColumn id="3" xr3:uid="{E227B21C-EA4E-4113-ABF1-24AD23B553D1}" uniqueName="3" name="ProductID" queryTableFieldId="3" dataDxfId="12"/>
    <tableColumn id="4" xr3:uid="{DFBDF293-B021-45FA-9DCB-47D8417B7C2E}" uniqueName="4" name="EmployeeID" queryTableFieldId="4" dataDxfId="11"/>
    <tableColumn id="5" xr3:uid="{207B7A58-12AC-47B7-A692-AAC5569DA2BD}" uniqueName="5" name="Region" queryTableFieldId="5" dataDxfId="10"/>
    <tableColumn id="6" xr3:uid="{B2D83FDF-4222-404E-8309-76CCF9747783}" uniqueName="6" name="Quantity" queryTableFieldId="6"/>
    <tableColumn id="7" xr3:uid="{B7E4DDE6-EAE5-41B0-9800-6E2849D8A134}" uniqueName="7" name="Revenue" queryTableFieldId="7" dataDxfId="9"/>
    <tableColumn id="9" xr3:uid="{AF2B7758-874B-4734-BA35-5EA9BDF6B63F}" uniqueName="9" name="Blank count quality" queryTableFieldId="9" dataDxfId="8">
      <calculatedColumnFormula>COUNTBLANK(Sales_Data[[#This Row],[Revenue]])</calculatedColumnFormula>
    </tableColumn>
    <tableColumn id="10" xr3:uid="{3EC66A12-6CF4-421C-8AB4-06E0900975FF}" uniqueName="10" name="Blank count revenue" queryTableFieldId="10" dataDxfId="7">
      <calculatedColumnFormula>COUNTBLANK(Sales_Data[[#This Row],[Quantity]])</calculatedColumnFormula>
    </tableColumn>
    <tableColumn id="12" xr3:uid="{FF732248-DDB5-41FA-A113-8EEF7A2970DC}" uniqueName="12" name="Year-Month" queryTableFieldId="12" dataDxfId="6">
      <calculatedColumnFormula>TEXT(Sales_Data[[#This Row],[Date]],"yyyy-mm")</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EF4F09-4460-42A0-AF5E-48CC4C309C6C}" name="Employees" displayName="Employees" ref="A1:F151" tableType="queryTable" totalsRowShown="0">
  <autoFilter ref="A1:F151" xr:uid="{84EF4F09-4460-42A0-AF5E-48CC4C309C6C}"/>
  <tableColumns count="6">
    <tableColumn id="1" xr3:uid="{5A1F88E3-33B4-4268-BB35-F5D58DB7FBB1}" uniqueName="1" name="EmployeeID" queryTableFieldId="1" dataDxfId="5"/>
    <tableColumn id="2" xr3:uid="{D20C29F2-0F51-4599-BC1B-1CFED7A55F1D}" uniqueName="2" name="EmployeeName" queryTableFieldId="2" dataDxfId="4"/>
    <tableColumn id="3" xr3:uid="{6A3B16A6-023F-4986-92D3-CDF4B7178D54}" uniqueName="3" name="Department" queryTableFieldId="3" dataDxfId="3"/>
    <tableColumn id="4" xr3:uid="{766F136A-EFC4-47A2-9BC5-C1C0A9FC02F6}" uniqueName="4" name="Status" queryTableFieldId="4" dataDxfId="2"/>
    <tableColumn id="5" xr3:uid="{C54F56D2-8911-4068-A254-F268DABC1067}" uniqueName="5" name="Salary" queryTableFieldId="5" dataDxfId="1"/>
    <tableColumn id="6" xr3:uid="{AEBF0FD7-1DED-4541-A91B-E283EE7A8A37}" uniqueName="6" name="Active_flag" queryTableFieldId="6" dataDxfId="0">
      <calculatedColumnFormula>IF(D3="Active",1,0)</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1.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92C5-A553-494A-91F9-3CC661775B05}">
  <dimension ref="A1:D31"/>
  <sheetViews>
    <sheetView workbookViewId="0">
      <selection activeCell="G13" sqref="G13"/>
    </sheetView>
  </sheetViews>
  <sheetFormatPr defaultRowHeight="14.5" x14ac:dyDescent="0.35"/>
  <cols>
    <col min="1" max="1" width="11.54296875" bestFit="1" customWidth="1"/>
    <col min="2" max="2" width="14.6328125" bestFit="1" customWidth="1"/>
    <col min="3" max="3" width="10.54296875" bestFit="1" customWidth="1"/>
    <col min="4" max="4" width="11.6328125" style="7" bestFit="1" customWidth="1"/>
  </cols>
  <sheetData>
    <row r="1" spans="1:4" x14ac:dyDescent="0.35">
      <c r="A1" t="s">
        <v>0</v>
      </c>
      <c r="B1" t="s">
        <v>1</v>
      </c>
      <c r="C1" t="s">
        <v>2</v>
      </c>
      <c r="D1" s="7" t="s">
        <v>3</v>
      </c>
    </row>
    <row r="2" spans="1:4" x14ac:dyDescent="0.35">
      <c r="A2" t="s">
        <v>4</v>
      </c>
      <c r="B2" t="s">
        <v>5</v>
      </c>
      <c r="C2" t="s">
        <v>6</v>
      </c>
      <c r="D2" s="7">
        <v>11815</v>
      </c>
    </row>
    <row r="3" spans="1:4" x14ac:dyDescent="0.35">
      <c r="A3" t="s">
        <v>7</v>
      </c>
      <c r="B3" t="s">
        <v>8</v>
      </c>
      <c r="C3" t="s">
        <v>9</v>
      </c>
      <c r="D3" s="7">
        <v>26133</v>
      </c>
    </row>
    <row r="4" spans="1:4" x14ac:dyDescent="0.35">
      <c r="A4" t="s">
        <v>10</v>
      </c>
      <c r="B4" t="s">
        <v>11</v>
      </c>
      <c r="C4" t="s">
        <v>12</v>
      </c>
      <c r="D4" s="7">
        <v>4516</v>
      </c>
    </row>
    <row r="5" spans="1:4" x14ac:dyDescent="0.35">
      <c r="A5" t="s">
        <v>13</v>
      </c>
      <c r="B5" t="s">
        <v>14</v>
      </c>
      <c r="C5" t="s">
        <v>15</v>
      </c>
      <c r="D5" s="7">
        <v>30177</v>
      </c>
    </row>
    <row r="6" spans="1:4" x14ac:dyDescent="0.35">
      <c r="A6" t="s">
        <v>16</v>
      </c>
      <c r="B6" t="s">
        <v>17</v>
      </c>
      <c r="C6" t="s">
        <v>18</v>
      </c>
      <c r="D6" s="7">
        <v>31962</v>
      </c>
    </row>
    <row r="7" spans="1:4" x14ac:dyDescent="0.35">
      <c r="A7" t="s">
        <v>19</v>
      </c>
      <c r="B7" t="s">
        <v>20</v>
      </c>
      <c r="C7" t="s">
        <v>6</v>
      </c>
      <c r="D7" s="7">
        <v>42159</v>
      </c>
    </row>
    <row r="8" spans="1:4" x14ac:dyDescent="0.35">
      <c r="A8" t="s">
        <v>21</v>
      </c>
      <c r="B8" t="s">
        <v>22</v>
      </c>
      <c r="C8" t="s">
        <v>9</v>
      </c>
      <c r="D8" s="7">
        <v>15209</v>
      </c>
    </row>
    <row r="9" spans="1:4" x14ac:dyDescent="0.35">
      <c r="A9" t="s">
        <v>23</v>
      </c>
      <c r="B9" t="s">
        <v>24</v>
      </c>
      <c r="C9" t="s">
        <v>12</v>
      </c>
      <c r="D9" s="7">
        <v>6069</v>
      </c>
    </row>
    <row r="10" spans="1:4" x14ac:dyDescent="0.35">
      <c r="A10" t="s">
        <v>25</v>
      </c>
      <c r="B10" t="s">
        <v>26</v>
      </c>
      <c r="C10" t="s">
        <v>15</v>
      </c>
      <c r="D10" s="7">
        <v>18243</v>
      </c>
    </row>
    <row r="11" spans="1:4" x14ac:dyDescent="0.35">
      <c r="A11" t="s">
        <v>27</v>
      </c>
      <c r="B11" t="s">
        <v>28</v>
      </c>
      <c r="C11" t="s">
        <v>18</v>
      </c>
      <c r="D11" s="7">
        <v>37684</v>
      </c>
    </row>
    <row r="12" spans="1:4" x14ac:dyDescent="0.35">
      <c r="A12" t="s">
        <v>29</v>
      </c>
      <c r="B12" t="s">
        <v>30</v>
      </c>
      <c r="C12" t="s">
        <v>6</v>
      </c>
      <c r="D12" s="7">
        <v>42644</v>
      </c>
    </row>
    <row r="13" spans="1:4" x14ac:dyDescent="0.35">
      <c r="A13" t="s">
        <v>31</v>
      </c>
      <c r="B13" t="s">
        <v>32</v>
      </c>
      <c r="C13" t="s">
        <v>9</v>
      </c>
      <c r="D13" s="7">
        <v>29966</v>
      </c>
    </row>
    <row r="14" spans="1:4" x14ac:dyDescent="0.35">
      <c r="A14" t="s">
        <v>33</v>
      </c>
      <c r="B14" t="s">
        <v>34</v>
      </c>
      <c r="C14" t="s">
        <v>12</v>
      </c>
      <c r="D14" s="7">
        <v>36253</v>
      </c>
    </row>
    <row r="15" spans="1:4" x14ac:dyDescent="0.35">
      <c r="A15" t="s">
        <v>35</v>
      </c>
      <c r="B15" t="s">
        <v>36</v>
      </c>
      <c r="C15" t="s">
        <v>15</v>
      </c>
      <c r="D15" s="7">
        <v>49460</v>
      </c>
    </row>
    <row r="16" spans="1:4" x14ac:dyDescent="0.35">
      <c r="A16" t="s">
        <v>37</v>
      </c>
      <c r="B16" t="s">
        <v>38</v>
      </c>
      <c r="C16" t="s">
        <v>18</v>
      </c>
      <c r="D16" s="7">
        <v>1953</v>
      </c>
    </row>
    <row r="17" spans="1:4" x14ac:dyDescent="0.35">
      <c r="A17" t="s">
        <v>39</v>
      </c>
      <c r="B17" t="s">
        <v>40</v>
      </c>
      <c r="C17" t="s">
        <v>6</v>
      </c>
      <c r="D17" s="7">
        <v>48288</v>
      </c>
    </row>
    <row r="18" spans="1:4" x14ac:dyDescent="0.35">
      <c r="A18" t="s">
        <v>41</v>
      </c>
      <c r="B18" t="s">
        <v>42</v>
      </c>
      <c r="C18" t="s">
        <v>9</v>
      </c>
      <c r="D18" s="7">
        <v>21262</v>
      </c>
    </row>
    <row r="19" spans="1:4" x14ac:dyDescent="0.35">
      <c r="A19" t="s">
        <v>43</v>
      </c>
      <c r="B19" t="s">
        <v>44</v>
      </c>
      <c r="C19" t="s">
        <v>12</v>
      </c>
      <c r="D19" s="7">
        <v>37825</v>
      </c>
    </row>
    <row r="20" spans="1:4" x14ac:dyDescent="0.35">
      <c r="A20" t="s">
        <v>45</v>
      </c>
      <c r="B20" t="s">
        <v>46</v>
      </c>
      <c r="C20" t="s">
        <v>15</v>
      </c>
      <c r="D20" s="7">
        <v>7826</v>
      </c>
    </row>
    <row r="21" spans="1:4" x14ac:dyDescent="0.35">
      <c r="A21" t="s">
        <v>47</v>
      </c>
      <c r="B21" t="s">
        <v>48</v>
      </c>
      <c r="C21" t="s">
        <v>18</v>
      </c>
      <c r="D21" s="7">
        <v>22062</v>
      </c>
    </row>
    <row r="22" spans="1:4" x14ac:dyDescent="0.35">
      <c r="A22" t="s">
        <v>49</v>
      </c>
      <c r="B22" t="s">
        <v>50</v>
      </c>
      <c r="C22" t="s">
        <v>6</v>
      </c>
      <c r="D22" s="7">
        <v>45514</v>
      </c>
    </row>
    <row r="23" spans="1:4" x14ac:dyDescent="0.35">
      <c r="A23" t="s">
        <v>51</v>
      </c>
      <c r="B23" t="s">
        <v>52</v>
      </c>
      <c r="C23" t="s">
        <v>9</v>
      </c>
      <c r="D23" s="7">
        <v>31439</v>
      </c>
    </row>
    <row r="24" spans="1:4" x14ac:dyDescent="0.35">
      <c r="A24" t="s">
        <v>53</v>
      </c>
      <c r="B24" t="s">
        <v>54</v>
      </c>
      <c r="C24" t="s">
        <v>12</v>
      </c>
      <c r="D24" s="7">
        <v>4208</v>
      </c>
    </row>
    <row r="25" spans="1:4" x14ac:dyDescent="0.35">
      <c r="A25" t="s">
        <v>55</v>
      </c>
      <c r="B25" t="s">
        <v>56</v>
      </c>
      <c r="C25" t="s">
        <v>15</v>
      </c>
      <c r="D25" s="7">
        <v>11415</v>
      </c>
    </row>
    <row r="26" spans="1:4" x14ac:dyDescent="0.35">
      <c r="A26" t="s">
        <v>57</v>
      </c>
      <c r="B26" t="s">
        <v>58</v>
      </c>
      <c r="C26" t="s">
        <v>18</v>
      </c>
      <c r="D26" s="7">
        <v>48789</v>
      </c>
    </row>
    <row r="27" spans="1:4" x14ac:dyDescent="0.35">
      <c r="A27" t="s">
        <v>59</v>
      </c>
      <c r="B27" t="s">
        <v>60</v>
      </c>
      <c r="C27" t="s">
        <v>6</v>
      </c>
      <c r="D27" s="7">
        <v>48106</v>
      </c>
    </row>
    <row r="28" spans="1:4" x14ac:dyDescent="0.35">
      <c r="A28" t="s">
        <v>61</v>
      </c>
      <c r="B28" t="s">
        <v>62</v>
      </c>
      <c r="C28" t="s">
        <v>9</v>
      </c>
      <c r="D28" s="7">
        <v>25016</v>
      </c>
    </row>
    <row r="29" spans="1:4" x14ac:dyDescent="0.35">
      <c r="A29" t="s">
        <v>63</v>
      </c>
      <c r="B29" t="s">
        <v>64</v>
      </c>
      <c r="C29" t="s">
        <v>12</v>
      </c>
      <c r="D29" s="7">
        <v>8768</v>
      </c>
    </row>
    <row r="30" spans="1:4" x14ac:dyDescent="0.35">
      <c r="A30" t="s">
        <v>65</v>
      </c>
      <c r="B30" t="s">
        <v>66</v>
      </c>
      <c r="C30" t="s">
        <v>15</v>
      </c>
      <c r="D30" s="7">
        <v>545</v>
      </c>
    </row>
    <row r="31" spans="1:4" x14ac:dyDescent="0.35">
      <c r="A31" t="s">
        <v>67</v>
      </c>
      <c r="B31" t="s">
        <v>68</v>
      </c>
      <c r="C31" t="s">
        <v>18</v>
      </c>
      <c r="D31" s="7">
        <v>21616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9958-1765-47E9-8783-480404153C0C}">
  <dimension ref="A1:D61"/>
  <sheetViews>
    <sheetView workbookViewId="0">
      <selection activeCell="G6" sqref="G6"/>
    </sheetView>
  </sheetViews>
  <sheetFormatPr defaultRowHeight="14.5" x14ac:dyDescent="0.35"/>
  <cols>
    <col min="1" max="1" width="8.81640625" bestFit="1" customWidth="1"/>
    <col min="2" max="2" width="13.36328125" bestFit="1" customWidth="1"/>
    <col min="3" max="3" width="16.90625" style="7" bestFit="1" customWidth="1"/>
    <col min="4" max="4" width="16.26953125" style="7" bestFit="1" customWidth="1"/>
  </cols>
  <sheetData>
    <row r="1" spans="1:4" x14ac:dyDescent="0.35">
      <c r="A1" t="s">
        <v>1891</v>
      </c>
      <c r="B1" t="s">
        <v>71</v>
      </c>
      <c r="C1" s="7" t="s">
        <v>1892</v>
      </c>
      <c r="D1" s="7" t="s">
        <v>1893</v>
      </c>
    </row>
    <row r="2" spans="1:4" x14ac:dyDescent="0.35">
      <c r="A2" t="s">
        <v>1894</v>
      </c>
      <c r="B2" t="s">
        <v>76</v>
      </c>
      <c r="C2" s="7">
        <v>424990</v>
      </c>
      <c r="D2" s="7">
        <v>397496</v>
      </c>
    </row>
    <row r="3" spans="1:4" x14ac:dyDescent="0.35">
      <c r="A3" t="s">
        <v>1894</v>
      </c>
      <c r="B3" t="s">
        <v>80</v>
      </c>
      <c r="C3" s="7">
        <v>345659</v>
      </c>
      <c r="D3" s="7">
        <v>369378</v>
      </c>
    </row>
    <row r="4" spans="1:4" x14ac:dyDescent="0.35">
      <c r="A4" t="s">
        <v>1894</v>
      </c>
      <c r="B4" t="s">
        <v>83</v>
      </c>
      <c r="C4" s="7">
        <v>173399</v>
      </c>
      <c r="D4" s="7">
        <v>191651</v>
      </c>
    </row>
    <row r="5" spans="1:4" x14ac:dyDescent="0.35">
      <c r="A5" t="s">
        <v>1894</v>
      </c>
      <c r="B5" t="s">
        <v>86</v>
      </c>
      <c r="C5" s="7">
        <v>318515</v>
      </c>
      <c r="D5" s="7">
        <v>346308</v>
      </c>
    </row>
    <row r="6" spans="1:4" x14ac:dyDescent="0.35">
      <c r="A6" t="s">
        <v>1894</v>
      </c>
      <c r="B6" t="s">
        <v>90</v>
      </c>
      <c r="C6" s="7">
        <v>285769</v>
      </c>
      <c r="D6" s="7">
        <v>314673</v>
      </c>
    </row>
    <row r="7" spans="1:4" x14ac:dyDescent="0.35">
      <c r="A7" t="s">
        <v>1895</v>
      </c>
      <c r="B7" t="s">
        <v>76</v>
      </c>
      <c r="C7" s="7">
        <v>222114</v>
      </c>
      <c r="D7" s="7">
        <v>228071</v>
      </c>
    </row>
    <row r="8" spans="1:4" x14ac:dyDescent="0.35">
      <c r="A8" t="s">
        <v>1895</v>
      </c>
      <c r="B8" t="s">
        <v>80</v>
      </c>
      <c r="C8" s="7">
        <v>179255</v>
      </c>
      <c r="D8" s="7">
        <v>166305</v>
      </c>
    </row>
    <row r="9" spans="1:4" x14ac:dyDescent="0.35">
      <c r="A9" t="s">
        <v>1895</v>
      </c>
      <c r="B9" t="s">
        <v>83</v>
      </c>
      <c r="C9" s="7">
        <v>485915</v>
      </c>
      <c r="D9" s="7">
        <v>505986</v>
      </c>
    </row>
    <row r="10" spans="1:4" x14ac:dyDescent="0.35">
      <c r="A10" t="s">
        <v>1895</v>
      </c>
      <c r="B10" t="s">
        <v>86</v>
      </c>
      <c r="C10" s="7">
        <v>424051</v>
      </c>
      <c r="D10" s="7">
        <v>409607</v>
      </c>
    </row>
    <row r="11" spans="1:4" x14ac:dyDescent="0.35">
      <c r="A11" t="s">
        <v>1895</v>
      </c>
      <c r="B11" t="s">
        <v>90</v>
      </c>
      <c r="C11" s="7">
        <v>204943</v>
      </c>
      <c r="D11" s="7">
        <v>230588</v>
      </c>
    </row>
    <row r="12" spans="1:4" x14ac:dyDescent="0.35">
      <c r="A12" t="s">
        <v>1896</v>
      </c>
      <c r="B12" t="s">
        <v>76</v>
      </c>
      <c r="C12" s="7">
        <v>242470</v>
      </c>
      <c r="D12" s="7">
        <v>246628</v>
      </c>
    </row>
    <row r="13" spans="1:4" x14ac:dyDescent="0.35">
      <c r="A13" t="s">
        <v>1896</v>
      </c>
      <c r="B13" t="s">
        <v>80</v>
      </c>
      <c r="C13" s="7">
        <v>172707</v>
      </c>
      <c r="D13" s="7">
        <v>180587</v>
      </c>
    </row>
    <row r="14" spans="1:4" x14ac:dyDescent="0.35">
      <c r="A14" t="s">
        <v>1896</v>
      </c>
      <c r="B14" t="s">
        <v>83</v>
      </c>
      <c r="C14" s="7">
        <v>353385</v>
      </c>
      <c r="D14" s="7">
        <v>361095</v>
      </c>
    </row>
    <row r="15" spans="1:4" x14ac:dyDescent="0.35">
      <c r="A15" t="s">
        <v>1896</v>
      </c>
      <c r="B15" t="s">
        <v>86</v>
      </c>
      <c r="C15" s="7">
        <v>377520</v>
      </c>
      <c r="D15" s="7">
        <v>364814</v>
      </c>
    </row>
    <row r="16" spans="1:4" x14ac:dyDescent="0.35">
      <c r="A16" t="s">
        <v>1896</v>
      </c>
      <c r="B16" t="s">
        <v>90</v>
      </c>
      <c r="C16" s="7">
        <v>340269</v>
      </c>
      <c r="D16" s="7">
        <v>371517</v>
      </c>
    </row>
    <row r="17" spans="1:4" x14ac:dyDescent="0.35">
      <c r="A17" t="s">
        <v>1897</v>
      </c>
      <c r="B17" t="s">
        <v>76</v>
      </c>
      <c r="C17" s="7">
        <v>282825</v>
      </c>
      <c r="D17" s="7">
        <v>312901</v>
      </c>
    </row>
    <row r="18" spans="1:4" x14ac:dyDescent="0.35">
      <c r="A18" t="s">
        <v>1897</v>
      </c>
      <c r="B18" t="s">
        <v>80</v>
      </c>
      <c r="C18" s="7">
        <v>474333</v>
      </c>
      <c r="D18" s="7">
        <v>429084</v>
      </c>
    </row>
    <row r="19" spans="1:4" x14ac:dyDescent="0.35">
      <c r="A19" t="s">
        <v>1897</v>
      </c>
      <c r="B19" t="s">
        <v>83</v>
      </c>
      <c r="C19" s="7">
        <v>456591</v>
      </c>
      <c r="D19" s="7">
        <v>501413</v>
      </c>
    </row>
    <row r="20" spans="1:4" x14ac:dyDescent="0.35">
      <c r="A20" t="s">
        <v>1897</v>
      </c>
      <c r="B20" t="s">
        <v>86</v>
      </c>
      <c r="C20" s="7">
        <v>398480</v>
      </c>
      <c r="D20" s="7">
        <v>440775</v>
      </c>
    </row>
    <row r="21" spans="1:4" x14ac:dyDescent="0.35">
      <c r="A21" t="s">
        <v>1897</v>
      </c>
      <c r="B21" t="s">
        <v>90</v>
      </c>
      <c r="C21" s="7">
        <v>475866</v>
      </c>
      <c r="D21" s="7">
        <v>523817</v>
      </c>
    </row>
    <row r="22" spans="1:4" x14ac:dyDescent="0.35">
      <c r="A22" t="s">
        <v>1898</v>
      </c>
      <c r="B22" t="s">
        <v>76</v>
      </c>
      <c r="C22" s="7">
        <v>335141</v>
      </c>
      <c r="D22" s="7">
        <v>370740</v>
      </c>
    </row>
    <row r="23" spans="1:4" x14ac:dyDescent="0.35">
      <c r="A23" t="s">
        <v>1898</v>
      </c>
      <c r="B23" t="s">
        <v>80</v>
      </c>
      <c r="C23" s="7">
        <v>325484</v>
      </c>
      <c r="D23" s="7">
        <v>299391</v>
      </c>
    </row>
    <row r="24" spans="1:4" x14ac:dyDescent="0.35">
      <c r="A24" t="s">
        <v>1898</v>
      </c>
      <c r="B24" t="s">
        <v>83</v>
      </c>
      <c r="C24" s="7">
        <v>331760</v>
      </c>
      <c r="D24" s="7">
        <v>330105</v>
      </c>
    </row>
    <row r="25" spans="1:4" x14ac:dyDescent="0.35">
      <c r="A25" t="s">
        <v>1898</v>
      </c>
      <c r="B25" t="s">
        <v>86</v>
      </c>
      <c r="C25" s="7">
        <v>159699</v>
      </c>
      <c r="D25" s="7">
        <v>147797</v>
      </c>
    </row>
    <row r="26" spans="1:4" x14ac:dyDescent="0.35">
      <c r="A26" t="s">
        <v>1898</v>
      </c>
      <c r="B26" t="s">
        <v>90</v>
      </c>
      <c r="C26" s="7">
        <v>368039</v>
      </c>
      <c r="D26" s="7">
        <v>392057</v>
      </c>
    </row>
    <row r="27" spans="1:4" x14ac:dyDescent="0.35">
      <c r="A27" t="s">
        <v>1899</v>
      </c>
      <c r="B27" t="s">
        <v>76</v>
      </c>
      <c r="C27" s="7">
        <v>483321</v>
      </c>
      <c r="D27" s="7">
        <v>506091</v>
      </c>
    </row>
    <row r="28" spans="1:4" x14ac:dyDescent="0.35">
      <c r="A28" t="s">
        <v>1899</v>
      </c>
      <c r="B28" t="s">
        <v>80</v>
      </c>
      <c r="C28" s="7">
        <v>377914</v>
      </c>
      <c r="D28" s="7">
        <v>390619</v>
      </c>
    </row>
    <row r="29" spans="1:4" x14ac:dyDescent="0.35">
      <c r="A29" t="s">
        <v>1899</v>
      </c>
      <c r="B29" t="s">
        <v>83</v>
      </c>
      <c r="C29" s="7">
        <v>342684</v>
      </c>
      <c r="D29" s="7">
        <v>389072</v>
      </c>
    </row>
    <row r="30" spans="1:4" x14ac:dyDescent="0.35">
      <c r="A30" t="s">
        <v>1899</v>
      </c>
      <c r="B30" t="s">
        <v>86</v>
      </c>
      <c r="C30" s="7">
        <v>160223</v>
      </c>
      <c r="D30" s="7">
        <v>173484</v>
      </c>
    </row>
    <row r="31" spans="1:4" x14ac:dyDescent="0.35">
      <c r="A31" t="s">
        <v>1899</v>
      </c>
      <c r="B31" t="s">
        <v>90</v>
      </c>
      <c r="C31" s="7">
        <v>380326</v>
      </c>
      <c r="D31" s="7">
        <v>367329</v>
      </c>
    </row>
    <row r="32" spans="1:4" x14ac:dyDescent="0.35">
      <c r="A32" t="s">
        <v>1900</v>
      </c>
      <c r="B32" t="s">
        <v>76</v>
      </c>
      <c r="C32" s="7">
        <v>390490</v>
      </c>
      <c r="D32" s="7">
        <v>369680</v>
      </c>
    </row>
    <row r="33" spans="1:4" x14ac:dyDescent="0.35">
      <c r="A33" t="s">
        <v>1900</v>
      </c>
      <c r="B33" t="s">
        <v>80</v>
      </c>
      <c r="C33" s="7">
        <v>259978</v>
      </c>
      <c r="D33" s="7">
        <v>288930</v>
      </c>
    </row>
    <row r="34" spans="1:4" x14ac:dyDescent="0.35">
      <c r="A34" t="s">
        <v>1900</v>
      </c>
      <c r="B34" t="s">
        <v>83</v>
      </c>
      <c r="C34" s="7">
        <v>156917</v>
      </c>
      <c r="D34" s="7">
        <v>148155</v>
      </c>
    </row>
    <row r="35" spans="1:4" x14ac:dyDescent="0.35">
      <c r="A35" t="s">
        <v>1900</v>
      </c>
      <c r="B35" t="s">
        <v>86</v>
      </c>
      <c r="C35" s="7">
        <v>216921</v>
      </c>
      <c r="D35" s="7">
        <v>203970</v>
      </c>
    </row>
    <row r="36" spans="1:4" x14ac:dyDescent="0.35">
      <c r="A36" t="s">
        <v>1900</v>
      </c>
      <c r="B36" t="s">
        <v>90</v>
      </c>
      <c r="C36" s="7">
        <v>278665</v>
      </c>
      <c r="D36" s="7">
        <v>254077</v>
      </c>
    </row>
    <row r="37" spans="1:4" x14ac:dyDescent="0.35">
      <c r="A37" t="s">
        <v>1901</v>
      </c>
      <c r="B37" t="s">
        <v>76</v>
      </c>
      <c r="C37" s="7">
        <v>268583</v>
      </c>
      <c r="D37" s="7">
        <v>307885</v>
      </c>
    </row>
    <row r="38" spans="1:4" x14ac:dyDescent="0.35">
      <c r="A38" t="s">
        <v>1901</v>
      </c>
      <c r="B38" t="s">
        <v>80</v>
      </c>
      <c r="C38" s="7">
        <v>480825</v>
      </c>
      <c r="D38" s="7">
        <v>493053</v>
      </c>
    </row>
    <row r="39" spans="1:4" x14ac:dyDescent="0.35">
      <c r="A39" t="s">
        <v>1901</v>
      </c>
      <c r="B39" t="s">
        <v>83</v>
      </c>
      <c r="C39" s="7">
        <v>441552</v>
      </c>
      <c r="D39" s="7">
        <v>428052</v>
      </c>
    </row>
    <row r="40" spans="1:4" x14ac:dyDescent="0.35">
      <c r="A40" t="s">
        <v>1901</v>
      </c>
      <c r="B40" t="s">
        <v>86</v>
      </c>
      <c r="C40" s="7">
        <v>311217</v>
      </c>
      <c r="D40" s="7">
        <v>335589</v>
      </c>
    </row>
    <row r="41" spans="1:4" x14ac:dyDescent="0.35">
      <c r="A41" t="s">
        <v>1901</v>
      </c>
      <c r="B41" t="s">
        <v>90</v>
      </c>
      <c r="C41" s="7">
        <v>184013</v>
      </c>
      <c r="D41" s="7">
        <v>174271</v>
      </c>
    </row>
    <row r="42" spans="1:4" x14ac:dyDescent="0.35">
      <c r="A42" t="s">
        <v>1902</v>
      </c>
      <c r="B42" t="s">
        <v>76</v>
      </c>
      <c r="C42" s="7">
        <v>280178</v>
      </c>
      <c r="D42" s="7">
        <v>286433</v>
      </c>
    </row>
    <row r="43" spans="1:4" x14ac:dyDescent="0.35">
      <c r="A43" t="s">
        <v>1902</v>
      </c>
      <c r="B43" t="s">
        <v>80</v>
      </c>
      <c r="C43" s="7">
        <v>166840</v>
      </c>
      <c r="D43" s="7">
        <v>153989</v>
      </c>
    </row>
    <row r="44" spans="1:4" x14ac:dyDescent="0.35">
      <c r="A44" t="s">
        <v>1902</v>
      </c>
      <c r="B44" t="s">
        <v>83</v>
      </c>
      <c r="C44" s="7">
        <v>435791</v>
      </c>
      <c r="D44" s="7">
        <v>478342</v>
      </c>
    </row>
    <row r="45" spans="1:4" x14ac:dyDescent="0.35">
      <c r="A45" t="s">
        <v>1902</v>
      </c>
      <c r="B45" t="s">
        <v>86</v>
      </c>
      <c r="C45" s="7">
        <v>300814</v>
      </c>
      <c r="D45" s="7">
        <v>303887</v>
      </c>
    </row>
    <row r="46" spans="1:4" x14ac:dyDescent="0.35">
      <c r="A46" t="s">
        <v>1902</v>
      </c>
      <c r="B46" t="s">
        <v>90</v>
      </c>
      <c r="C46" s="7">
        <v>288264</v>
      </c>
      <c r="D46" s="7">
        <v>325665</v>
      </c>
    </row>
    <row r="47" spans="1:4" x14ac:dyDescent="0.35">
      <c r="A47" t="s">
        <v>1903</v>
      </c>
      <c r="B47" t="s">
        <v>76</v>
      </c>
      <c r="C47" s="7">
        <v>357784</v>
      </c>
      <c r="D47" s="7">
        <v>355083</v>
      </c>
    </row>
    <row r="48" spans="1:4" x14ac:dyDescent="0.35">
      <c r="A48" t="s">
        <v>1903</v>
      </c>
      <c r="B48" t="s">
        <v>80</v>
      </c>
      <c r="C48" s="7">
        <v>294546</v>
      </c>
      <c r="D48" s="7">
        <v>278885</v>
      </c>
    </row>
    <row r="49" spans="1:4" x14ac:dyDescent="0.35">
      <c r="A49" t="s">
        <v>1903</v>
      </c>
      <c r="B49" t="s">
        <v>83</v>
      </c>
      <c r="C49" s="7">
        <v>198267</v>
      </c>
      <c r="D49" s="7">
        <v>180956</v>
      </c>
    </row>
    <row r="50" spans="1:4" x14ac:dyDescent="0.35">
      <c r="A50" t="s">
        <v>1903</v>
      </c>
      <c r="B50" t="s">
        <v>86</v>
      </c>
      <c r="C50" s="7">
        <v>263780</v>
      </c>
      <c r="D50" s="7">
        <v>253484</v>
      </c>
    </row>
    <row r="51" spans="1:4" x14ac:dyDescent="0.35">
      <c r="A51" t="s">
        <v>1903</v>
      </c>
      <c r="B51" t="s">
        <v>90</v>
      </c>
      <c r="C51" s="7">
        <v>444435</v>
      </c>
      <c r="D51" s="7">
        <v>412902</v>
      </c>
    </row>
    <row r="52" spans="1:4" x14ac:dyDescent="0.35">
      <c r="A52" t="s">
        <v>1904</v>
      </c>
      <c r="B52" t="s">
        <v>76</v>
      </c>
      <c r="C52" s="7">
        <v>301295</v>
      </c>
      <c r="D52" s="7">
        <v>283962</v>
      </c>
    </row>
    <row r="53" spans="1:4" x14ac:dyDescent="0.35">
      <c r="A53" t="s">
        <v>1904</v>
      </c>
      <c r="B53" t="s">
        <v>80</v>
      </c>
      <c r="C53" s="7">
        <v>157805</v>
      </c>
      <c r="D53" s="7">
        <v>146612</v>
      </c>
    </row>
    <row r="54" spans="1:4" x14ac:dyDescent="0.35">
      <c r="A54" t="s">
        <v>1904</v>
      </c>
      <c r="B54" t="s">
        <v>83</v>
      </c>
      <c r="C54" s="7">
        <v>305586</v>
      </c>
      <c r="D54" s="7">
        <v>308949</v>
      </c>
    </row>
    <row r="55" spans="1:4" x14ac:dyDescent="0.35">
      <c r="A55" t="s">
        <v>1904</v>
      </c>
      <c r="B55" t="s">
        <v>86</v>
      </c>
      <c r="C55" s="7">
        <v>450477</v>
      </c>
      <c r="D55" s="7">
        <v>411186</v>
      </c>
    </row>
    <row r="56" spans="1:4" x14ac:dyDescent="0.35">
      <c r="A56" t="s">
        <v>1904</v>
      </c>
      <c r="B56" t="s">
        <v>90</v>
      </c>
      <c r="C56" s="7">
        <v>499607</v>
      </c>
      <c r="D56" s="7">
        <v>458322</v>
      </c>
    </row>
    <row r="57" spans="1:4" x14ac:dyDescent="0.35">
      <c r="A57" t="s">
        <v>1905</v>
      </c>
      <c r="B57" t="s">
        <v>76</v>
      </c>
      <c r="C57" s="7">
        <v>245799</v>
      </c>
      <c r="D57" s="7">
        <v>235926</v>
      </c>
    </row>
    <row r="58" spans="1:4" x14ac:dyDescent="0.35">
      <c r="A58" t="s">
        <v>1905</v>
      </c>
      <c r="B58" t="s">
        <v>80</v>
      </c>
      <c r="C58" s="7">
        <v>478099</v>
      </c>
      <c r="D58" s="7">
        <v>482600</v>
      </c>
    </row>
    <row r="59" spans="1:4" x14ac:dyDescent="0.35">
      <c r="A59" t="s">
        <v>1905</v>
      </c>
      <c r="B59" t="s">
        <v>83</v>
      </c>
      <c r="C59" s="7">
        <v>389560</v>
      </c>
      <c r="D59" s="7">
        <v>405262</v>
      </c>
    </row>
    <row r="60" spans="1:4" x14ac:dyDescent="0.35">
      <c r="A60" t="s">
        <v>1905</v>
      </c>
      <c r="B60" t="s">
        <v>86</v>
      </c>
      <c r="C60" s="7">
        <v>196122</v>
      </c>
      <c r="D60" s="7">
        <v>195714</v>
      </c>
    </row>
    <row r="61" spans="1:4" x14ac:dyDescent="0.35">
      <c r="A61" t="s">
        <v>1905</v>
      </c>
      <c r="B61" t="s">
        <v>90</v>
      </c>
      <c r="C61" s="7">
        <v>437809</v>
      </c>
      <c r="D61" s="7">
        <v>438957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E0511-A74A-4F5E-BD68-AC1E3997DA34}">
  <dimension ref="A1:J1501"/>
  <sheetViews>
    <sheetView workbookViewId="0">
      <selection activeCell="L1490" sqref="L1490"/>
    </sheetView>
  </sheetViews>
  <sheetFormatPr defaultRowHeight="14.5" x14ac:dyDescent="0.35"/>
  <cols>
    <col min="1" max="1" width="14.7265625" bestFit="1" customWidth="1"/>
    <col min="2" max="2" width="10.08984375" bestFit="1" customWidth="1"/>
    <col min="3" max="3" width="11.54296875" bestFit="1" customWidth="1"/>
    <col min="4" max="4" width="13.08984375" bestFit="1" customWidth="1"/>
    <col min="6" max="6" width="10.453125" bestFit="1" customWidth="1"/>
    <col min="7" max="7" width="12.6328125" style="6" bestFit="1" customWidth="1"/>
    <col min="8" max="8" width="19.36328125" bestFit="1" customWidth="1"/>
    <col min="9" max="9" width="20.453125" bestFit="1" customWidth="1"/>
    <col min="10" max="10" width="13.1796875" bestFit="1" customWidth="1"/>
  </cols>
  <sheetData>
    <row r="1" spans="1:10" x14ac:dyDescent="0.35">
      <c r="A1" t="s">
        <v>381</v>
      </c>
      <c r="B1" t="s">
        <v>382</v>
      </c>
      <c r="C1" t="s">
        <v>0</v>
      </c>
      <c r="D1" t="s">
        <v>69</v>
      </c>
      <c r="E1" t="s">
        <v>383</v>
      </c>
      <c r="F1" t="s">
        <v>384</v>
      </c>
      <c r="G1" s="6" t="s">
        <v>385</v>
      </c>
      <c r="H1" t="s">
        <v>1929</v>
      </c>
      <c r="I1" t="s">
        <v>1930</v>
      </c>
      <c r="J1" t="s">
        <v>1906</v>
      </c>
    </row>
    <row r="2" spans="1:10" x14ac:dyDescent="0.35">
      <c r="A2" t="s">
        <v>386</v>
      </c>
      <c r="B2" s="3">
        <v>45962</v>
      </c>
      <c r="C2" t="s">
        <v>55</v>
      </c>
      <c r="D2" t="s">
        <v>215</v>
      </c>
      <c r="E2" t="s">
        <v>387</v>
      </c>
      <c r="F2">
        <v>7</v>
      </c>
      <c r="G2" s="6">
        <v>79905</v>
      </c>
      <c r="H2">
        <f>COUNTBLANK(Sales_Data[[#This Row],[Revenue]])</f>
        <v>0</v>
      </c>
      <c r="I2">
        <f>COUNTBLANK(Sales_Data[[#This Row],[Quantity]])</f>
        <v>0</v>
      </c>
      <c r="J2" t="str">
        <f>TEXT(Sales_Data[[#This Row],[Date]],"yyyy-mm")</f>
        <v>2025-11</v>
      </c>
    </row>
    <row r="3" spans="1:10" x14ac:dyDescent="0.35">
      <c r="A3" t="s">
        <v>388</v>
      </c>
      <c r="B3" s="3">
        <v>45663</v>
      </c>
      <c r="C3" t="s">
        <v>4</v>
      </c>
      <c r="D3" t="s">
        <v>109</v>
      </c>
      <c r="E3" t="s">
        <v>389</v>
      </c>
      <c r="F3">
        <v>8</v>
      </c>
      <c r="G3" s="6">
        <v>94520</v>
      </c>
      <c r="H3">
        <f>COUNTBLANK(Sales_Data[[#This Row],[Revenue]])</f>
        <v>0</v>
      </c>
      <c r="I3">
        <f>COUNTBLANK(Sales_Data[[#This Row],[Quantity]])</f>
        <v>0</v>
      </c>
      <c r="J3" t="str">
        <f>TEXT(Sales_Data[[#This Row],[Date]],"yyyy-mm")</f>
        <v>2025-01</v>
      </c>
    </row>
    <row r="4" spans="1:10" x14ac:dyDescent="0.35">
      <c r="A4" t="s">
        <v>390</v>
      </c>
      <c r="B4" s="3">
        <v>45668</v>
      </c>
      <c r="C4" t="s">
        <v>27</v>
      </c>
      <c r="D4" t="s">
        <v>327</v>
      </c>
      <c r="E4" t="s">
        <v>391</v>
      </c>
      <c r="F4">
        <v>8</v>
      </c>
      <c r="G4" s="6">
        <v>301472</v>
      </c>
      <c r="H4">
        <f>COUNTBLANK(Sales_Data[[#This Row],[Revenue]])</f>
        <v>0</v>
      </c>
      <c r="I4">
        <f>COUNTBLANK(Sales_Data[[#This Row],[Quantity]])</f>
        <v>0</v>
      </c>
      <c r="J4" t="str">
        <f>TEXT(Sales_Data[[#This Row],[Date]],"yyyy-mm")</f>
        <v>2025-01</v>
      </c>
    </row>
    <row r="5" spans="1:10" x14ac:dyDescent="0.35">
      <c r="A5" t="s">
        <v>392</v>
      </c>
      <c r="B5" s="3">
        <v>46003</v>
      </c>
      <c r="C5" t="s">
        <v>4</v>
      </c>
      <c r="D5" t="s">
        <v>129</v>
      </c>
      <c r="E5" t="s">
        <v>387</v>
      </c>
      <c r="F5">
        <v>3</v>
      </c>
      <c r="G5" s="6">
        <v>35445</v>
      </c>
      <c r="H5">
        <f>COUNTBLANK(Sales_Data[[#This Row],[Revenue]])</f>
        <v>0</v>
      </c>
      <c r="I5">
        <f>COUNTBLANK(Sales_Data[[#This Row],[Quantity]])</f>
        <v>0</v>
      </c>
      <c r="J5" t="str">
        <f>TEXT(Sales_Data[[#This Row],[Date]],"yyyy-mm")</f>
        <v>2025-12</v>
      </c>
    </row>
    <row r="6" spans="1:10" x14ac:dyDescent="0.35">
      <c r="A6" t="s">
        <v>393</v>
      </c>
      <c r="B6" s="3">
        <v>46007</v>
      </c>
      <c r="C6" t="s">
        <v>31</v>
      </c>
      <c r="D6" t="s">
        <v>259</v>
      </c>
      <c r="E6" t="s">
        <v>394</v>
      </c>
      <c r="F6">
        <v>1</v>
      </c>
      <c r="G6" s="6">
        <v>29966</v>
      </c>
      <c r="H6">
        <f>COUNTBLANK(Sales_Data[[#This Row],[Revenue]])</f>
        <v>0</v>
      </c>
      <c r="I6">
        <f>COUNTBLANK(Sales_Data[[#This Row],[Quantity]])</f>
        <v>0</v>
      </c>
      <c r="J6" t="str">
        <f>TEXT(Sales_Data[[#This Row],[Date]],"yyyy-mm")</f>
        <v>2025-12</v>
      </c>
    </row>
    <row r="7" spans="1:10" x14ac:dyDescent="0.35">
      <c r="A7" t="s">
        <v>395</v>
      </c>
      <c r="B7" s="3">
        <v>45902</v>
      </c>
      <c r="C7" t="s">
        <v>45</v>
      </c>
      <c r="D7" t="s">
        <v>343</v>
      </c>
      <c r="E7" t="s">
        <v>389</v>
      </c>
      <c r="F7">
        <v>3</v>
      </c>
      <c r="G7" s="6">
        <v>23478</v>
      </c>
      <c r="H7">
        <f>COUNTBLANK(Sales_Data[[#This Row],[Revenue]])</f>
        <v>0</v>
      </c>
      <c r="I7">
        <f>COUNTBLANK(Sales_Data[[#This Row],[Quantity]])</f>
        <v>0</v>
      </c>
      <c r="J7" t="str">
        <f>TEXT(Sales_Data[[#This Row],[Date]],"yyyy-mm")</f>
        <v>2025-09</v>
      </c>
    </row>
    <row r="8" spans="1:10" x14ac:dyDescent="0.35">
      <c r="A8" t="s">
        <v>396</v>
      </c>
      <c r="B8" s="3">
        <v>45806</v>
      </c>
      <c r="C8" t="s">
        <v>35</v>
      </c>
      <c r="D8" t="s">
        <v>239</v>
      </c>
      <c r="E8" t="s">
        <v>389</v>
      </c>
      <c r="F8">
        <v>2</v>
      </c>
      <c r="G8" s="6">
        <v>98920</v>
      </c>
      <c r="H8">
        <f>COUNTBLANK(Sales_Data[[#This Row],[Revenue]])</f>
        <v>0</v>
      </c>
      <c r="I8">
        <f>COUNTBLANK(Sales_Data[[#This Row],[Quantity]])</f>
        <v>0</v>
      </c>
      <c r="J8" t="str">
        <f>TEXT(Sales_Data[[#This Row],[Date]],"yyyy-mm")</f>
        <v>2025-05</v>
      </c>
    </row>
    <row r="9" spans="1:10" x14ac:dyDescent="0.35">
      <c r="A9" t="s">
        <v>397</v>
      </c>
      <c r="B9" s="3">
        <v>45926</v>
      </c>
      <c r="C9" t="s">
        <v>43</v>
      </c>
      <c r="D9" t="s">
        <v>117</v>
      </c>
      <c r="E9" t="s">
        <v>394</v>
      </c>
      <c r="F9">
        <v>10</v>
      </c>
      <c r="G9" s="6">
        <v>378250</v>
      </c>
      <c r="H9">
        <f>COUNTBLANK(Sales_Data[[#This Row],[Revenue]])</f>
        <v>0</v>
      </c>
      <c r="I9">
        <f>COUNTBLANK(Sales_Data[[#This Row],[Quantity]])</f>
        <v>0</v>
      </c>
      <c r="J9" t="str">
        <f>TEXT(Sales_Data[[#This Row],[Date]],"yyyy-mm")</f>
        <v>2025-09</v>
      </c>
    </row>
    <row r="10" spans="1:10" x14ac:dyDescent="0.35">
      <c r="A10" t="s">
        <v>398</v>
      </c>
      <c r="B10" s="3">
        <v>45684</v>
      </c>
      <c r="C10" t="s">
        <v>27</v>
      </c>
      <c r="D10" t="s">
        <v>269</v>
      </c>
      <c r="E10" t="s">
        <v>387</v>
      </c>
      <c r="F10">
        <v>8</v>
      </c>
      <c r="G10" s="6">
        <v>301472</v>
      </c>
      <c r="H10">
        <f>COUNTBLANK(Sales_Data[[#This Row],[Revenue]])</f>
        <v>0</v>
      </c>
      <c r="I10">
        <f>COUNTBLANK(Sales_Data[[#This Row],[Quantity]])</f>
        <v>0</v>
      </c>
      <c r="J10" t="str">
        <f>TEXT(Sales_Data[[#This Row],[Date]],"yyyy-mm")</f>
        <v>2025-01</v>
      </c>
    </row>
    <row r="11" spans="1:10" x14ac:dyDescent="0.35">
      <c r="A11" t="s">
        <v>399</v>
      </c>
      <c r="B11" s="3">
        <v>45690</v>
      </c>
      <c r="C11" t="s">
        <v>65</v>
      </c>
      <c r="D11" t="s">
        <v>127</v>
      </c>
      <c r="E11" t="s">
        <v>391</v>
      </c>
      <c r="F11">
        <v>9</v>
      </c>
      <c r="G11" s="6">
        <v>4905</v>
      </c>
      <c r="H11">
        <f>COUNTBLANK(Sales_Data[[#This Row],[Revenue]])</f>
        <v>0</v>
      </c>
      <c r="I11">
        <f>COUNTBLANK(Sales_Data[[#This Row],[Quantity]])</f>
        <v>0</v>
      </c>
      <c r="J11" t="str">
        <f>TEXT(Sales_Data[[#This Row],[Date]],"yyyy-mm")</f>
        <v>2025-02</v>
      </c>
    </row>
    <row r="12" spans="1:10" x14ac:dyDescent="0.35">
      <c r="A12" t="s">
        <v>400</v>
      </c>
      <c r="B12" s="3">
        <v>45851</v>
      </c>
      <c r="C12" t="s">
        <v>10</v>
      </c>
      <c r="D12" t="s">
        <v>197</v>
      </c>
      <c r="E12" t="s">
        <v>387</v>
      </c>
      <c r="F12">
        <v>2</v>
      </c>
      <c r="G12" s="6">
        <v>9032</v>
      </c>
      <c r="H12">
        <f>COUNTBLANK(Sales_Data[[#This Row],[Revenue]])</f>
        <v>0</v>
      </c>
      <c r="I12">
        <f>COUNTBLANK(Sales_Data[[#This Row],[Quantity]])</f>
        <v>0</v>
      </c>
      <c r="J12" t="str">
        <f>TEXT(Sales_Data[[#This Row],[Date]],"yyyy-mm")</f>
        <v>2025-07</v>
      </c>
    </row>
    <row r="13" spans="1:10" x14ac:dyDescent="0.35">
      <c r="A13" t="s">
        <v>401</v>
      </c>
      <c r="B13" s="3">
        <v>45813</v>
      </c>
      <c r="C13" t="s">
        <v>29</v>
      </c>
      <c r="D13" t="s">
        <v>129</v>
      </c>
      <c r="E13" t="s">
        <v>394</v>
      </c>
      <c r="F13">
        <v>7</v>
      </c>
      <c r="G13" s="6">
        <v>298508</v>
      </c>
      <c r="H13">
        <f>COUNTBLANK(Sales_Data[[#This Row],[Revenue]])</f>
        <v>0</v>
      </c>
      <c r="I13">
        <f>COUNTBLANK(Sales_Data[[#This Row],[Quantity]])</f>
        <v>0</v>
      </c>
      <c r="J13" t="str">
        <f>TEXT(Sales_Data[[#This Row],[Date]],"yyyy-mm")</f>
        <v>2025-06</v>
      </c>
    </row>
    <row r="14" spans="1:10" x14ac:dyDescent="0.35">
      <c r="A14" t="s">
        <v>402</v>
      </c>
      <c r="B14" s="3">
        <v>45886</v>
      </c>
      <c r="C14" t="s">
        <v>41</v>
      </c>
      <c r="D14" t="s">
        <v>105</v>
      </c>
      <c r="E14" t="s">
        <v>403</v>
      </c>
      <c r="F14">
        <v>7</v>
      </c>
      <c r="G14" s="6">
        <v>148834</v>
      </c>
      <c r="H14">
        <f>COUNTBLANK(Sales_Data[[#This Row],[Revenue]])</f>
        <v>0</v>
      </c>
      <c r="I14">
        <f>COUNTBLANK(Sales_Data[[#This Row],[Quantity]])</f>
        <v>0</v>
      </c>
      <c r="J14" t="str">
        <f>TEXT(Sales_Data[[#This Row],[Date]],"yyyy-mm")</f>
        <v>2025-08</v>
      </c>
    </row>
    <row r="15" spans="1:10" x14ac:dyDescent="0.35">
      <c r="A15" t="s">
        <v>404</v>
      </c>
      <c r="B15" s="3">
        <v>45957</v>
      </c>
      <c r="C15" t="s">
        <v>19</v>
      </c>
      <c r="D15" t="s">
        <v>341</v>
      </c>
      <c r="E15" t="s">
        <v>391</v>
      </c>
      <c r="F15">
        <v>4</v>
      </c>
      <c r="G15" s="6">
        <v>168636</v>
      </c>
      <c r="H15">
        <f>COUNTBLANK(Sales_Data[[#This Row],[Revenue]])</f>
        <v>0</v>
      </c>
      <c r="I15">
        <f>COUNTBLANK(Sales_Data[[#This Row],[Quantity]])</f>
        <v>0</v>
      </c>
      <c r="J15" t="str">
        <f>TEXT(Sales_Data[[#This Row],[Date]],"yyyy-mm")</f>
        <v>2025-10</v>
      </c>
    </row>
    <row r="16" spans="1:10" x14ac:dyDescent="0.35">
      <c r="A16" t="s">
        <v>405</v>
      </c>
      <c r="B16" s="3">
        <v>45719</v>
      </c>
      <c r="C16" t="s">
        <v>33</v>
      </c>
      <c r="D16" t="s">
        <v>369</v>
      </c>
      <c r="E16" t="s">
        <v>394</v>
      </c>
      <c r="F16">
        <v>7</v>
      </c>
      <c r="G16" s="6">
        <v>253771</v>
      </c>
      <c r="H16">
        <f>COUNTBLANK(Sales_Data[[#This Row],[Revenue]])</f>
        <v>0</v>
      </c>
      <c r="I16">
        <f>COUNTBLANK(Sales_Data[[#This Row],[Quantity]])</f>
        <v>0</v>
      </c>
      <c r="J16" t="str">
        <f>TEXT(Sales_Data[[#This Row],[Date]],"yyyy-mm")</f>
        <v>2025-03</v>
      </c>
    </row>
    <row r="17" spans="1:10" x14ac:dyDescent="0.35">
      <c r="A17" t="s">
        <v>406</v>
      </c>
      <c r="B17" s="3">
        <v>45747</v>
      </c>
      <c r="C17" t="s">
        <v>63</v>
      </c>
      <c r="D17" t="s">
        <v>285</v>
      </c>
      <c r="E17" t="s">
        <v>394</v>
      </c>
      <c r="F17">
        <v>3</v>
      </c>
      <c r="G17" s="6">
        <v>26304</v>
      </c>
      <c r="H17">
        <f>COUNTBLANK(Sales_Data[[#This Row],[Revenue]])</f>
        <v>0</v>
      </c>
      <c r="I17">
        <f>COUNTBLANK(Sales_Data[[#This Row],[Quantity]])</f>
        <v>0</v>
      </c>
      <c r="J17" t="str">
        <f>TEXT(Sales_Data[[#This Row],[Date]],"yyyy-mm")</f>
        <v>2025-03</v>
      </c>
    </row>
    <row r="18" spans="1:10" x14ac:dyDescent="0.35">
      <c r="A18" t="s">
        <v>407</v>
      </c>
      <c r="B18" s="3">
        <v>45705</v>
      </c>
      <c r="C18" t="s">
        <v>47</v>
      </c>
      <c r="D18" t="s">
        <v>327</v>
      </c>
      <c r="E18" t="s">
        <v>387</v>
      </c>
      <c r="F18">
        <v>3</v>
      </c>
      <c r="G18" s="6">
        <v>66186</v>
      </c>
      <c r="H18">
        <f>COUNTBLANK(Sales_Data[[#This Row],[Revenue]])</f>
        <v>0</v>
      </c>
      <c r="I18">
        <f>COUNTBLANK(Sales_Data[[#This Row],[Quantity]])</f>
        <v>0</v>
      </c>
      <c r="J18" t="str">
        <f>TEXT(Sales_Data[[#This Row],[Date]],"yyyy-mm")</f>
        <v>2025-02</v>
      </c>
    </row>
    <row r="19" spans="1:10" x14ac:dyDescent="0.35">
      <c r="A19" t="s">
        <v>408</v>
      </c>
      <c r="B19" s="3">
        <v>45984</v>
      </c>
      <c r="C19" t="s">
        <v>59</v>
      </c>
      <c r="D19" t="s">
        <v>119</v>
      </c>
      <c r="E19" t="s">
        <v>389</v>
      </c>
      <c r="F19">
        <v>8</v>
      </c>
      <c r="G19" s="6">
        <v>384848</v>
      </c>
      <c r="H19">
        <f>COUNTBLANK(Sales_Data[[#This Row],[Revenue]])</f>
        <v>0</v>
      </c>
      <c r="I19">
        <f>COUNTBLANK(Sales_Data[[#This Row],[Quantity]])</f>
        <v>0</v>
      </c>
      <c r="J19" t="str">
        <f>TEXT(Sales_Data[[#This Row],[Date]],"yyyy-mm")</f>
        <v>2025-11</v>
      </c>
    </row>
    <row r="20" spans="1:10" x14ac:dyDescent="0.35">
      <c r="A20" t="s">
        <v>409</v>
      </c>
      <c r="B20" s="3">
        <v>45884</v>
      </c>
      <c r="C20" t="s">
        <v>7</v>
      </c>
      <c r="D20" t="s">
        <v>335</v>
      </c>
      <c r="E20" t="s">
        <v>403</v>
      </c>
      <c r="F20">
        <v>6</v>
      </c>
      <c r="G20" s="6">
        <v>156798</v>
      </c>
      <c r="H20">
        <f>COUNTBLANK(Sales_Data[[#This Row],[Revenue]])</f>
        <v>0</v>
      </c>
      <c r="I20">
        <f>COUNTBLANK(Sales_Data[[#This Row],[Quantity]])</f>
        <v>0</v>
      </c>
      <c r="J20" t="str">
        <f>TEXT(Sales_Data[[#This Row],[Date]],"yyyy-mm")</f>
        <v>2025-08</v>
      </c>
    </row>
    <row r="21" spans="1:10" x14ac:dyDescent="0.35">
      <c r="A21" t="s">
        <v>410</v>
      </c>
      <c r="B21" s="3">
        <v>45917</v>
      </c>
      <c r="C21" t="s">
        <v>67</v>
      </c>
      <c r="D21" t="s">
        <v>153</v>
      </c>
      <c r="E21" t="s">
        <v>394</v>
      </c>
      <c r="F21">
        <v>8</v>
      </c>
      <c r="G21" s="6">
        <v>172928</v>
      </c>
      <c r="H21">
        <f>COUNTBLANK(Sales_Data[[#This Row],[Revenue]])</f>
        <v>0</v>
      </c>
      <c r="I21">
        <f>COUNTBLANK(Sales_Data[[#This Row],[Quantity]])</f>
        <v>0</v>
      </c>
      <c r="J21" t="str">
        <f>TEXT(Sales_Data[[#This Row],[Date]],"yyyy-mm")</f>
        <v>2025-09</v>
      </c>
    </row>
    <row r="22" spans="1:10" x14ac:dyDescent="0.35">
      <c r="A22" t="s">
        <v>411</v>
      </c>
      <c r="B22" s="3">
        <v>45699</v>
      </c>
      <c r="C22" t="s">
        <v>7</v>
      </c>
      <c r="D22" t="s">
        <v>253</v>
      </c>
      <c r="E22" t="s">
        <v>403</v>
      </c>
      <c r="F22">
        <v>6</v>
      </c>
      <c r="G22" s="6">
        <v>156798</v>
      </c>
      <c r="H22">
        <f>COUNTBLANK(Sales_Data[[#This Row],[Revenue]])</f>
        <v>0</v>
      </c>
      <c r="I22">
        <f>COUNTBLANK(Sales_Data[[#This Row],[Quantity]])</f>
        <v>0</v>
      </c>
      <c r="J22" t="str">
        <f>TEXT(Sales_Data[[#This Row],[Date]],"yyyy-mm")</f>
        <v>2025-02</v>
      </c>
    </row>
    <row r="23" spans="1:10" x14ac:dyDescent="0.35">
      <c r="A23" t="s">
        <v>412</v>
      </c>
      <c r="B23" s="3">
        <v>45795</v>
      </c>
      <c r="C23" t="s">
        <v>63</v>
      </c>
      <c r="D23" t="s">
        <v>369</v>
      </c>
      <c r="E23" t="s">
        <v>389</v>
      </c>
      <c r="F23">
        <v>10</v>
      </c>
      <c r="G23" s="6">
        <v>87680</v>
      </c>
      <c r="H23">
        <f>COUNTBLANK(Sales_Data[[#This Row],[Revenue]])</f>
        <v>0</v>
      </c>
      <c r="I23">
        <f>COUNTBLANK(Sales_Data[[#This Row],[Quantity]])</f>
        <v>0</v>
      </c>
      <c r="J23" t="str">
        <f>TEXT(Sales_Data[[#This Row],[Date]],"yyyy-mm")</f>
        <v>2025-05</v>
      </c>
    </row>
    <row r="24" spans="1:10" x14ac:dyDescent="0.35">
      <c r="A24" t="s">
        <v>413</v>
      </c>
      <c r="B24" s="3">
        <v>45970</v>
      </c>
      <c r="C24" t="s">
        <v>61</v>
      </c>
      <c r="D24" t="s">
        <v>147</v>
      </c>
      <c r="E24" t="s">
        <v>403</v>
      </c>
      <c r="F24">
        <v>6</v>
      </c>
      <c r="G24" s="6">
        <v>150096</v>
      </c>
      <c r="H24">
        <f>COUNTBLANK(Sales_Data[[#This Row],[Revenue]])</f>
        <v>0</v>
      </c>
      <c r="I24">
        <f>COUNTBLANK(Sales_Data[[#This Row],[Quantity]])</f>
        <v>0</v>
      </c>
      <c r="J24" t="str">
        <f>TEXT(Sales_Data[[#This Row],[Date]],"yyyy-mm")</f>
        <v>2025-11</v>
      </c>
    </row>
    <row r="25" spans="1:10" x14ac:dyDescent="0.35">
      <c r="A25" t="s">
        <v>414</v>
      </c>
      <c r="B25" s="3">
        <v>45908</v>
      </c>
      <c r="C25" t="s">
        <v>41</v>
      </c>
      <c r="D25" t="s">
        <v>153</v>
      </c>
      <c r="E25" t="s">
        <v>394</v>
      </c>
      <c r="F25">
        <v>7</v>
      </c>
      <c r="G25" s="6">
        <v>148834</v>
      </c>
      <c r="H25">
        <f>COUNTBLANK(Sales_Data[[#This Row],[Revenue]])</f>
        <v>0</v>
      </c>
      <c r="I25">
        <f>COUNTBLANK(Sales_Data[[#This Row],[Quantity]])</f>
        <v>0</v>
      </c>
      <c r="J25" t="str">
        <f>TEXT(Sales_Data[[#This Row],[Date]],"yyyy-mm")</f>
        <v>2025-09</v>
      </c>
    </row>
    <row r="26" spans="1:10" x14ac:dyDescent="0.35">
      <c r="A26" t="s">
        <v>415</v>
      </c>
      <c r="B26" s="3">
        <v>45689</v>
      </c>
      <c r="C26" t="s">
        <v>55</v>
      </c>
      <c r="D26" t="s">
        <v>275</v>
      </c>
      <c r="E26" t="s">
        <v>391</v>
      </c>
      <c r="F26">
        <v>4</v>
      </c>
      <c r="G26" s="6">
        <v>45660</v>
      </c>
      <c r="H26">
        <f>COUNTBLANK(Sales_Data[[#This Row],[Revenue]])</f>
        <v>0</v>
      </c>
      <c r="I26">
        <f>COUNTBLANK(Sales_Data[[#This Row],[Quantity]])</f>
        <v>0</v>
      </c>
      <c r="J26" t="str">
        <f>TEXT(Sales_Data[[#This Row],[Date]],"yyyy-mm")</f>
        <v>2025-02</v>
      </c>
    </row>
    <row r="27" spans="1:10" x14ac:dyDescent="0.35">
      <c r="A27" t="s">
        <v>416</v>
      </c>
      <c r="B27" s="3">
        <v>45769</v>
      </c>
      <c r="C27" t="s">
        <v>57</v>
      </c>
      <c r="D27" t="s">
        <v>195</v>
      </c>
      <c r="E27" t="s">
        <v>389</v>
      </c>
      <c r="F27">
        <v>3</v>
      </c>
      <c r="G27" s="6">
        <v>146367</v>
      </c>
      <c r="H27">
        <f>COUNTBLANK(Sales_Data[[#This Row],[Revenue]])</f>
        <v>0</v>
      </c>
      <c r="I27">
        <f>COUNTBLANK(Sales_Data[[#This Row],[Quantity]])</f>
        <v>0</v>
      </c>
      <c r="J27" t="str">
        <f>TEXT(Sales_Data[[#This Row],[Date]],"yyyy-mm")</f>
        <v>2025-04</v>
      </c>
    </row>
    <row r="28" spans="1:10" x14ac:dyDescent="0.35">
      <c r="A28" t="s">
        <v>417</v>
      </c>
      <c r="B28" s="3">
        <v>45881</v>
      </c>
      <c r="C28" t="s">
        <v>41</v>
      </c>
      <c r="D28" t="s">
        <v>237</v>
      </c>
      <c r="E28" t="s">
        <v>389</v>
      </c>
      <c r="F28">
        <v>7</v>
      </c>
      <c r="G28" s="6">
        <v>148834</v>
      </c>
      <c r="H28">
        <f>COUNTBLANK(Sales_Data[[#This Row],[Revenue]])</f>
        <v>0</v>
      </c>
      <c r="I28">
        <f>COUNTBLANK(Sales_Data[[#This Row],[Quantity]])</f>
        <v>0</v>
      </c>
      <c r="J28" t="str">
        <f>TEXT(Sales_Data[[#This Row],[Date]],"yyyy-mm")</f>
        <v>2025-08</v>
      </c>
    </row>
    <row r="29" spans="1:10" x14ac:dyDescent="0.35">
      <c r="A29" t="s">
        <v>418</v>
      </c>
      <c r="B29" s="3">
        <v>45765</v>
      </c>
      <c r="C29" t="s">
        <v>27</v>
      </c>
      <c r="D29" t="s">
        <v>321</v>
      </c>
      <c r="E29" t="s">
        <v>403</v>
      </c>
      <c r="F29">
        <v>4</v>
      </c>
      <c r="G29" s="6">
        <v>150736</v>
      </c>
      <c r="H29">
        <f>COUNTBLANK(Sales_Data[[#This Row],[Revenue]])</f>
        <v>0</v>
      </c>
      <c r="I29">
        <f>COUNTBLANK(Sales_Data[[#This Row],[Quantity]])</f>
        <v>0</v>
      </c>
      <c r="J29" t="str">
        <f>TEXT(Sales_Data[[#This Row],[Date]],"yyyy-mm")</f>
        <v>2025-04</v>
      </c>
    </row>
    <row r="30" spans="1:10" x14ac:dyDescent="0.35">
      <c r="A30" t="s">
        <v>419</v>
      </c>
      <c r="B30" s="3">
        <v>45696</v>
      </c>
      <c r="C30" t="s">
        <v>49</v>
      </c>
      <c r="D30" t="s">
        <v>267</v>
      </c>
      <c r="E30" t="s">
        <v>387</v>
      </c>
      <c r="F30">
        <v>5</v>
      </c>
      <c r="G30" s="6">
        <v>227570</v>
      </c>
      <c r="H30">
        <f>COUNTBLANK(Sales_Data[[#This Row],[Revenue]])</f>
        <v>0</v>
      </c>
      <c r="I30">
        <f>COUNTBLANK(Sales_Data[[#This Row],[Quantity]])</f>
        <v>0</v>
      </c>
      <c r="J30" t="str">
        <f>TEXT(Sales_Data[[#This Row],[Date]],"yyyy-mm")</f>
        <v>2025-02</v>
      </c>
    </row>
    <row r="31" spans="1:10" x14ac:dyDescent="0.35">
      <c r="A31" t="s">
        <v>420</v>
      </c>
      <c r="B31" s="3">
        <v>45938</v>
      </c>
      <c r="C31" t="s">
        <v>39</v>
      </c>
      <c r="D31" t="s">
        <v>113</v>
      </c>
      <c r="E31" t="s">
        <v>403</v>
      </c>
      <c r="F31">
        <v>1</v>
      </c>
      <c r="G31" s="6">
        <v>48288</v>
      </c>
      <c r="H31">
        <f>COUNTBLANK(Sales_Data[[#This Row],[Revenue]])</f>
        <v>0</v>
      </c>
      <c r="I31">
        <f>COUNTBLANK(Sales_Data[[#This Row],[Quantity]])</f>
        <v>0</v>
      </c>
      <c r="J31" t="str">
        <f>TEXT(Sales_Data[[#This Row],[Date]],"yyyy-mm")</f>
        <v>2025-10</v>
      </c>
    </row>
    <row r="32" spans="1:10" x14ac:dyDescent="0.35">
      <c r="A32" t="s">
        <v>421</v>
      </c>
      <c r="B32" s="3">
        <v>46015</v>
      </c>
      <c r="C32" t="s">
        <v>61</v>
      </c>
      <c r="D32" t="s">
        <v>353</v>
      </c>
      <c r="E32" t="s">
        <v>387</v>
      </c>
      <c r="F32">
        <v>1</v>
      </c>
      <c r="G32" s="6">
        <v>25016</v>
      </c>
      <c r="H32">
        <f>COUNTBLANK(Sales_Data[[#This Row],[Revenue]])</f>
        <v>0</v>
      </c>
      <c r="I32">
        <f>COUNTBLANK(Sales_Data[[#This Row],[Quantity]])</f>
        <v>0</v>
      </c>
      <c r="J32" t="str">
        <f>TEXT(Sales_Data[[#This Row],[Date]],"yyyy-mm")</f>
        <v>2025-12</v>
      </c>
    </row>
    <row r="33" spans="1:10" x14ac:dyDescent="0.35">
      <c r="A33" t="s">
        <v>422</v>
      </c>
      <c r="B33" s="3">
        <v>45833</v>
      </c>
      <c r="C33" t="s">
        <v>33</v>
      </c>
      <c r="D33" t="s">
        <v>333</v>
      </c>
      <c r="E33" t="s">
        <v>394</v>
      </c>
      <c r="F33">
        <v>9</v>
      </c>
      <c r="G33" s="6">
        <v>326277</v>
      </c>
      <c r="H33">
        <f>COUNTBLANK(Sales_Data[[#This Row],[Revenue]])</f>
        <v>0</v>
      </c>
      <c r="I33">
        <f>COUNTBLANK(Sales_Data[[#This Row],[Quantity]])</f>
        <v>0</v>
      </c>
      <c r="J33" t="str">
        <f>TEXT(Sales_Data[[#This Row],[Date]],"yyyy-mm")</f>
        <v>2025-06</v>
      </c>
    </row>
    <row r="34" spans="1:10" x14ac:dyDescent="0.35">
      <c r="A34" t="s">
        <v>423</v>
      </c>
      <c r="B34" s="3">
        <v>45808</v>
      </c>
      <c r="C34" t="s">
        <v>45</v>
      </c>
      <c r="D34" t="s">
        <v>187</v>
      </c>
      <c r="E34" t="s">
        <v>389</v>
      </c>
      <c r="F34">
        <v>2</v>
      </c>
      <c r="G34" s="6">
        <v>15652</v>
      </c>
      <c r="H34">
        <f>COUNTBLANK(Sales_Data[[#This Row],[Revenue]])</f>
        <v>0</v>
      </c>
      <c r="I34">
        <f>COUNTBLANK(Sales_Data[[#This Row],[Quantity]])</f>
        <v>0</v>
      </c>
      <c r="J34" t="str">
        <f>TEXT(Sales_Data[[#This Row],[Date]],"yyyy-mm")</f>
        <v>2025-05</v>
      </c>
    </row>
    <row r="35" spans="1:10" x14ac:dyDescent="0.35">
      <c r="A35" t="s">
        <v>424</v>
      </c>
      <c r="B35" s="3">
        <v>45769</v>
      </c>
      <c r="C35" t="s">
        <v>10</v>
      </c>
      <c r="D35" t="s">
        <v>303</v>
      </c>
      <c r="E35" t="s">
        <v>403</v>
      </c>
      <c r="F35">
        <v>9</v>
      </c>
      <c r="G35" s="6">
        <v>40644</v>
      </c>
      <c r="H35">
        <f>COUNTBLANK(Sales_Data[[#This Row],[Revenue]])</f>
        <v>0</v>
      </c>
      <c r="I35">
        <f>COUNTBLANK(Sales_Data[[#This Row],[Quantity]])</f>
        <v>0</v>
      </c>
      <c r="J35" t="str">
        <f>TEXT(Sales_Data[[#This Row],[Date]],"yyyy-mm")</f>
        <v>2025-04</v>
      </c>
    </row>
    <row r="36" spans="1:10" x14ac:dyDescent="0.35">
      <c r="A36" t="s">
        <v>425</v>
      </c>
      <c r="B36" s="3">
        <v>45740</v>
      </c>
      <c r="C36" t="s">
        <v>25</v>
      </c>
      <c r="D36" t="s">
        <v>217</v>
      </c>
      <c r="E36" t="s">
        <v>403</v>
      </c>
      <c r="F36">
        <v>3</v>
      </c>
      <c r="G36" s="6">
        <v>54729</v>
      </c>
      <c r="H36">
        <f>COUNTBLANK(Sales_Data[[#This Row],[Revenue]])</f>
        <v>0</v>
      </c>
      <c r="I36">
        <f>COUNTBLANK(Sales_Data[[#This Row],[Quantity]])</f>
        <v>0</v>
      </c>
      <c r="J36" t="str">
        <f>TEXT(Sales_Data[[#This Row],[Date]],"yyyy-mm")</f>
        <v>2025-03</v>
      </c>
    </row>
    <row r="37" spans="1:10" x14ac:dyDescent="0.35">
      <c r="A37" t="s">
        <v>426</v>
      </c>
      <c r="B37" s="3">
        <v>45767</v>
      </c>
      <c r="C37" t="s">
        <v>53</v>
      </c>
      <c r="D37" t="s">
        <v>313</v>
      </c>
      <c r="E37" t="s">
        <v>403</v>
      </c>
      <c r="F37">
        <v>9</v>
      </c>
      <c r="G37" s="6">
        <v>37872</v>
      </c>
      <c r="H37">
        <f>COUNTBLANK(Sales_Data[[#This Row],[Revenue]])</f>
        <v>0</v>
      </c>
      <c r="I37">
        <f>COUNTBLANK(Sales_Data[[#This Row],[Quantity]])</f>
        <v>0</v>
      </c>
      <c r="J37" t="str">
        <f>TEXT(Sales_Data[[#This Row],[Date]],"yyyy-mm")</f>
        <v>2025-04</v>
      </c>
    </row>
    <row r="38" spans="1:10" x14ac:dyDescent="0.35">
      <c r="A38" t="s">
        <v>427</v>
      </c>
      <c r="B38" s="3">
        <v>45805</v>
      </c>
      <c r="C38" t="s">
        <v>59</v>
      </c>
      <c r="D38" t="s">
        <v>123</v>
      </c>
      <c r="E38" t="s">
        <v>387</v>
      </c>
      <c r="F38">
        <v>5</v>
      </c>
      <c r="G38" s="6">
        <v>240530</v>
      </c>
      <c r="H38">
        <f>COUNTBLANK(Sales_Data[[#This Row],[Revenue]])</f>
        <v>0</v>
      </c>
      <c r="I38">
        <f>COUNTBLANK(Sales_Data[[#This Row],[Quantity]])</f>
        <v>0</v>
      </c>
      <c r="J38" t="str">
        <f>TEXT(Sales_Data[[#This Row],[Date]],"yyyy-mm")</f>
        <v>2025-05</v>
      </c>
    </row>
    <row r="39" spans="1:10" x14ac:dyDescent="0.35">
      <c r="A39" t="s">
        <v>428</v>
      </c>
      <c r="B39" s="3">
        <v>45694</v>
      </c>
      <c r="C39" t="s">
        <v>31</v>
      </c>
      <c r="D39" t="s">
        <v>369</v>
      </c>
      <c r="E39" t="s">
        <v>391</v>
      </c>
      <c r="F39">
        <v>3</v>
      </c>
      <c r="G39" s="6">
        <v>89898</v>
      </c>
      <c r="H39">
        <f>COUNTBLANK(Sales_Data[[#This Row],[Revenue]])</f>
        <v>0</v>
      </c>
      <c r="I39">
        <f>COUNTBLANK(Sales_Data[[#This Row],[Quantity]])</f>
        <v>0</v>
      </c>
      <c r="J39" t="str">
        <f>TEXT(Sales_Data[[#This Row],[Date]],"yyyy-mm")</f>
        <v>2025-02</v>
      </c>
    </row>
    <row r="40" spans="1:10" x14ac:dyDescent="0.35">
      <c r="A40" t="s">
        <v>429</v>
      </c>
      <c r="B40" s="3">
        <v>45968</v>
      </c>
      <c r="C40" t="s">
        <v>16</v>
      </c>
      <c r="D40" t="s">
        <v>99</v>
      </c>
      <c r="E40" t="s">
        <v>391</v>
      </c>
      <c r="F40">
        <v>2</v>
      </c>
      <c r="G40" s="6">
        <v>63924</v>
      </c>
      <c r="H40">
        <f>COUNTBLANK(Sales_Data[[#This Row],[Revenue]])</f>
        <v>0</v>
      </c>
      <c r="I40">
        <f>COUNTBLANK(Sales_Data[[#This Row],[Quantity]])</f>
        <v>0</v>
      </c>
      <c r="J40" t="str">
        <f>TEXT(Sales_Data[[#This Row],[Date]],"yyyy-mm")</f>
        <v>2025-11</v>
      </c>
    </row>
    <row r="41" spans="1:10" x14ac:dyDescent="0.35">
      <c r="A41" t="s">
        <v>430</v>
      </c>
      <c r="B41" s="3">
        <v>45976</v>
      </c>
      <c r="C41" t="s">
        <v>45</v>
      </c>
      <c r="D41" t="s">
        <v>329</v>
      </c>
      <c r="E41" t="s">
        <v>387</v>
      </c>
      <c r="F41">
        <v>2</v>
      </c>
      <c r="G41" s="6">
        <v>15652</v>
      </c>
      <c r="H41">
        <f>COUNTBLANK(Sales_Data[[#This Row],[Revenue]])</f>
        <v>0</v>
      </c>
      <c r="I41">
        <f>COUNTBLANK(Sales_Data[[#This Row],[Quantity]])</f>
        <v>0</v>
      </c>
      <c r="J41" t="str">
        <f>TEXT(Sales_Data[[#This Row],[Date]],"yyyy-mm")</f>
        <v>2025-11</v>
      </c>
    </row>
    <row r="42" spans="1:10" x14ac:dyDescent="0.35">
      <c r="A42" t="s">
        <v>431</v>
      </c>
      <c r="B42" s="3">
        <v>45874</v>
      </c>
      <c r="C42" t="s">
        <v>7</v>
      </c>
      <c r="D42" t="s">
        <v>173</v>
      </c>
      <c r="E42" t="s">
        <v>389</v>
      </c>
      <c r="F42">
        <v>10</v>
      </c>
      <c r="G42" s="6">
        <v>261330</v>
      </c>
      <c r="H42">
        <f>COUNTBLANK(Sales_Data[[#This Row],[Revenue]])</f>
        <v>0</v>
      </c>
      <c r="I42">
        <f>COUNTBLANK(Sales_Data[[#This Row],[Quantity]])</f>
        <v>0</v>
      </c>
      <c r="J42" t="str">
        <f>TEXT(Sales_Data[[#This Row],[Date]],"yyyy-mm")</f>
        <v>2025-08</v>
      </c>
    </row>
    <row r="43" spans="1:10" x14ac:dyDescent="0.35">
      <c r="A43" t="s">
        <v>432</v>
      </c>
      <c r="B43" s="3">
        <v>45876</v>
      </c>
      <c r="C43" t="s">
        <v>37</v>
      </c>
      <c r="D43" t="s">
        <v>163</v>
      </c>
      <c r="E43" t="s">
        <v>403</v>
      </c>
      <c r="F43">
        <v>7</v>
      </c>
      <c r="G43" s="6">
        <v>13671</v>
      </c>
      <c r="H43">
        <f>COUNTBLANK(Sales_Data[[#This Row],[Revenue]])</f>
        <v>0</v>
      </c>
      <c r="I43">
        <f>COUNTBLANK(Sales_Data[[#This Row],[Quantity]])</f>
        <v>0</v>
      </c>
      <c r="J43" t="str">
        <f>TEXT(Sales_Data[[#This Row],[Date]],"yyyy-mm")</f>
        <v>2025-08</v>
      </c>
    </row>
    <row r="44" spans="1:10" x14ac:dyDescent="0.35">
      <c r="A44" t="s">
        <v>433</v>
      </c>
      <c r="B44" s="3">
        <v>45816</v>
      </c>
      <c r="C44" t="s">
        <v>35</v>
      </c>
      <c r="D44" t="s">
        <v>101</v>
      </c>
      <c r="E44" t="s">
        <v>389</v>
      </c>
      <c r="F44">
        <v>8</v>
      </c>
      <c r="G44" s="6">
        <v>395680</v>
      </c>
      <c r="H44">
        <f>COUNTBLANK(Sales_Data[[#This Row],[Revenue]])</f>
        <v>0</v>
      </c>
      <c r="I44">
        <f>COUNTBLANK(Sales_Data[[#This Row],[Quantity]])</f>
        <v>0</v>
      </c>
      <c r="J44" t="str">
        <f>TEXT(Sales_Data[[#This Row],[Date]],"yyyy-mm")</f>
        <v>2025-06</v>
      </c>
    </row>
    <row r="45" spans="1:10" x14ac:dyDescent="0.35">
      <c r="A45" t="s">
        <v>434</v>
      </c>
      <c r="B45" s="3">
        <v>46000</v>
      </c>
      <c r="C45" t="s">
        <v>51</v>
      </c>
      <c r="D45" t="s">
        <v>175</v>
      </c>
      <c r="E45" t="s">
        <v>403</v>
      </c>
      <c r="F45">
        <v>7</v>
      </c>
      <c r="G45" s="6">
        <v>220073</v>
      </c>
      <c r="H45">
        <f>COUNTBLANK(Sales_Data[[#This Row],[Revenue]])</f>
        <v>0</v>
      </c>
      <c r="I45">
        <f>COUNTBLANK(Sales_Data[[#This Row],[Quantity]])</f>
        <v>0</v>
      </c>
      <c r="J45" t="str">
        <f>TEXT(Sales_Data[[#This Row],[Date]],"yyyy-mm")</f>
        <v>2025-12</v>
      </c>
    </row>
    <row r="46" spans="1:10" x14ac:dyDescent="0.35">
      <c r="A46" t="s">
        <v>435</v>
      </c>
      <c r="B46" s="3">
        <v>45972</v>
      </c>
      <c r="C46" t="s">
        <v>63</v>
      </c>
      <c r="D46" t="s">
        <v>365</v>
      </c>
      <c r="E46" t="s">
        <v>394</v>
      </c>
      <c r="F46">
        <v>1</v>
      </c>
      <c r="G46" s="6">
        <v>8768</v>
      </c>
      <c r="H46">
        <f>COUNTBLANK(Sales_Data[[#This Row],[Revenue]])</f>
        <v>0</v>
      </c>
      <c r="I46">
        <f>COUNTBLANK(Sales_Data[[#This Row],[Quantity]])</f>
        <v>0</v>
      </c>
      <c r="J46" t="str">
        <f>TEXT(Sales_Data[[#This Row],[Date]],"yyyy-mm")</f>
        <v>2025-11</v>
      </c>
    </row>
    <row r="47" spans="1:10" x14ac:dyDescent="0.35">
      <c r="A47" t="s">
        <v>436</v>
      </c>
      <c r="B47" s="3">
        <v>45725</v>
      </c>
      <c r="C47" t="s">
        <v>10</v>
      </c>
      <c r="D47" t="s">
        <v>295</v>
      </c>
      <c r="E47" t="s">
        <v>389</v>
      </c>
      <c r="F47">
        <v>4</v>
      </c>
      <c r="G47" s="6">
        <v>18064</v>
      </c>
      <c r="H47">
        <f>COUNTBLANK(Sales_Data[[#This Row],[Revenue]])</f>
        <v>0</v>
      </c>
      <c r="I47">
        <f>COUNTBLANK(Sales_Data[[#This Row],[Quantity]])</f>
        <v>0</v>
      </c>
      <c r="J47" t="str">
        <f>TEXT(Sales_Data[[#This Row],[Date]],"yyyy-mm")</f>
        <v>2025-03</v>
      </c>
    </row>
    <row r="48" spans="1:10" x14ac:dyDescent="0.35">
      <c r="A48" t="s">
        <v>437</v>
      </c>
      <c r="B48" s="3">
        <v>46010</v>
      </c>
      <c r="C48" t="s">
        <v>37</v>
      </c>
      <c r="D48" t="s">
        <v>325</v>
      </c>
      <c r="E48" t="s">
        <v>389</v>
      </c>
      <c r="F48">
        <v>9</v>
      </c>
      <c r="G48" s="6">
        <v>17577</v>
      </c>
      <c r="H48">
        <f>COUNTBLANK(Sales_Data[[#This Row],[Revenue]])</f>
        <v>0</v>
      </c>
      <c r="I48">
        <f>COUNTBLANK(Sales_Data[[#This Row],[Quantity]])</f>
        <v>0</v>
      </c>
      <c r="J48" t="str">
        <f>TEXT(Sales_Data[[#This Row],[Date]],"yyyy-mm")</f>
        <v>2025-12</v>
      </c>
    </row>
    <row r="49" spans="1:10" x14ac:dyDescent="0.35">
      <c r="A49" t="s">
        <v>438</v>
      </c>
      <c r="B49" s="3">
        <v>45819</v>
      </c>
      <c r="C49" t="s">
        <v>29</v>
      </c>
      <c r="D49" t="s">
        <v>345</v>
      </c>
      <c r="E49" t="s">
        <v>403</v>
      </c>
      <c r="F49">
        <v>1</v>
      </c>
      <c r="G49" s="6">
        <v>42644</v>
      </c>
      <c r="H49">
        <f>COUNTBLANK(Sales_Data[[#This Row],[Revenue]])</f>
        <v>0</v>
      </c>
      <c r="I49">
        <f>COUNTBLANK(Sales_Data[[#This Row],[Quantity]])</f>
        <v>0</v>
      </c>
      <c r="J49" t="str">
        <f>TEXT(Sales_Data[[#This Row],[Date]],"yyyy-mm")</f>
        <v>2025-06</v>
      </c>
    </row>
    <row r="50" spans="1:10" x14ac:dyDescent="0.35">
      <c r="A50" t="s">
        <v>439</v>
      </c>
      <c r="B50" s="3">
        <v>45745</v>
      </c>
      <c r="C50" t="s">
        <v>21</v>
      </c>
      <c r="D50" t="s">
        <v>197</v>
      </c>
      <c r="E50" t="s">
        <v>391</v>
      </c>
      <c r="F50">
        <v>10</v>
      </c>
      <c r="G50" s="6">
        <v>152090</v>
      </c>
      <c r="H50">
        <f>COUNTBLANK(Sales_Data[[#This Row],[Revenue]])</f>
        <v>0</v>
      </c>
      <c r="I50">
        <f>COUNTBLANK(Sales_Data[[#This Row],[Quantity]])</f>
        <v>0</v>
      </c>
      <c r="J50" t="str">
        <f>TEXT(Sales_Data[[#This Row],[Date]],"yyyy-mm")</f>
        <v>2025-03</v>
      </c>
    </row>
    <row r="51" spans="1:10" x14ac:dyDescent="0.35">
      <c r="A51" t="s">
        <v>440</v>
      </c>
      <c r="B51" s="3">
        <v>45908</v>
      </c>
      <c r="C51" t="s">
        <v>23</v>
      </c>
      <c r="D51" t="s">
        <v>149</v>
      </c>
      <c r="E51" t="s">
        <v>391</v>
      </c>
      <c r="F51">
        <v>2</v>
      </c>
      <c r="G51" s="6">
        <v>12138</v>
      </c>
      <c r="H51">
        <f>COUNTBLANK(Sales_Data[[#This Row],[Revenue]])</f>
        <v>0</v>
      </c>
      <c r="I51">
        <f>COUNTBLANK(Sales_Data[[#This Row],[Quantity]])</f>
        <v>0</v>
      </c>
      <c r="J51" t="str">
        <f>TEXT(Sales_Data[[#This Row],[Date]],"yyyy-mm")</f>
        <v>2025-09</v>
      </c>
    </row>
    <row r="52" spans="1:10" x14ac:dyDescent="0.35">
      <c r="A52" t="s">
        <v>441</v>
      </c>
      <c r="B52" s="3">
        <v>45848</v>
      </c>
      <c r="C52" t="s">
        <v>53</v>
      </c>
      <c r="D52" t="s">
        <v>107</v>
      </c>
      <c r="E52" t="s">
        <v>394</v>
      </c>
      <c r="F52">
        <v>6</v>
      </c>
      <c r="G52" s="6">
        <v>25248</v>
      </c>
      <c r="H52">
        <f>COUNTBLANK(Sales_Data[[#This Row],[Revenue]])</f>
        <v>0</v>
      </c>
      <c r="I52">
        <f>COUNTBLANK(Sales_Data[[#This Row],[Quantity]])</f>
        <v>0</v>
      </c>
      <c r="J52" t="str">
        <f>TEXT(Sales_Data[[#This Row],[Date]],"yyyy-mm")</f>
        <v>2025-07</v>
      </c>
    </row>
    <row r="53" spans="1:10" x14ac:dyDescent="0.35">
      <c r="A53" t="s">
        <v>442</v>
      </c>
      <c r="B53" s="3">
        <v>45946</v>
      </c>
      <c r="C53" t="s">
        <v>29</v>
      </c>
      <c r="D53" t="s">
        <v>227</v>
      </c>
      <c r="E53" t="s">
        <v>394</v>
      </c>
      <c r="F53">
        <v>3</v>
      </c>
      <c r="G53" s="6">
        <v>127932</v>
      </c>
      <c r="H53">
        <f>COUNTBLANK(Sales_Data[[#This Row],[Revenue]])</f>
        <v>0</v>
      </c>
      <c r="I53">
        <f>COUNTBLANK(Sales_Data[[#This Row],[Quantity]])</f>
        <v>0</v>
      </c>
      <c r="J53" t="str">
        <f>TEXT(Sales_Data[[#This Row],[Date]],"yyyy-mm")</f>
        <v>2025-10</v>
      </c>
    </row>
    <row r="54" spans="1:10" x14ac:dyDescent="0.35">
      <c r="A54" t="s">
        <v>443</v>
      </c>
      <c r="B54" s="3">
        <v>45841</v>
      </c>
      <c r="C54" t="s">
        <v>47</v>
      </c>
      <c r="D54" t="s">
        <v>367</v>
      </c>
      <c r="E54" t="s">
        <v>391</v>
      </c>
      <c r="F54">
        <v>9</v>
      </c>
      <c r="G54" s="6">
        <v>198558</v>
      </c>
      <c r="H54">
        <f>COUNTBLANK(Sales_Data[[#This Row],[Revenue]])</f>
        <v>0</v>
      </c>
      <c r="I54">
        <f>COUNTBLANK(Sales_Data[[#This Row],[Quantity]])</f>
        <v>0</v>
      </c>
      <c r="J54" t="str">
        <f>TEXT(Sales_Data[[#This Row],[Date]],"yyyy-mm")</f>
        <v>2025-07</v>
      </c>
    </row>
    <row r="55" spans="1:10" x14ac:dyDescent="0.35">
      <c r="A55" t="s">
        <v>444</v>
      </c>
      <c r="B55" s="3">
        <v>45737</v>
      </c>
      <c r="C55" t="s">
        <v>7</v>
      </c>
      <c r="D55" t="s">
        <v>147</v>
      </c>
      <c r="E55" t="s">
        <v>394</v>
      </c>
      <c r="F55">
        <v>2</v>
      </c>
      <c r="G55" s="6">
        <v>52266</v>
      </c>
      <c r="H55">
        <f>COUNTBLANK(Sales_Data[[#This Row],[Revenue]])</f>
        <v>0</v>
      </c>
      <c r="I55">
        <f>COUNTBLANK(Sales_Data[[#This Row],[Quantity]])</f>
        <v>0</v>
      </c>
      <c r="J55" t="str">
        <f>TEXT(Sales_Data[[#This Row],[Date]],"yyyy-mm")</f>
        <v>2025-03</v>
      </c>
    </row>
    <row r="56" spans="1:10" x14ac:dyDescent="0.35">
      <c r="A56" t="s">
        <v>445</v>
      </c>
      <c r="B56" s="3">
        <v>46009</v>
      </c>
      <c r="C56" t="s">
        <v>61</v>
      </c>
      <c r="D56" t="s">
        <v>269</v>
      </c>
      <c r="E56" t="s">
        <v>391</v>
      </c>
      <c r="F56">
        <v>8</v>
      </c>
      <c r="G56" s="6">
        <v>200128</v>
      </c>
      <c r="H56">
        <f>COUNTBLANK(Sales_Data[[#This Row],[Revenue]])</f>
        <v>0</v>
      </c>
      <c r="I56">
        <f>COUNTBLANK(Sales_Data[[#This Row],[Quantity]])</f>
        <v>0</v>
      </c>
      <c r="J56" t="str">
        <f>TEXT(Sales_Data[[#This Row],[Date]],"yyyy-mm")</f>
        <v>2025-12</v>
      </c>
    </row>
    <row r="57" spans="1:10" x14ac:dyDescent="0.35">
      <c r="A57" t="s">
        <v>446</v>
      </c>
      <c r="B57" s="3">
        <v>45907</v>
      </c>
      <c r="C57" t="s">
        <v>53</v>
      </c>
      <c r="D57" t="s">
        <v>113</v>
      </c>
      <c r="E57" t="s">
        <v>387</v>
      </c>
      <c r="F57">
        <v>3</v>
      </c>
      <c r="G57" s="6">
        <v>12624</v>
      </c>
      <c r="H57">
        <f>COUNTBLANK(Sales_Data[[#This Row],[Revenue]])</f>
        <v>0</v>
      </c>
      <c r="I57">
        <f>COUNTBLANK(Sales_Data[[#This Row],[Quantity]])</f>
        <v>0</v>
      </c>
      <c r="J57" t="str">
        <f>TEXT(Sales_Data[[#This Row],[Date]],"yyyy-mm")</f>
        <v>2025-09</v>
      </c>
    </row>
    <row r="58" spans="1:10" x14ac:dyDescent="0.35">
      <c r="A58" t="s">
        <v>447</v>
      </c>
      <c r="B58" s="3">
        <v>45895</v>
      </c>
      <c r="C58" t="s">
        <v>19</v>
      </c>
      <c r="D58" t="s">
        <v>187</v>
      </c>
      <c r="E58" t="s">
        <v>389</v>
      </c>
      <c r="F58">
        <v>10</v>
      </c>
      <c r="G58" s="6">
        <v>421590</v>
      </c>
      <c r="H58">
        <f>COUNTBLANK(Sales_Data[[#This Row],[Revenue]])</f>
        <v>0</v>
      </c>
      <c r="I58">
        <f>COUNTBLANK(Sales_Data[[#This Row],[Quantity]])</f>
        <v>0</v>
      </c>
      <c r="J58" t="str">
        <f>TEXT(Sales_Data[[#This Row],[Date]],"yyyy-mm")</f>
        <v>2025-08</v>
      </c>
    </row>
    <row r="59" spans="1:10" x14ac:dyDescent="0.35">
      <c r="A59" t="s">
        <v>448</v>
      </c>
      <c r="B59" s="3">
        <v>45908</v>
      </c>
      <c r="C59" t="s">
        <v>61</v>
      </c>
      <c r="D59" t="s">
        <v>315</v>
      </c>
      <c r="E59" t="s">
        <v>403</v>
      </c>
      <c r="F59">
        <v>8</v>
      </c>
      <c r="G59" s="6">
        <v>200128</v>
      </c>
      <c r="H59">
        <f>COUNTBLANK(Sales_Data[[#This Row],[Revenue]])</f>
        <v>0</v>
      </c>
      <c r="I59">
        <f>COUNTBLANK(Sales_Data[[#This Row],[Quantity]])</f>
        <v>0</v>
      </c>
      <c r="J59" t="str">
        <f>TEXT(Sales_Data[[#This Row],[Date]],"yyyy-mm")</f>
        <v>2025-09</v>
      </c>
    </row>
    <row r="60" spans="1:10" x14ac:dyDescent="0.35">
      <c r="A60" t="s">
        <v>449</v>
      </c>
      <c r="B60" s="3">
        <v>45663</v>
      </c>
      <c r="C60" t="s">
        <v>31</v>
      </c>
      <c r="D60" t="s">
        <v>327</v>
      </c>
      <c r="E60" t="s">
        <v>403</v>
      </c>
      <c r="F60">
        <v>3</v>
      </c>
      <c r="G60" s="6">
        <v>89898</v>
      </c>
      <c r="H60">
        <f>COUNTBLANK(Sales_Data[[#This Row],[Revenue]])</f>
        <v>0</v>
      </c>
      <c r="I60">
        <f>COUNTBLANK(Sales_Data[[#This Row],[Quantity]])</f>
        <v>0</v>
      </c>
      <c r="J60" t="str">
        <f>TEXT(Sales_Data[[#This Row],[Date]],"yyyy-mm")</f>
        <v>2025-01</v>
      </c>
    </row>
    <row r="61" spans="1:10" x14ac:dyDescent="0.35">
      <c r="A61" t="s">
        <v>450</v>
      </c>
      <c r="B61" s="3">
        <v>45666</v>
      </c>
      <c r="C61" t="s">
        <v>33</v>
      </c>
      <c r="D61" t="s">
        <v>127</v>
      </c>
      <c r="E61" t="s">
        <v>389</v>
      </c>
      <c r="F61">
        <v>7</v>
      </c>
      <c r="G61" s="6">
        <v>253771</v>
      </c>
      <c r="H61">
        <f>COUNTBLANK(Sales_Data[[#This Row],[Revenue]])</f>
        <v>0</v>
      </c>
      <c r="I61">
        <f>COUNTBLANK(Sales_Data[[#This Row],[Quantity]])</f>
        <v>0</v>
      </c>
      <c r="J61" t="str">
        <f>TEXT(Sales_Data[[#This Row],[Date]],"yyyy-mm")</f>
        <v>2025-01</v>
      </c>
    </row>
    <row r="62" spans="1:10" x14ac:dyDescent="0.35">
      <c r="A62" t="s">
        <v>451</v>
      </c>
      <c r="B62" s="3">
        <v>45834</v>
      </c>
      <c r="C62" t="s">
        <v>4</v>
      </c>
      <c r="D62" t="s">
        <v>309</v>
      </c>
      <c r="E62" t="s">
        <v>389</v>
      </c>
      <c r="F62">
        <v>7</v>
      </c>
      <c r="G62" s="6">
        <v>82705</v>
      </c>
      <c r="H62">
        <f>COUNTBLANK(Sales_Data[[#This Row],[Revenue]])</f>
        <v>0</v>
      </c>
      <c r="I62">
        <f>COUNTBLANK(Sales_Data[[#This Row],[Quantity]])</f>
        <v>0</v>
      </c>
      <c r="J62" t="str">
        <f>TEXT(Sales_Data[[#This Row],[Date]],"yyyy-mm")</f>
        <v>2025-06</v>
      </c>
    </row>
    <row r="63" spans="1:10" x14ac:dyDescent="0.35">
      <c r="A63" t="s">
        <v>452</v>
      </c>
      <c r="B63" s="3">
        <v>45999</v>
      </c>
      <c r="C63" t="s">
        <v>61</v>
      </c>
      <c r="D63" t="s">
        <v>357</v>
      </c>
      <c r="E63" t="s">
        <v>391</v>
      </c>
      <c r="F63">
        <v>6</v>
      </c>
      <c r="G63" s="6">
        <v>150096</v>
      </c>
      <c r="H63">
        <f>COUNTBLANK(Sales_Data[[#This Row],[Revenue]])</f>
        <v>0</v>
      </c>
      <c r="I63">
        <f>COUNTBLANK(Sales_Data[[#This Row],[Quantity]])</f>
        <v>0</v>
      </c>
      <c r="J63" t="str">
        <f>TEXT(Sales_Data[[#This Row],[Date]],"yyyy-mm")</f>
        <v>2025-12</v>
      </c>
    </row>
    <row r="64" spans="1:10" x14ac:dyDescent="0.35">
      <c r="A64" t="s">
        <v>453</v>
      </c>
      <c r="B64" s="3">
        <v>45674</v>
      </c>
      <c r="C64" t="s">
        <v>47</v>
      </c>
      <c r="D64" t="s">
        <v>325</v>
      </c>
      <c r="E64" t="s">
        <v>387</v>
      </c>
      <c r="F64">
        <v>10</v>
      </c>
      <c r="G64" s="6">
        <v>220620</v>
      </c>
      <c r="H64">
        <f>COUNTBLANK(Sales_Data[[#This Row],[Revenue]])</f>
        <v>0</v>
      </c>
      <c r="I64">
        <f>COUNTBLANK(Sales_Data[[#This Row],[Quantity]])</f>
        <v>0</v>
      </c>
      <c r="J64" t="str">
        <f>TEXT(Sales_Data[[#This Row],[Date]],"yyyy-mm")</f>
        <v>2025-01</v>
      </c>
    </row>
    <row r="65" spans="1:10" x14ac:dyDescent="0.35">
      <c r="A65" t="s">
        <v>454</v>
      </c>
      <c r="B65" s="3">
        <v>45857</v>
      </c>
      <c r="C65" t="s">
        <v>35</v>
      </c>
      <c r="D65" t="s">
        <v>88</v>
      </c>
      <c r="E65" t="s">
        <v>391</v>
      </c>
      <c r="F65">
        <v>4</v>
      </c>
      <c r="G65" s="6">
        <v>197840</v>
      </c>
      <c r="H65">
        <f>COUNTBLANK(Sales_Data[[#This Row],[Revenue]])</f>
        <v>0</v>
      </c>
      <c r="I65">
        <f>COUNTBLANK(Sales_Data[[#This Row],[Quantity]])</f>
        <v>0</v>
      </c>
      <c r="J65" t="str">
        <f>TEXT(Sales_Data[[#This Row],[Date]],"yyyy-mm")</f>
        <v>2025-07</v>
      </c>
    </row>
    <row r="66" spans="1:10" x14ac:dyDescent="0.35">
      <c r="A66" t="s">
        <v>455</v>
      </c>
      <c r="B66" s="3">
        <v>45868</v>
      </c>
      <c r="C66" t="s">
        <v>35</v>
      </c>
      <c r="D66" t="s">
        <v>239</v>
      </c>
      <c r="E66" t="s">
        <v>391</v>
      </c>
      <c r="F66">
        <v>8</v>
      </c>
      <c r="G66" s="6">
        <v>395680</v>
      </c>
      <c r="H66">
        <f>COUNTBLANK(Sales_Data[[#This Row],[Revenue]])</f>
        <v>0</v>
      </c>
      <c r="I66">
        <f>COUNTBLANK(Sales_Data[[#This Row],[Quantity]])</f>
        <v>0</v>
      </c>
      <c r="J66" t="str">
        <f>TEXT(Sales_Data[[#This Row],[Date]],"yyyy-mm")</f>
        <v>2025-07</v>
      </c>
    </row>
    <row r="67" spans="1:10" x14ac:dyDescent="0.35">
      <c r="A67" t="s">
        <v>456</v>
      </c>
      <c r="B67" s="3">
        <v>45732</v>
      </c>
      <c r="C67" t="s">
        <v>55</v>
      </c>
      <c r="D67" t="s">
        <v>211</v>
      </c>
      <c r="E67" t="s">
        <v>387</v>
      </c>
      <c r="F67">
        <v>8</v>
      </c>
      <c r="G67" s="6">
        <v>91320</v>
      </c>
      <c r="H67">
        <f>COUNTBLANK(Sales_Data[[#This Row],[Revenue]])</f>
        <v>0</v>
      </c>
      <c r="I67">
        <f>COUNTBLANK(Sales_Data[[#This Row],[Quantity]])</f>
        <v>0</v>
      </c>
      <c r="J67" t="str">
        <f>TEXT(Sales_Data[[#This Row],[Date]],"yyyy-mm")</f>
        <v>2025-03</v>
      </c>
    </row>
    <row r="68" spans="1:10" x14ac:dyDescent="0.35">
      <c r="A68" t="s">
        <v>457</v>
      </c>
      <c r="B68" s="3">
        <v>45839</v>
      </c>
      <c r="C68" t="s">
        <v>59</v>
      </c>
      <c r="D68" t="s">
        <v>233</v>
      </c>
      <c r="E68" t="s">
        <v>403</v>
      </c>
      <c r="F68">
        <v>2</v>
      </c>
      <c r="G68" s="6">
        <v>96212</v>
      </c>
      <c r="H68">
        <f>COUNTBLANK(Sales_Data[[#This Row],[Revenue]])</f>
        <v>0</v>
      </c>
      <c r="I68">
        <f>COUNTBLANK(Sales_Data[[#This Row],[Quantity]])</f>
        <v>0</v>
      </c>
      <c r="J68" t="str">
        <f>TEXT(Sales_Data[[#This Row],[Date]],"yyyy-mm")</f>
        <v>2025-07</v>
      </c>
    </row>
    <row r="69" spans="1:10" x14ac:dyDescent="0.35">
      <c r="A69" t="s">
        <v>458</v>
      </c>
      <c r="B69" s="3">
        <v>45896</v>
      </c>
      <c r="C69" t="s">
        <v>55</v>
      </c>
      <c r="D69" t="s">
        <v>113</v>
      </c>
      <c r="E69" t="s">
        <v>387</v>
      </c>
      <c r="F69">
        <v>6</v>
      </c>
      <c r="G69" s="6">
        <v>68490</v>
      </c>
      <c r="H69">
        <f>COUNTBLANK(Sales_Data[[#This Row],[Revenue]])</f>
        <v>0</v>
      </c>
      <c r="I69">
        <f>COUNTBLANK(Sales_Data[[#This Row],[Quantity]])</f>
        <v>0</v>
      </c>
      <c r="J69" t="str">
        <f>TEXT(Sales_Data[[#This Row],[Date]],"yyyy-mm")</f>
        <v>2025-08</v>
      </c>
    </row>
    <row r="70" spans="1:10" x14ac:dyDescent="0.35">
      <c r="A70" t="s">
        <v>459</v>
      </c>
      <c r="B70" s="3">
        <v>45759</v>
      </c>
      <c r="C70" t="s">
        <v>25</v>
      </c>
      <c r="D70" t="s">
        <v>259</v>
      </c>
      <c r="E70" t="s">
        <v>389</v>
      </c>
      <c r="F70">
        <v>2</v>
      </c>
      <c r="G70" s="6">
        <v>36486</v>
      </c>
      <c r="H70">
        <f>COUNTBLANK(Sales_Data[[#This Row],[Revenue]])</f>
        <v>0</v>
      </c>
      <c r="I70">
        <f>COUNTBLANK(Sales_Data[[#This Row],[Quantity]])</f>
        <v>0</v>
      </c>
      <c r="J70" t="str">
        <f>TEXT(Sales_Data[[#This Row],[Date]],"yyyy-mm")</f>
        <v>2025-04</v>
      </c>
    </row>
    <row r="71" spans="1:10" x14ac:dyDescent="0.35">
      <c r="A71" t="s">
        <v>460</v>
      </c>
      <c r="B71" s="3">
        <v>46013</v>
      </c>
      <c r="C71" t="s">
        <v>21</v>
      </c>
      <c r="D71" t="s">
        <v>237</v>
      </c>
      <c r="E71" t="s">
        <v>403</v>
      </c>
      <c r="F71">
        <v>5</v>
      </c>
      <c r="G71" s="6">
        <v>76045</v>
      </c>
      <c r="H71">
        <f>COUNTBLANK(Sales_Data[[#This Row],[Revenue]])</f>
        <v>0</v>
      </c>
      <c r="I71">
        <f>COUNTBLANK(Sales_Data[[#This Row],[Quantity]])</f>
        <v>0</v>
      </c>
      <c r="J71" t="str">
        <f>TEXT(Sales_Data[[#This Row],[Date]],"yyyy-mm")</f>
        <v>2025-12</v>
      </c>
    </row>
    <row r="72" spans="1:10" x14ac:dyDescent="0.35">
      <c r="A72" t="s">
        <v>461</v>
      </c>
      <c r="B72" s="3">
        <v>45806</v>
      </c>
      <c r="C72" t="s">
        <v>57</v>
      </c>
      <c r="D72" t="s">
        <v>207</v>
      </c>
      <c r="E72" t="s">
        <v>403</v>
      </c>
      <c r="F72">
        <v>5</v>
      </c>
      <c r="G72" s="6">
        <v>243945</v>
      </c>
      <c r="H72">
        <f>COUNTBLANK(Sales_Data[[#This Row],[Revenue]])</f>
        <v>0</v>
      </c>
      <c r="I72">
        <f>COUNTBLANK(Sales_Data[[#This Row],[Quantity]])</f>
        <v>0</v>
      </c>
      <c r="J72" t="str">
        <f>TEXT(Sales_Data[[#This Row],[Date]],"yyyy-mm")</f>
        <v>2025-05</v>
      </c>
    </row>
    <row r="73" spans="1:10" x14ac:dyDescent="0.35">
      <c r="A73" t="s">
        <v>462</v>
      </c>
      <c r="B73" s="3">
        <v>45731</v>
      </c>
      <c r="C73" t="s">
        <v>49</v>
      </c>
      <c r="D73" t="s">
        <v>211</v>
      </c>
      <c r="E73" t="s">
        <v>391</v>
      </c>
      <c r="F73">
        <v>9</v>
      </c>
      <c r="G73" s="6">
        <v>409626</v>
      </c>
      <c r="H73">
        <f>COUNTBLANK(Sales_Data[[#This Row],[Revenue]])</f>
        <v>0</v>
      </c>
      <c r="I73">
        <f>COUNTBLANK(Sales_Data[[#This Row],[Quantity]])</f>
        <v>0</v>
      </c>
      <c r="J73" t="str">
        <f>TEXT(Sales_Data[[#This Row],[Date]],"yyyy-mm")</f>
        <v>2025-03</v>
      </c>
    </row>
    <row r="74" spans="1:10" x14ac:dyDescent="0.35">
      <c r="A74" t="s">
        <v>463</v>
      </c>
      <c r="B74" s="3">
        <v>45778</v>
      </c>
      <c r="C74" t="s">
        <v>53</v>
      </c>
      <c r="D74" t="s">
        <v>255</v>
      </c>
      <c r="E74" t="s">
        <v>391</v>
      </c>
      <c r="F74">
        <v>2</v>
      </c>
      <c r="G74" s="6">
        <v>8416</v>
      </c>
      <c r="H74">
        <f>COUNTBLANK(Sales_Data[[#This Row],[Revenue]])</f>
        <v>0</v>
      </c>
      <c r="I74">
        <f>COUNTBLANK(Sales_Data[[#This Row],[Quantity]])</f>
        <v>0</v>
      </c>
      <c r="J74" t="str">
        <f>TEXT(Sales_Data[[#This Row],[Date]],"yyyy-mm")</f>
        <v>2025-05</v>
      </c>
    </row>
    <row r="75" spans="1:10" x14ac:dyDescent="0.35">
      <c r="A75" t="s">
        <v>464</v>
      </c>
      <c r="B75" s="3">
        <v>45952</v>
      </c>
      <c r="C75" t="s">
        <v>25</v>
      </c>
      <c r="D75" t="s">
        <v>231</v>
      </c>
      <c r="E75" t="s">
        <v>394</v>
      </c>
      <c r="F75">
        <v>9</v>
      </c>
      <c r="G75" s="6">
        <v>164187</v>
      </c>
      <c r="H75">
        <f>COUNTBLANK(Sales_Data[[#This Row],[Revenue]])</f>
        <v>0</v>
      </c>
      <c r="I75">
        <f>COUNTBLANK(Sales_Data[[#This Row],[Quantity]])</f>
        <v>0</v>
      </c>
      <c r="J75" t="str">
        <f>TEXT(Sales_Data[[#This Row],[Date]],"yyyy-mm")</f>
        <v>2025-10</v>
      </c>
    </row>
    <row r="76" spans="1:10" x14ac:dyDescent="0.35">
      <c r="A76" t="s">
        <v>465</v>
      </c>
      <c r="B76" s="3">
        <v>45734</v>
      </c>
      <c r="C76" t="s">
        <v>65</v>
      </c>
      <c r="D76" t="s">
        <v>213</v>
      </c>
      <c r="E76" t="s">
        <v>389</v>
      </c>
      <c r="F76">
        <v>10</v>
      </c>
      <c r="G76" s="6">
        <v>5450</v>
      </c>
      <c r="H76">
        <f>COUNTBLANK(Sales_Data[[#This Row],[Revenue]])</f>
        <v>0</v>
      </c>
      <c r="I76">
        <f>COUNTBLANK(Sales_Data[[#This Row],[Quantity]])</f>
        <v>0</v>
      </c>
      <c r="J76" t="str">
        <f>TEXT(Sales_Data[[#This Row],[Date]],"yyyy-mm")</f>
        <v>2025-03</v>
      </c>
    </row>
    <row r="77" spans="1:10" x14ac:dyDescent="0.35">
      <c r="A77" t="s">
        <v>466</v>
      </c>
      <c r="B77" s="3">
        <v>45932</v>
      </c>
      <c r="C77" t="s">
        <v>53</v>
      </c>
      <c r="D77" t="s">
        <v>145</v>
      </c>
      <c r="E77" t="s">
        <v>394</v>
      </c>
      <c r="F77">
        <v>4</v>
      </c>
      <c r="G77" s="6">
        <v>16832</v>
      </c>
      <c r="H77">
        <f>COUNTBLANK(Sales_Data[[#This Row],[Revenue]])</f>
        <v>0</v>
      </c>
      <c r="I77">
        <f>COUNTBLANK(Sales_Data[[#This Row],[Quantity]])</f>
        <v>0</v>
      </c>
      <c r="J77" t="str">
        <f>TEXT(Sales_Data[[#This Row],[Date]],"yyyy-mm")</f>
        <v>2025-10</v>
      </c>
    </row>
    <row r="78" spans="1:10" x14ac:dyDescent="0.35">
      <c r="A78" t="s">
        <v>467</v>
      </c>
      <c r="B78" s="3">
        <v>45788</v>
      </c>
      <c r="C78" t="s">
        <v>43</v>
      </c>
      <c r="D78" t="s">
        <v>311</v>
      </c>
      <c r="E78" t="s">
        <v>387</v>
      </c>
      <c r="F78">
        <v>2</v>
      </c>
      <c r="G78" s="6">
        <v>75650</v>
      </c>
      <c r="H78">
        <f>COUNTBLANK(Sales_Data[[#This Row],[Revenue]])</f>
        <v>0</v>
      </c>
      <c r="I78">
        <f>COUNTBLANK(Sales_Data[[#This Row],[Quantity]])</f>
        <v>0</v>
      </c>
      <c r="J78" t="str">
        <f>TEXT(Sales_Data[[#This Row],[Date]],"yyyy-mm")</f>
        <v>2025-05</v>
      </c>
    </row>
    <row r="79" spans="1:10" x14ac:dyDescent="0.35">
      <c r="A79" t="s">
        <v>468</v>
      </c>
      <c r="B79" s="3">
        <v>45996</v>
      </c>
      <c r="C79" t="s">
        <v>63</v>
      </c>
      <c r="D79" t="s">
        <v>97</v>
      </c>
      <c r="E79" t="s">
        <v>389</v>
      </c>
      <c r="F79">
        <v>8</v>
      </c>
      <c r="G79" s="6">
        <v>70144</v>
      </c>
      <c r="H79">
        <f>COUNTBLANK(Sales_Data[[#This Row],[Revenue]])</f>
        <v>0</v>
      </c>
      <c r="I79">
        <f>COUNTBLANK(Sales_Data[[#This Row],[Quantity]])</f>
        <v>0</v>
      </c>
      <c r="J79" t="str">
        <f>TEXT(Sales_Data[[#This Row],[Date]],"yyyy-mm")</f>
        <v>2025-12</v>
      </c>
    </row>
    <row r="80" spans="1:10" x14ac:dyDescent="0.35">
      <c r="A80" t="s">
        <v>469</v>
      </c>
      <c r="B80" s="3">
        <v>45710</v>
      </c>
      <c r="C80" t="s">
        <v>51</v>
      </c>
      <c r="D80" t="s">
        <v>217</v>
      </c>
      <c r="E80" t="s">
        <v>394</v>
      </c>
      <c r="F80">
        <v>8</v>
      </c>
      <c r="G80" s="6">
        <v>251512</v>
      </c>
      <c r="H80">
        <f>COUNTBLANK(Sales_Data[[#This Row],[Revenue]])</f>
        <v>0</v>
      </c>
      <c r="I80">
        <f>COUNTBLANK(Sales_Data[[#This Row],[Quantity]])</f>
        <v>0</v>
      </c>
      <c r="J80" t="str">
        <f>TEXT(Sales_Data[[#This Row],[Date]],"yyyy-mm")</f>
        <v>2025-02</v>
      </c>
    </row>
    <row r="81" spans="1:10" x14ac:dyDescent="0.35">
      <c r="A81" t="s">
        <v>470</v>
      </c>
      <c r="B81" s="3">
        <v>45846</v>
      </c>
      <c r="C81" t="s">
        <v>21</v>
      </c>
      <c r="D81" t="s">
        <v>225</v>
      </c>
      <c r="E81" t="s">
        <v>389</v>
      </c>
      <c r="F81">
        <v>3</v>
      </c>
      <c r="G81" s="6">
        <v>45627</v>
      </c>
      <c r="H81">
        <f>COUNTBLANK(Sales_Data[[#This Row],[Revenue]])</f>
        <v>0</v>
      </c>
      <c r="I81">
        <f>COUNTBLANK(Sales_Data[[#This Row],[Quantity]])</f>
        <v>0</v>
      </c>
      <c r="J81" t="str">
        <f>TEXT(Sales_Data[[#This Row],[Date]],"yyyy-mm")</f>
        <v>2025-07</v>
      </c>
    </row>
    <row r="82" spans="1:10" x14ac:dyDescent="0.35">
      <c r="A82" t="s">
        <v>471</v>
      </c>
      <c r="B82" s="3">
        <v>45919</v>
      </c>
      <c r="C82" t="s">
        <v>31</v>
      </c>
      <c r="D82" t="s">
        <v>78</v>
      </c>
      <c r="E82" t="s">
        <v>403</v>
      </c>
      <c r="F82">
        <v>1</v>
      </c>
      <c r="G82" s="6">
        <v>29966</v>
      </c>
      <c r="H82">
        <f>COUNTBLANK(Sales_Data[[#This Row],[Revenue]])</f>
        <v>0</v>
      </c>
      <c r="I82">
        <f>COUNTBLANK(Sales_Data[[#This Row],[Quantity]])</f>
        <v>0</v>
      </c>
      <c r="J82" t="str">
        <f>TEXT(Sales_Data[[#This Row],[Date]],"yyyy-mm")</f>
        <v>2025-09</v>
      </c>
    </row>
    <row r="83" spans="1:10" x14ac:dyDescent="0.35">
      <c r="A83" t="s">
        <v>472</v>
      </c>
      <c r="B83" s="3">
        <v>45822</v>
      </c>
      <c r="C83" t="s">
        <v>21</v>
      </c>
      <c r="D83" t="s">
        <v>199</v>
      </c>
      <c r="E83" t="s">
        <v>394</v>
      </c>
      <c r="F83">
        <v>2</v>
      </c>
      <c r="G83" s="6">
        <v>30418</v>
      </c>
      <c r="H83">
        <f>COUNTBLANK(Sales_Data[[#This Row],[Revenue]])</f>
        <v>0</v>
      </c>
      <c r="I83">
        <f>COUNTBLANK(Sales_Data[[#This Row],[Quantity]])</f>
        <v>0</v>
      </c>
      <c r="J83" t="str">
        <f>TEXT(Sales_Data[[#This Row],[Date]],"yyyy-mm")</f>
        <v>2025-06</v>
      </c>
    </row>
    <row r="84" spans="1:10" x14ac:dyDescent="0.35">
      <c r="A84" t="s">
        <v>473</v>
      </c>
      <c r="B84" s="3">
        <v>45970</v>
      </c>
      <c r="C84" t="s">
        <v>35</v>
      </c>
      <c r="D84" t="s">
        <v>319</v>
      </c>
      <c r="E84" t="s">
        <v>387</v>
      </c>
      <c r="F84">
        <v>5</v>
      </c>
      <c r="G84" s="6">
        <v>247300</v>
      </c>
      <c r="H84">
        <f>COUNTBLANK(Sales_Data[[#This Row],[Revenue]])</f>
        <v>0</v>
      </c>
      <c r="I84">
        <f>COUNTBLANK(Sales_Data[[#This Row],[Quantity]])</f>
        <v>0</v>
      </c>
      <c r="J84" t="str">
        <f>TEXT(Sales_Data[[#This Row],[Date]],"yyyy-mm")</f>
        <v>2025-11</v>
      </c>
    </row>
    <row r="85" spans="1:10" x14ac:dyDescent="0.35">
      <c r="A85" t="s">
        <v>474</v>
      </c>
      <c r="B85" s="3">
        <v>45878</v>
      </c>
      <c r="C85" t="s">
        <v>21</v>
      </c>
      <c r="D85" t="s">
        <v>265</v>
      </c>
      <c r="E85" t="s">
        <v>403</v>
      </c>
      <c r="F85">
        <v>1</v>
      </c>
      <c r="G85" s="6">
        <v>15209</v>
      </c>
      <c r="H85">
        <f>COUNTBLANK(Sales_Data[[#This Row],[Revenue]])</f>
        <v>0</v>
      </c>
      <c r="I85">
        <f>COUNTBLANK(Sales_Data[[#This Row],[Quantity]])</f>
        <v>0</v>
      </c>
      <c r="J85" t="str">
        <f>TEXT(Sales_Data[[#This Row],[Date]],"yyyy-mm")</f>
        <v>2025-08</v>
      </c>
    </row>
    <row r="86" spans="1:10" x14ac:dyDescent="0.35">
      <c r="A86" t="s">
        <v>475</v>
      </c>
      <c r="B86" s="3">
        <v>45696</v>
      </c>
      <c r="C86" t="s">
        <v>45</v>
      </c>
      <c r="D86" t="s">
        <v>99</v>
      </c>
      <c r="E86" t="s">
        <v>389</v>
      </c>
      <c r="F86">
        <v>8</v>
      </c>
      <c r="G86" s="6">
        <v>62608</v>
      </c>
      <c r="H86">
        <f>COUNTBLANK(Sales_Data[[#This Row],[Revenue]])</f>
        <v>0</v>
      </c>
      <c r="I86">
        <f>COUNTBLANK(Sales_Data[[#This Row],[Quantity]])</f>
        <v>0</v>
      </c>
      <c r="J86" t="str">
        <f>TEXT(Sales_Data[[#This Row],[Date]],"yyyy-mm")</f>
        <v>2025-02</v>
      </c>
    </row>
    <row r="87" spans="1:10" x14ac:dyDescent="0.35">
      <c r="A87" t="s">
        <v>476</v>
      </c>
      <c r="B87" s="3">
        <v>45944</v>
      </c>
      <c r="C87" t="s">
        <v>59</v>
      </c>
      <c r="D87" t="s">
        <v>117</v>
      </c>
      <c r="E87" t="s">
        <v>389</v>
      </c>
      <c r="F87">
        <v>10</v>
      </c>
      <c r="G87" s="6">
        <v>481060</v>
      </c>
      <c r="H87">
        <f>COUNTBLANK(Sales_Data[[#This Row],[Revenue]])</f>
        <v>0</v>
      </c>
      <c r="I87">
        <f>COUNTBLANK(Sales_Data[[#This Row],[Quantity]])</f>
        <v>0</v>
      </c>
      <c r="J87" t="str">
        <f>TEXT(Sales_Data[[#This Row],[Date]],"yyyy-mm")</f>
        <v>2025-10</v>
      </c>
    </row>
    <row r="88" spans="1:10" x14ac:dyDescent="0.35">
      <c r="A88" t="s">
        <v>477</v>
      </c>
      <c r="B88" s="3">
        <v>45676</v>
      </c>
      <c r="C88" t="s">
        <v>47</v>
      </c>
      <c r="D88" t="s">
        <v>163</v>
      </c>
      <c r="E88" t="s">
        <v>389</v>
      </c>
      <c r="F88">
        <v>5</v>
      </c>
      <c r="G88" s="6">
        <v>110310</v>
      </c>
      <c r="H88">
        <f>COUNTBLANK(Sales_Data[[#This Row],[Revenue]])</f>
        <v>0</v>
      </c>
      <c r="I88">
        <f>COUNTBLANK(Sales_Data[[#This Row],[Quantity]])</f>
        <v>0</v>
      </c>
      <c r="J88" t="str">
        <f>TEXT(Sales_Data[[#This Row],[Date]],"yyyy-mm")</f>
        <v>2025-01</v>
      </c>
    </row>
    <row r="89" spans="1:10" x14ac:dyDescent="0.35">
      <c r="A89" t="s">
        <v>478</v>
      </c>
      <c r="B89" s="3">
        <v>45802</v>
      </c>
      <c r="C89" t="s">
        <v>47</v>
      </c>
      <c r="D89" t="s">
        <v>281</v>
      </c>
      <c r="E89" t="s">
        <v>394</v>
      </c>
      <c r="F89">
        <v>6</v>
      </c>
      <c r="G89" s="6">
        <v>132372</v>
      </c>
      <c r="H89">
        <f>COUNTBLANK(Sales_Data[[#This Row],[Revenue]])</f>
        <v>0</v>
      </c>
      <c r="I89">
        <f>COUNTBLANK(Sales_Data[[#This Row],[Quantity]])</f>
        <v>0</v>
      </c>
      <c r="J89" t="str">
        <f>TEXT(Sales_Data[[#This Row],[Date]],"yyyy-mm")</f>
        <v>2025-05</v>
      </c>
    </row>
    <row r="90" spans="1:10" x14ac:dyDescent="0.35">
      <c r="A90" t="s">
        <v>479</v>
      </c>
      <c r="B90" s="3">
        <v>45790</v>
      </c>
      <c r="C90" t="s">
        <v>23</v>
      </c>
      <c r="D90" t="s">
        <v>249</v>
      </c>
      <c r="E90" t="s">
        <v>389</v>
      </c>
      <c r="F90">
        <v>8</v>
      </c>
      <c r="G90" s="6">
        <v>48552</v>
      </c>
      <c r="H90">
        <f>COUNTBLANK(Sales_Data[[#This Row],[Revenue]])</f>
        <v>0</v>
      </c>
      <c r="I90">
        <f>COUNTBLANK(Sales_Data[[#This Row],[Quantity]])</f>
        <v>0</v>
      </c>
      <c r="J90" t="str">
        <f>TEXT(Sales_Data[[#This Row],[Date]],"yyyy-mm")</f>
        <v>2025-05</v>
      </c>
    </row>
    <row r="91" spans="1:10" x14ac:dyDescent="0.35">
      <c r="A91" t="s">
        <v>480</v>
      </c>
      <c r="B91" s="3">
        <v>45769</v>
      </c>
      <c r="C91" t="s">
        <v>16</v>
      </c>
      <c r="D91" t="s">
        <v>153</v>
      </c>
      <c r="E91" t="s">
        <v>387</v>
      </c>
      <c r="F91">
        <v>2</v>
      </c>
      <c r="G91" s="6">
        <v>63924</v>
      </c>
      <c r="H91">
        <f>COUNTBLANK(Sales_Data[[#This Row],[Revenue]])</f>
        <v>0</v>
      </c>
      <c r="I91">
        <f>COUNTBLANK(Sales_Data[[#This Row],[Quantity]])</f>
        <v>0</v>
      </c>
      <c r="J91" t="str">
        <f>TEXT(Sales_Data[[#This Row],[Date]],"yyyy-mm")</f>
        <v>2025-04</v>
      </c>
    </row>
    <row r="92" spans="1:10" x14ac:dyDescent="0.35">
      <c r="A92" t="s">
        <v>481</v>
      </c>
      <c r="B92" s="3">
        <v>45955</v>
      </c>
      <c r="C92" t="s">
        <v>57</v>
      </c>
      <c r="D92" t="s">
        <v>345</v>
      </c>
      <c r="E92" t="s">
        <v>403</v>
      </c>
      <c r="F92">
        <v>5</v>
      </c>
      <c r="G92" s="6">
        <v>243945</v>
      </c>
      <c r="H92">
        <f>COUNTBLANK(Sales_Data[[#This Row],[Revenue]])</f>
        <v>0</v>
      </c>
      <c r="I92">
        <f>COUNTBLANK(Sales_Data[[#This Row],[Quantity]])</f>
        <v>0</v>
      </c>
      <c r="J92" t="str">
        <f>TEXT(Sales_Data[[#This Row],[Date]],"yyyy-mm")</f>
        <v>2025-10</v>
      </c>
    </row>
    <row r="93" spans="1:10" x14ac:dyDescent="0.35">
      <c r="A93" t="s">
        <v>482</v>
      </c>
      <c r="B93" s="3">
        <v>45715</v>
      </c>
      <c r="C93" t="s">
        <v>43</v>
      </c>
      <c r="D93" t="s">
        <v>143</v>
      </c>
      <c r="E93" t="s">
        <v>387</v>
      </c>
      <c r="F93">
        <v>3</v>
      </c>
      <c r="G93" s="6">
        <v>113475</v>
      </c>
      <c r="H93">
        <f>COUNTBLANK(Sales_Data[[#This Row],[Revenue]])</f>
        <v>0</v>
      </c>
      <c r="I93">
        <f>COUNTBLANK(Sales_Data[[#This Row],[Quantity]])</f>
        <v>0</v>
      </c>
      <c r="J93" t="str">
        <f>TEXT(Sales_Data[[#This Row],[Date]],"yyyy-mm")</f>
        <v>2025-02</v>
      </c>
    </row>
    <row r="94" spans="1:10" x14ac:dyDescent="0.35">
      <c r="A94" t="s">
        <v>483</v>
      </c>
      <c r="B94" s="3">
        <v>45957</v>
      </c>
      <c r="C94" t="s">
        <v>67</v>
      </c>
      <c r="D94" t="s">
        <v>195</v>
      </c>
      <c r="E94" t="s">
        <v>389</v>
      </c>
      <c r="F94">
        <v>5</v>
      </c>
      <c r="G94" s="6">
        <v>108080</v>
      </c>
      <c r="H94">
        <f>COUNTBLANK(Sales_Data[[#This Row],[Revenue]])</f>
        <v>0</v>
      </c>
      <c r="I94">
        <f>COUNTBLANK(Sales_Data[[#This Row],[Quantity]])</f>
        <v>0</v>
      </c>
      <c r="J94" t="str">
        <f>TEXT(Sales_Data[[#This Row],[Date]],"yyyy-mm")</f>
        <v>2025-10</v>
      </c>
    </row>
    <row r="95" spans="1:10" x14ac:dyDescent="0.35">
      <c r="A95" t="s">
        <v>484</v>
      </c>
      <c r="B95" s="3">
        <v>45911</v>
      </c>
      <c r="C95" t="s">
        <v>33</v>
      </c>
      <c r="D95" t="s">
        <v>315</v>
      </c>
      <c r="E95" t="s">
        <v>391</v>
      </c>
      <c r="F95">
        <v>7</v>
      </c>
      <c r="G95" s="6">
        <v>253771</v>
      </c>
      <c r="H95">
        <f>COUNTBLANK(Sales_Data[[#This Row],[Revenue]])</f>
        <v>0</v>
      </c>
      <c r="I95">
        <f>COUNTBLANK(Sales_Data[[#This Row],[Quantity]])</f>
        <v>0</v>
      </c>
      <c r="J95" t="str">
        <f>TEXT(Sales_Data[[#This Row],[Date]],"yyyy-mm")</f>
        <v>2025-09</v>
      </c>
    </row>
    <row r="96" spans="1:10" x14ac:dyDescent="0.35">
      <c r="A96" t="s">
        <v>485</v>
      </c>
      <c r="B96" s="3">
        <v>46002</v>
      </c>
      <c r="C96" t="s">
        <v>31</v>
      </c>
      <c r="D96" t="s">
        <v>81</v>
      </c>
      <c r="E96" t="s">
        <v>387</v>
      </c>
      <c r="F96">
        <v>5</v>
      </c>
      <c r="G96" s="6">
        <v>149830</v>
      </c>
      <c r="H96">
        <f>COUNTBLANK(Sales_Data[[#This Row],[Revenue]])</f>
        <v>0</v>
      </c>
      <c r="I96">
        <f>COUNTBLANK(Sales_Data[[#This Row],[Quantity]])</f>
        <v>0</v>
      </c>
      <c r="J96" t="str">
        <f>TEXT(Sales_Data[[#This Row],[Date]],"yyyy-mm")</f>
        <v>2025-12</v>
      </c>
    </row>
    <row r="97" spans="1:10" x14ac:dyDescent="0.35">
      <c r="A97" t="s">
        <v>486</v>
      </c>
      <c r="B97" s="3">
        <v>45926</v>
      </c>
      <c r="C97" t="s">
        <v>4</v>
      </c>
      <c r="D97" t="s">
        <v>99</v>
      </c>
      <c r="E97" t="s">
        <v>403</v>
      </c>
      <c r="F97">
        <v>9</v>
      </c>
      <c r="G97" s="6">
        <v>106335</v>
      </c>
      <c r="H97">
        <f>COUNTBLANK(Sales_Data[[#This Row],[Revenue]])</f>
        <v>0</v>
      </c>
      <c r="I97">
        <f>COUNTBLANK(Sales_Data[[#This Row],[Quantity]])</f>
        <v>0</v>
      </c>
      <c r="J97" t="str">
        <f>TEXT(Sales_Data[[#This Row],[Date]],"yyyy-mm")</f>
        <v>2025-09</v>
      </c>
    </row>
    <row r="98" spans="1:10" x14ac:dyDescent="0.35">
      <c r="A98" t="s">
        <v>487</v>
      </c>
      <c r="B98" s="3">
        <v>45713</v>
      </c>
      <c r="C98" t="s">
        <v>13</v>
      </c>
      <c r="D98" t="s">
        <v>131</v>
      </c>
      <c r="E98" t="s">
        <v>387</v>
      </c>
      <c r="F98">
        <v>10</v>
      </c>
      <c r="G98" s="6">
        <v>301770</v>
      </c>
      <c r="H98">
        <f>COUNTBLANK(Sales_Data[[#This Row],[Revenue]])</f>
        <v>0</v>
      </c>
      <c r="I98">
        <f>COUNTBLANK(Sales_Data[[#This Row],[Quantity]])</f>
        <v>0</v>
      </c>
      <c r="J98" t="str">
        <f>TEXT(Sales_Data[[#This Row],[Date]],"yyyy-mm")</f>
        <v>2025-02</v>
      </c>
    </row>
    <row r="99" spans="1:10" x14ac:dyDescent="0.35">
      <c r="A99" t="s">
        <v>488</v>
      </c>
      <c r="B99" s="3">
        <v>45856</v>
      </c>
      <c r="C99" t="s">
        <v>55</v>
      </c>
      <c r="D99" t="s">
        <v>113</v>
      </c>
      <c r="E99" t="s">
        <v>394</v>
      </c>
      <c r="F99">
        <v>4</v>
      </c>
      <c r="G99" s="6">
        <v>45660</v>
      </c>
      <c r="H99">
        <f>COUNTBLANK(Sales_Data[[#This Row],[Revenue]])</f>
        <v>0</v>
      </c>
      <c r="I99">
        <f>COUNTBLANK(Sales_Data[[#This Row],[Quantity]])</f>
        <v>0</v>
      </c>
      <c r="J99" t="str">
        <f>TEXT(Sales_Data[[#This Row],[Date]],"yyyy-mm")</f>
        <v>2025-07</v>
      </c>
    </row>
    <row r="100" spans="1:10" x14ac:dyDescent="0.35">
      <c r="A100" t="s">
        <v>489</v>
      </c>
      <c r="B100" s="3">
        <v>45770</v>
      </c>
      <c r="C100" t="s">
        <v>41</v>
      </c>
      <c r="D100" t="s">
        <v>195</v>
      </c>
      <c r="E100" t="s">
        <v>391</v>
      </c>
      <c r="F100">
        <v>6</v>
      </c>
      <c r="G100" s="6">
        <v>127572</v>
      </c>
      <c r="H100">
        <f>COUNTBLANK(Sales_Data[[#This Row],[Revenue]])</f>
        <v>0</v>
      </c>
      <c r="I100">
        <f>COUNTBLANK(Sales_Data[[#This Row],[Quantity]])</f>
        <v>0</v>
      </c>
      <c r="J100" t="str">
        <f>TEXT(Sales_Data[[#This Row],[Date]],"yyyy-mm")</f>
        <v>2025-04</v>
      </c>
    </row>
    <row r="101" spans="1:10" x14ac:dyDescent="0.35">
      <c r="A101" t="s">
        <v>490</v>
      </c>
      <c r="B101" s="3">
        <v>45691</v>
      </c>
      <c r="C101" t="s">
        <v>7</v>
      </c>
      <c r="D101" t="s">
        <v>311</v>
      </c>
      <c r="E101" t="s">
        <v>389</v>
      </c>
      <c r="F101">
        <v>3</v>
      </c>
      <c r="G101" s="6">
        <v>78399</v>
      </c>
      <c r="H101">
        <f>COUNTBLANK(Sales_Data[[#This Row],[Revenue]])</f>
        <v>0</v>
      </c>
      <c r="I101">
        <f>COUNTBLANK(Sales_Data[[#This Row],[Quantity]])</f>
        <v>0</v>
      </c>
      <c r="J101" t="str">
        <f>TEXT(Sales_Data[[#This Row],[Date]],"yyyy-mm")</f>
        <v>2025-02</v>
      </c>
    </row>
    <row r="102" spans="1:10" x14ac:dyDescent="0.35">
      <c r="A102" t="s">
        <v>491</v>
      </c>
      <c r="B102" s="3">
        <v>45997</v>
      </c>
      <c r="C102" t="s">
        <v>37</v>
      </c>
      <c r="D102" t="s">
        <v>371</v>
      </c>
      <c r="E102" t="s">
        <v>391</v>
      </c>
      <c r="F102">
        <v>2</v>
      </c>
      <c r="G102" s="6">
        <v>3906</v>
      </c>
      <c r="H102">
        <f>COUNTBLANK(Sales_Data[[#This Row],[Revenue]])</f>
        <v>0</v>
      </c>
      <c r="I102">
        <f>COUNTBLANK(Sales_Data[[#This Row],[Quantity]])</f>
        <v>0</v>
      </c>
      <c r="J102" t="str">
        <f>TEXT(Sales_Data[[#This Row],[Date]],"yyyy-mm")</f>
        <v>2025-12</v>
      </c>
    </row>
    <row r="103" spans="1:10" x14ac:dyDescent="0.35">
      <c r="A103" t="s">
        <v>492</v>
      </c>
      <c r="B103" s="3">
        <v>45943</v>
      </c>
      <c r="C103" t="s">
        <v>27</v>
      </c>
      <c r="D103" t="s">
        <v>309</v>
      </c>
      <c r="E103" t="s">
        <v>394</v>
      </c>
      <c r="F103">
        <v>7</v>
      </c>
      <c r="G103" s="6">
        <v>263788</v>
      </c>
      <c r="H103">
        <f>COUNTBLANK(Sales_Data[[#This Row],[Revenue]])</f>
        <v>0</v>
      </c>
      <c r="I103">
        <f>COUNTBLANK(Sales_Data[[#This Row],[Quantity]])</f>
        <v>0</v>
      </c>
      <c r="J103" t="str">
        <f>TEXT(Sales_Data[[#This Row],[Date]],"yyyy-mm")</f>
        <v>2025-10</v>
      </c>
    </row>
    <row r="104" spans="1:10" x14ac:dyDescent="0.35">
      <c r="A104" t="s">
        <v>493</v>
      </c>
      <c r="B104" s="3">
        <v>45977</v>
      </c>
      <c r="C104" t="s">
        <v>59</v>
      </c>
      <c r="D104" t="s">
        <v>181</v>
      </c>
      <c r="E104" t="s">
        <v>403</v>
      </c>
      <c r="F104">
        <v>6</v>
      </c>
      <c r="G104" s="6">
        <v>288636</v>
      </c>
      <c r="H104">
        <f>COUNTBLANK(Sales_Data[[#This Row],[Revenue]])</f>
        <v>0</v>
      </c>
      <c r="I104">
        <f>COUNTBLANK(Sales_Data[[#This Row],[Quantity]])</f>
        <v>0</v>
      </c>
      <c r="J104" t="str">
        <f>TEXT(Sales_Data[[#This Row],[Date]],"yyyy-mm")</f>
        <v>2025-11</v>
      </c>
    </row>
    <row r="105" spans="1:10" x14ac:dyDescent="0.35">
      <c r="A105" t="s">
        <v>494</v>
      </c>
      <c r="B105" s="3">
        <v>45828</v>
      </c>
      <c r="C105" t="s">
        <v>37</v>
      </c>
      <c r="D105" t="s">
        <v>215</v>
      </c>
      <c r="E105" t="s">
        <v>389</v>
      </c>
      <c r="F105">
        <v>4</v>
      </c>
      <c r="G105" s="6">
        <v>7812</v>
      </c>
      <c r="H105">
        <f>COUNTBLANK(Sales_Data[[#This Row],[Revenue]])</f>
        <v>0</v>
      </c>
      <c r="I105">
        <f>COUNTBLANK(Sales_Data[[#This Row],[Quantity]])</f>
        <v>0</v>
      </c>
      <c r="J105" t="str">
        <f>TEXT(Sales_Data[[#This Row],[Date]],"yyyy-mm")</f>
        <v>2025-06</v>
      </c>
    </row>
    <row r="106" spans="1:10" x14ac:dyDescent="0.35">
      <c r="A106" t="s">
        <v>495</v>
      </c>
      <c r="B106" s="3">
        <v>45912</v>
      </c>
      <c r="C106" t="s">
        <v>7</v>
      </c>
      <c r="D106" t="s">
        <v>173</v>
      </c>
      <c r="E106" t="s">
        <v>389</v>
      </c>
      <c r="F106">
        <v>10</v>
      </c>
      <c r="G106" s="6">
        <v>261330</v>
      </c>
      <c r="H106">
        <f>COUNTBLANK(Sales_Data[[#This Row],[Revenue]])</f>
        <v>0</v>
      </c>
      <c r="I106">
        <f>COUNTBLANK(Sales_Data[[#This Row],[Quantity]])</f>
        <v>0</v>
      </c>
      <c r="J106" t="str">
        <f>TEXT(Sales_Data[[#This Row],[Date]],"yyyy-mm")</f>
        <v>2025-09</v>
      </c>
    </row>
    <row r="107" spans="1:10" x14ac:dyDescent="0.35">
      <c r="A107" t="s">
        <v>496</v>
      </c>
      <c r="B107" s="3">
        <v>45877</v>
      </c>
      <c r="C107" t="s">
        <v>59</v>
      </c>
      <c r="D107" t="s">
        <v>243</v>
      </c>
      <c r="E107" t="s">
        <v>389</v>
      </c>
      <c r="F107">
        <v>2</v>
      </c>
      <c r="G107" s="6">
        <v>96212</v>
      </c>
      <c r="H107">
        <f>COUNTBLANK(Sales_Data[[#This Row],[Revenue]])</f>
        <v>0</v>
      </c>
      <c r="I107">
        <f>COUNTBLANK(Sales_Data[[#This Row],[Quantity]])</f>
        <v>0</v>
      </c>
      <c r="J107" t="str">
        <f>TEXT(Sales_Data[[#This Row],[Date]],"yyyy-mm")</f>
        <v>2025-08</v>
      </c>
    </row>
    <row r="108" spans="1:10" x14ac:dyDescent="0.35">
      <c r="A108" t="s">
        <v>497</v>
      </c>
      <c r="B108" s="3">
        <v>45759</v>
      </c>
      <c r="C108" t="s">
        <v>67</v>
      </c>
      <c r="D108" t="s">
        <v>347</v>
      </c>
      <c r="E108" t="s">
        <v>394</v>
      </c>
      <c r="F108">
        <v>5</v>
      </c>
      <c r="G108" s="6">
        <v>108080</v>
      </c>
      <c r="H108">
        <f>COUNTBLANK(Sales_Data[[#This Row],[Revenue]])</f>
        <v>0</v>
      </c>
      <c r="I108">
        <f>COUNTBLANK(Sales_Data[[#This Row],[Quantity]])</f>
        <v>0</v>
      </c>
      <c r="J108" t="str">
        <f>TEXT(Sales_Data[[#This Row],[Date]],"yyyy-mm")</f>
        <v>2025-04</v>
      </c>
    </row>
    <row r="109" spans="1:10" x14ac:dyDescent="0.35">
      <c r="A109" t="s">
        <v>498</v>
      </c>
      <c r="B109" s="3">
        <v>46010</v>
      </c>
      <c r="C109" t="s">
        <v>49</v>
      </c>
      <c r="D109" t="s">
        <v>335</v>
      </c>
      <c r="E109" t="s">
        <v>391</v>
      </c>
      <c r="F109">
        <v>7</v>
      </c>
      <c r="G109" s="6">
        <v>318598</v>
      </c>
      <c r="H109">
        <f>COUNTBLANK(Sales_Data[[#This Row],[Revenue]])</f>
        <v>0</v>
      </c>
      <c r="I109">
        <f>COUNTBLANK(Sales_Data[[#This Row],[Quantity]])</f>
        <v>0</v>
      </c>
      <c r="J109" t="str">
        <f>TEXT(Sales_Data[[#This Row],[Date]],"yyyy-mm")</f>
        <v>2025-12</v>
      </c>
    </row>
    <row r="110" spans="1:10" x14ac:dyDescent="0.35">
      <c r="A110" t="s">
        <v>499</v>
      </c>
      <c r="B110" s="3">
        <v>45866</v>
      </c>
      <c r="C110" t="s">
        <v>29</v>
      </c>
      <c r="D110" t="s">
        <v>84</v>
      </c>
      <c r="E110" t="s">
        <v>403</v>
      </c>
      <c r="F110">
        <v>2</v>
      </c>
      <c r="G110" s="6">
        <v>85288</v>
      </c>
      <c r="H110">
        <f>COUNTBLANK(Sales_Data[[#This Row],[Revenue]])</f>
        <v>0</v>
      </c>
      <c r="I110">
        <f>COUNTBLANK(Sales_Data[[#This Row],[Quantity]])</f>
        <v>0</v>
      </c>
      <c r="J110" t="str">
        <f>TEXT(Sales_Data[[#This Row],[Date]],"yyyy-mm")</f>
        <v>2025-07</v>
      </c>
    </row>
    <row r="111" spans="1:10" x14ac:dyDescent="0.35">
      <c r="A111" t="s">
        <v>500</v>
      </c>
      <c r="B111" s="3">
        <v>45785</v>
      </c>
      <c r="C111" t="s">
        <v>27</v>
      </c>
      <c r="D111" t="s">
        <v>335</v>
      </c>
      <c r="E111" t="s">
        <v>394</v>
      </c>
      <c r="F111">
        <v>7</v>
      </c>
      <c r="G111" s="6">
        <v>263788</v>
      </c>
      <c r="H111">
        <f>COUNTBLANK(Sales_Data[[#This Row],[Revenue]])</f>
        <v>0</v>
      </c>
      <c r="I111">
        <f>COUNTBLANK(Sales_Data[[#This Row],[Quantity]])</f>
        <v>0</v>
      </c>
      <c r="J111" t="str">
        <f>TEXT(Sales_Data[[#This Row],[Date]],"yyyy-mm")</f>
        <v>2025-05</v>
      </c>
    </row>
    <row r="112" spans="1:10" x14ac:dyDescent="0.35">
      <c r="A112" t="s">
        <v>501</v>
      </c>
      <c r="B112" s="3">
        <v>45824</v>
      </c>
      <c r="C112" t="s">
        <v>53</v>
      </c>
      <c r="D112" t="s">
        <v>143</v>
      </c>
      <c r="E112" t="s">
        <v>387</v>
      </c>
      <c r="F112">
        <v>8</v>
      </c>
      <c r="G112" s="6">
        <v>33664</v>
      </c>
      <c r="H112">
        <f>COUNTBLANK(Sales_Data[[#This Row],[Revenue]])</f>
        <v>0</v>
      </c>
      <c r="I112">
        <f>COUNTBLANK(Sales_Data[[#This Row],[Quantity]])</f>
        <v>0</v>
      </c>
      <c r="J112" t="str">
        <f>TEXT(Sales_Data[[#This Row],[Date]],"yyyy-mm")</f>
        <v>2025-06</v>
      </c>
    </row>
    <row r="113" spans="1:10" x14ac:dyDescent="0.35">
      <c r="A113" t="s">
        <v>502</v>
      </c>
      <c r="B113" s="3">
        <v>45899</v>
      </c>
      <c r="C113" t="s">
        <v>51</v>
      </c>
      <c r="D113" t="s">
        <v>293</v>
      </c>
      <c r="E113" t="s">
        <v>394</v>
      </c>
      <c r="F113">
        <v>3</v>
      </c>
      <c r="G113" s="6">
        <v>94317</v>
      </c>
      <c r="H113">
        <f>COUNTBLANK(Sales_Data[[#This Row],[Revenue]])</f>
        <v>0</v>
      </c>
      <c r="I113">
        <f>COUNTBLANK(Sales_Data[[#This Row],[Quantity]])</f>
        <v>0</v>
      </c>
      <c r="J113" t="str">
        <f>TEXT(Sales_Data[[#This Row],[Date]],"yyyy-mm")</f>
        <v>2025-08</v>
      </c>
    </row>
    <row r="114" spans="1:10" x14ac:dyDescent="0.35">
      <c r="A114" t="s">
        <v>503</v>
      </c>
      <c r="B114" s="3">
        <v>45699</v>
      </c>
      <c r="C114" t="s">
        <v>29</v>
      </c>
      <c r="D114" t="s">
        <v>143</v>
      </c>
      <c r="E114" t="s">
        <v>391</v>
      </c>
      <c r="F114">
        <v>7</v>
      </c>
      <c r="G114" s="6">
        <v>298508</v>
      </c>
      <c r="H114">
        <f>COUNTBLANK(Sales_Data[[#This Row],[Revenue]])</f>
        <v>0</v>
      </c>
      <c r="I114">
        <f>COUNTBLANK(Sales_Data[[#This Row],[Quantity]])</f>
        <v>0</v>
      </c>
      <c r="J114" t="str">
        <f>TEXT(Sales_Data[[#This Row],[Date]],"yyyy-mm")</f>
        <v>2025-02</v>
      </c>
    </row>
    <row r="115" spans="1:10" x14ac:dyDescent="0.35">
      <c r="A115" t="s">
        <v>504</v>
      </c>
      <c r="B115" s="3">
        <v>45860</v>
      </c>
      <c r="C115" t="s">
        <v>37</v>
      </c>
      <c r="D115" t="s">
        <v>145</v>
      </c>
      <c r="E115" t="s">
        <v>387</v>
      </c>
      <c r="F115">
        <v>2</v>
      </c>
      <c r="G115" s="6">
        <v>3906</v>
      </c>
      <c r="H115">
        <f>COUNTBLANK(Sales_Data[[#This Row],[Revenue]])</f>
        <v>0</v>
      </c>
      <c r="I115">
        <f>COUNTBLANK(Sales_Data[[#This Row],[Quantity]])</f>
        <v>0</v>
      </c>
      <c r="J115" t="str">
        <f>TEXT(Sales_Data[[#This Row],[Date]],"yyyy-mm")</f>
        <v>2025-07</v>
      </c>
    </row>
    <row r="116" spans="1:10" x14ac:dyDescent="0.35">
      <c r="A116" t="s">
        <v>505</v>
      </c>
      <c r="B116" s="3">
        <v>45949</v>
      </c>
      <c r="C116" t="s">
        <v>59</v>
      </c>
      <c r="D116" t="s">
        <v>211</v>
      </c>
      <c r="E116" t="s">
        <v>387</v>
      </c>
      <c r="F116">
        <v>7</v>
      </c>
      <c r="G116" s="6">
        <v>336742</v>
      </c>
      <c r="H116">
        <f>COUNTBLANK(Sales_Data[[#This Row],[Revenue]])</f>
        <v>0</v>
      </c>
      <c r="I116">
        <f>COUNTBLANK(Sales_Data[[#This Row],[Quantity]])</f>
        <v>0</v>
      </c>
      <c r="J116" t="str">
        <f>TEXT(Sales_Data[[#This Row],[Date]],"yyyy-mm")</f>
        <v>2025-10</v>
      </c>
    </row>
    <row r="117" spans="1:10" x14ac:dyDescent="0.35">
      <c r="A117" t="s">
        <v>506</v>
      </c>
      <c r="B117" s="3">
        <v>45789</v>
      </c>
      <c r="C117" t="s">
        <v>29</v>
      </c>
      <c r="D117" t="s">
        <v>101</v>
      </c>
      <c r="E117" t="s">
        <v>391</v>
      </c>
      <c r="F117">
        <v>9</v>
      </c>
      <c r="G117" s="6">
        <v>383796</v>
      </c>
      <c r="H117">
        <f>COUNTBLANK(Sales_Data[[#This Row],[Revenue]])</f>
        <v>0</v>
      </c>
      <c r="I117">
        <f>COUNTBLANK(Sales_Data[[#This Row],[Quantity]])</f>
        <v>0</v>
      </c>
      <c r="J117" t="str">
        <f>TEXT(Sales_Data[[#This Row],[Date]],"yyyy-mm")</f>
        <v>2025-05</v>
      </c>
    </row>
    <row r="118" spans="1:10" x14ac:dyDescent="0.35">
      <c r="A118" t="s">
        <v>507</v>
      </c>
      <c r="B118" s="3">
        <v>45835</v>
      </c>
      <c r="C118" t="s">
        <v>29</v>
      </c>
      <c r="D118" t="s">
        <v>153</v>
      </c>
      <c r="E118" t="s">
        <v>387</v>
      </c>
      <c r="F118">
        <v>9</v>
      </c>
      <c r="G118" s="6">
        <v>383796</v>
      </c>
      <c r="H118">
        <f>COUNTBLANK(Sales_Data[[#This Row],[Revenue]])</f>
        <v>0</v>
      </c>
      <c r="I118">
        <f>COUNTBLANK(Sales_Data[[#This Row],[Quantity]])</f>
        <v>0</v>
      </c>
      <c r="J118" t="str">
        <f>TEXT(Sales_Data[[#This Row],[Date]],"yyyy-mm")</f>
        <v>2025-06</v>
      </c>
    </row>
    <row r="119" spans="1:10" x14ac:dyDescent="0.35">
      <c r="A119" t="s">
        <v>508</v>
      </c>
      <c r="B119" s="3">
        <v>45879</v>
      </c>
      <c r="C119" t="s">
        <v>57</v>
      </c>
      <c r="D119" t="s">
        <v>341</v>
      </c>
      <c r="E119" t="s">
        <v>394</v>
      </c>
      <c r="F119">
        <v>1</v>
      </c>
      <c r="G119" s="6">
        <v>48789</v>
      </c>
      <c r="H119">
        <f>COUNTBLANK(Sales_Data[[#This Row],[Revenue]])</f>
        <v>0</v>
      </c>
      <c r="I119">
        <f>COUNTBLANK(Sales_Data[[#This Row],[Quantity]])</f>
        <v>0</v>
      </c>
      <c r="J119" t="str">
        <f>TEXT(Sales_Data[[#This Row],[Date]],"yyyy-mm")</f>
        <v>2025-08</v>
      </c>
    </row>
    <row r="120" spans="1:10" x14ac:dyDescent="0.35">
      <c r="A120" t="s">
        <v>509</v>
      </c>
      <c r="B120" s="3">
        <v>45756</v>
      </c>
      <c r="C120" t="s">
        <v>19</v>
      </c>
      <c r="D120" t="s">
        <v>84</v>
      </c>
      <c r="E120" t="s">
        <v>403</v>
      </c>
      <c r="F120">
        <v>5</v>
      </c>
      <c r="G120" s="6">
        <v>210795</v>
      </c>
      <c r="H120">
        <f>COUNTBLANK(Sales_Data[[#This Row],[Revenue]])</f>
        <v>0</v>
      </c>
      <c r="I120">
        <f>COUNTBLANK(Sales_Data[[#This Row],[Quantity]])</f>
        <v>0</v>
      </c>
      <c r="J120" t="str">
        <f>TEXT(Sales_Data[[#This Row],[Date]],"yyyy-mm")</f>
        <v>2025-04</v>
      </c>
    </row>
    <row r="121" spans="1:10" x14ac:dyDescent="0.35">
      <c r="A121" t="s">
        <v>510</v>
      </c>
      <c r="B121" s="3">
        <v>45702</v>
      </c>
      <c r="C121" t="s">
        <v>61</v>
      </c>
      <c r="D121" t="s">
        <v>95</v>
      </c>
      <c r="E121" t="s">
        <v>387</v>
      </c>
      <c r="F121">
        <v>3</v>
      </c>
      <c r="G121" s="6">
        <v>75048</v>
      </c>
      <c r="H121">
        <f>COUNTBLANK(Sales_Data[[#This Row],[Revenue]])</f>
        <v>0</v>
      </c>
      <c r="I121">
        <f>COUNTBLANK(Sales_Data[[#This Row],[Quantity]])</f>
        <v>0</v>
      </c>
      <c r="J121" t="str">
        <f>TEXT(Sales_Data[[#This Row],[Date]],"yyyy-mm")</f>
        <v>2025-02</v>
      </c>
    </row>
    <row r="122" spans="1:10" x14ac:dyDescent="0.35">
      <c r="A122" t="s">
        <v>511</v>
      </c>
      <c r="B122" s="3">
        <v>45724</v>
      </c>
      <c r="C122" t="s">
        <v>63</v>
      </c>
      <c r="D122" t="s">
        <v>193</v>
      </c>
      <c r="E122" t="s">
        <v>387</v>
      </c>
      <c r="F122">
        <v>1</v>
      </c>
      <c r="G122" s="6">
        <v>8768</v>
      </c>
      <c r="H122">
        <f>COUNTBLANK(Sales_Data[[#This Row],[Revenue]])</f>
        <v>0</v>
      </c>
      <c r="I122">
        <f>COUNTBLANK(Sales_Data[[#This Row],[Quantity]])</f>
        <v>0</v>
      </c>
      <c r="J122" t="str">
        <f>TEXT(Sales_Data[[#This Row],[Date]],"yyyy-mm")</f>
        <v>2025-03</v>
      </c>
    </row>
    <row r="123" spans="1:10" x14ac:dyDescent="0.35">
      <c r="A123" t="s">
        <v>512</v>
      </c>
      <c r="B123" s="3">
        <v>45973</v>
      </c>
      <c r="C123" t="s">
        <v>39</v>
      </c>
      <c r="D123" t="s">
        <v>103</v>
      </c>
      <c r="E123" t="s">
        <v>391</v>
      </c>
      <c r="F123">
        <v>2</v>
      </c>
      <c r="G123" s="6">
        <v>96576</v>
      </c>
      <c r="H123">
        <f>COUNTBLANK(Sales_Data[[#This Row],[Revenue]])</f>
        <v>0</v>
      </c>
      <c r="I123">
        <f>COUNTBLANK(Sales_Data[[#This Row],[Quantity]])</f>
        <v>0</v>
      </c>
      <c r="J123" t="str">
        <f>TEXT(Sales_Data[[#This Row],[Date]],"yyyy-mm")</f>
        <v>2025-11</v>
      </c>
    </row>
    <row r="124" spans="1:10" x14ac:dyDescent="0.35">
      <c r="A124" t="s">
        <v>513</v>
      </c>
      <c r="B124" s="3">
        <v>45927</v>
      </c>
      <c r="C124" t="s">
        <v>16</v>
      </c>
      <c r="D124" t="s">
        <v>101</v>
      </c>
      <c r="E124" t="s">
        <v>389</v>
      </c>
      <c r="F124">
        <v>8</v>
      </c>
      <c r="G124" s="6">
        <v>255696</v>
      </c>
      <c r="H124">
        <f>COUNTBLANK(Sales_Data[[#This Row],[Revenue]])</f>
        <v>0</v>
      </c>
      <c r="I124">
        <f>COUNTBLANK(Sales_Data[[#This Row],[Quantity]])</f>
        <v>0</v>
      </c>
      <c r="J124" t="str">
        <f>TEXT(Sales_Data[[#This Row],[Date]],"yyyy-mm")</f>
        <v>2025-09</v>
      </c>
    </row>
    <row r="125" spans="1:10" x14ac:dyDescent="0.35">
      <c r="A125" t="s">
        <v>514</v>
      </c>
      <c r="B125" s="3">
        <v>45962</v>
      </c>
      <c r="C125" t="s">
        <v>39</v>
      </c>
      <c r="D125" t="s">
        <v>247</v>
      </c>
      <c r="E125" t="s">
        <v>387</v>
      </c>
      <c r="F125">
        <v>5</v>
      </c>
      <c r="G125" s="6">
        <v>241440</v>
      </c>
      <c r="H125">
        <f>COUNTBLANK(Sales_Data[[#This Row],[Revenue]])</f>
        <v>0</v>
      </c>
      <c r="I125">
        <f>COUNTBLANK(Sales_Data[[#This Row],[Quantity]])</f>
        <v>0</v>
      </c>
      <c r="J125" t="str">
        <f>TEXT(Sales_Data[[#This Row],[Date]],"yyyy-mm")</f>
        <v>2025-11</v>
      </c>
    </row>
    <row r="126" spans="1:10" x14ac:dyDescent="0.35">
      <c r="A126" t="s">
        <v>515</v>
      </c>
      <c r="B126" s="3">
        <v>45953</v>
      </c>
      <c r="C126" t="s">
        <v>49</v>
      </c>
      <c r="D126" t="s">
        <v>367</v>
      </c>
      <c r="E126" t="s">
        <v>403</v>
      </c>
      <c r="F126">
        <v>9</v>
      </c>
      <c r="G126" s="6">
        <v>409626</v>
      </c>
      <c r="H126">
        <f>COUNTBLANK(Sales_Data[[#This Row],[Revenue]])</f>
        <v>0</v>
      </c>
      <c r="I126">
        <f>COUNTBLANK(Sales_Data[[#This Row],[Quantity]])</f>
        <v>0</v>
      </c>
      <c r="J126" t="str">
        <f>TEXT(Sales_Data[[#This Row],[Date]],"yyyy-mm")</f>
        <v>2025-10</v>
      </c>
    </row>
    <row r="127" spans="1:10" x14ac:dyDescent="0.35">
      <c r="A127" t="s">
        <v>516</v>
      </c>
      <c r="B127" s="3">
        <v>45699</v>
      </c>
      <c r="C127" t="s">
        <v>51</v>
      </c>
      <c r="D127" t="s">
        <v>289</v>
      </c>
      <c r="E127" t="s">
        <v>403</v>
      </c>
      <c r="F127">
        <v>3</v>
      </c>
      <c r="G127" s="6">
        <v>94317</v>
      </c>
      <c r="H127">
        <f>COUNTBLANK(Sales_Data[[#This Row],[Revenue]])</f>
        <v>0</v>
      </c>
      <c r="I127">
        <f>COUNTBLANK(Sales_Data[[#This Row],[Quantity]])</f>
        <v>0</v>
      </c>
      <c r="J127" t="str">
        <f>TEXT(Sales_Data[[#This Row],[Date]],"yyyy-mm")</f>
        <v>2025-02</v>
      </c>
    </row>
    <row r="128" spans="1:10" x14ac:dyDescent="0.35">
      <c r="A128" t="s">
        <v>517</v>
      </c>
      <c r="B128" s="3">
        <v>45863</v>
      </c>
      <c r="C128" t="s">
        <v>4</v>
      </c>
      <c r="D128" t="s">
        <v>361</v>
      </c>
      <c r="E128" t="s">
        <v>389</v>
      </c>
      <c r="F128">
        <v>1</v>
      </c>
      <c r="G128" s="6">
        <v>11815</v>
      </c>
      <c r="H128">
        <f>COUNTBLANK(Sales_Data[[#This Row],[Revenue]])</f>
        <v>0</v>
      </c>
      <c r="I128">
        <f>COUNTBLANK(Sales_Data[[#This Row],[Quantity]])</f>
        <v>0</v>
      </c>
      <c r="J128" t="str">
        <f>TEXT(Sales_Data[[#This Row],[Date]],"yyyy-mm")</f>
        <v>2025-07</v>
      </c>
    </row>
    <row r="129" spans="1:10" x14ac:dyDescent="0.35">
      <c r="A129" t="s">
        <v>518</v>
      </c>
      <c r="B129" s="3">
        <v>45984</v>
      </c>
      <c r="C129" t="s">
        <v>21</v>
      </c>
      <c r="D129" t="s">
        <v>151</v>
      </c>
      <c r="E129" t="s">
        <v>389</v>
      </c>
      <c r="F129">
        <v>4</v>
      </c>
      <c r="G129" s="6">
        <v>60836</v>
      </c>
      <c r="H129">
        <f>COUNTBLANK(Sales_Data[[#This Row],[Revenue]])</f>
        <v>0</v>
      </c>
      <c r="I129">
        <f>COUNTBLANK(Sales_Data[[#This Row],[Quantity]])</f>
        <v>0</v>
      </c>
      <c r="J129" t="str">
        <f>TEXT(Sales_Data[[#This Row],[Date]],"yyyy-mm")</f>
        <v>2025-11</v>
      </c>
    </row>
    <row r="130" spans="1:10" x14ac:dyDescent="0.35">
      <c r="A130" t="s">
        <v>519</v>
      </c>
      <c r="B130" s="3">
        <v>45783</v>
      </c>
      <c r="C130" t="s">
        <v>33</v>
      </c>
      <c r="D130" t="s">
        <v>275</v>
      </c>
      <c r="E130" t="s">
        <v>387</v>
      </c>
      <c r="F130">
        <v>10</v>
      </c>
      <c r="G130" s="6">
        <v>362530</v>
      </c>
      <c r="H130">
        <f>COUNTBLANK(Sales_Data[[#This Row],[Revenue]])</f>
        <v>0</v>
      </c>
      <c r="I130">
        <f>COUNTBLANK(Sales_Data[[#This Row],[Quantity]])</f>
        <v>0</v>
      </c>
      <c r="J130" t="str">
        <f>TEXT(Sales_Data[[#This Row],[Date]],"yyyy-mm")</f>
        <v>2025-05</v>
      </c>
    </row>
    <row r="131" spans="1:10" x14ac:dyDescent="0.35">
      <c r="A131" t="s">
        <v>520</v>
      </c>
      <c r="B131" s="3">
        <v>45844</v>
      </c>
      <c r="C131" t="s">
        <v>67</v>
      </c>
      <c r="D131" t="s">
        <v>155</v>
      </c>
      <c r="E131" t="s">
        <v>387</v>
      </c>
      <c r="F131">
        <v>6</v>
      </c>
      <c r="G131" s="6">
        <v>129696</v>
      </c>
      <c r="H131">
        <f>COUNTBLANK(Sales_Data[[#This Row],[Revenue]])</f>
        <v>0</v>
      </c>
      <c r="I131">
        <f>COUNTBLANK(Sales_Data[[#This Row],[Quantity]])</f>
        <v>0</v>
      </c>
      <c r="J131" t="str">
        <f>TEXT(Sales_Data[[#This Row],[Date]],"yyyy-mm")</f>
        <v>2025-07</v>
      </c>
    </row>
    <row r="132" spans="1:10" x14ac:dyDescent="0.35">
      <c r="A132" t="s">
        <v>521</v>
      </c>
      <c r="B132" s="3">
        <v>45802</v>
      </c>
      <c r="C132" t="s">
        <v>55</v>
      </c>
      <c r="D132" t="s">
        <v>185</v>
      </c>
      <c r="E132" t="s">
        <v>387</v>
      </c>
      <c r="F132">
        <v>8</v>
      </c>
      <c r="G132" s="6">
        <v>91320</v>
      </c>
      <c r="H132">
        <f>COUNTBLANK(Sales_Data[[#This Row],[Revenue]])</f>
        <v>0</v>
      </c>
      <c r="I132">
        <f>COUNTBLANK(Sales_Data[[#This Row],[Quantity]])</f>
        <v>0</v>
      </c>
      <c r="J132" t="str">
        <f>TEXT(Sales_Data[[#This Row],[Date]],"yyyy-mm")</f>
        <v>2025-05</v>
      </c>
    </row>
    <row r="133" spans="1:10" x14ac:dyDescent="0.35">
      <c r="A133" t="s">
        <v>522</v>
      </c>
      <c r="B133" s="3">
        <v>45958</v>
      </c>
      <c r="C133" t="s">
        <v>16</v>
      </c>
      <c r="D133" t="s">
        <v>229</v>
      </c>
      <c r="E133" t="s">
        <v>391</v>
      </c>
      <c r="F133">
        <v>5</v>
      </c>
      <c r="G133" s="6">
        <v>159810</v>
      </c>
      <c r="H133">
        <f>COUNTBLANK(Sales_Data[[#This Row],[Revenue]])</f>
        <v>0</v>
      </c>
      <c r="I133">
        <f>COUNTBLANK(Sales_Data[[#This Row],[Quantity]])</f>
        <v>0</v>
      </c>
      <c r="J133" t="str">
        <f>TEXT(Sales_Data[[#This Row],[Date]],"yyyy-mm")</f>
        <v>2025-10</v>
      </c>
    </row>
    <row r="134" spans="1:10" x14ac:dyDescent="0.35">
      <c r="A134" t="s">
        <v>523</v>
      </c>
      <c r="B134" s="3">
        <v>45685</v>
      </c>
      <c r="C134" t="s">
        <v>63</v>
      </c>
      <c r="D134" t="s">
        <v>339</v>
      </c>
      <c r="E134" t="s">
        <v>389</v>
      </c>
      <c r="F134">
        <v>5</v>
      </c>
      <c r="G134" s="6">
        <v>43840</v>
      </c>
      <c r="H134">
        <f>COUNTBLANK(Sales_Data[[#This Row],[Revenue]])</f>
        <v>0</v>
      </c>
      <c r="I134">
        <f>COUNTBLANK(Sales_Data[[#This Row],[Quantity]])</f>
        <v>0</v>
      </c>
      <c r="J134" t="str">
        <f>TEXT(Sales_Data[[#This Row],[Date]],"yyyy-mm")</f>
        <v>2025-01</v>
      </c>
    </row>
    <row r="135" spans="1:10" x14ac:dyDescent="0.35">
      <c r="A135" t="s">
        <v>524</v>
      </c>
      <c r="B135" s="3">
        <v>46015</v>
      </c>
      <c r="C135" t="s">
        <v>51</v>
      </c>
      <c r="D135" t="s">
        <v>307</v>
      </c>
      <c r="E135" t="s">
        <v>394</v>
      </c>
      <c r="F135">
        <v>4</v>
      </c>
      <c r="G135" s="6">
        <v>125756</v>
      </c>
      <c r="H135">
        <f>COUNTBLANK(Sales_Data[[#This Row],[Revenue]])</f>
        <v>0</v>
      </c>
      <c r="I135">
        <f>COUNTBLANK(Sales_Data[[#This Row],[Quantity]])</f>
        <v>0</v>
      </c>
      <c r="J135" t="str">
        <f>TEXT(Sales_Data[[#This Row],[Date]],"yyyy-mm")</f>
        <v>2025-12</v>
      </c>
    </row>
    <row r="136" spans="1:10" x14ac:dyDescent="0.35">
      <c r="A136" t="s">
        <v>525</v>
      </c>
      <c r="B136" s="3">
        <v>45701</v>
      </c>
      <c r="C136" t="s">
        <v>39</v>
      </c>
      <c r="D136" t="s">
        <v>203</v>
      </c>
      <c r="E136" t="s">
        <v>391</v>
      </c>
      <c r="F136">
        <v>2</v>
      </c>
      <c r="G136" s="6">
        <v>96576</v>
      </c>
      <c r="H136">
        <f>COUNTBLANK(Sales_Data[[#This Row],[Revenue]])</f>
        <v>0</v>
      </c>
      <c r="I136">
        <f>COUNTBLANK(Sales_Data[[#This Row],[Quantity]])</f>
        <v>0</v>
      </c>
      <c r="J136" t="str">
        <f>TEXT(Sales_Data[[#This Row],[Date]],"yyyy-mm")</f>
        <v>2025-02</v>
      </c>
    </row>
    <row r="137" spans="1:10" x14ac:dyDescent="0.35">
      <c r="A137" t="s">
        <v>526</v>
      </c>
      <c r="B137" s="3">
        <v>45907</v>
      </c>
      <c r="C137" t="s">
        <v>57</v>
      </c>
      <c r="D137" t="s">
        <v>147</v>
      </c>
      <c r="E137" t="s">
        <v>391</v>
      </c>
      <c r="F137">
        <v>5</v>
      </c>
      <c r="G137" s="6">
        <v>243945</v>
      </c>
      <c r="H137">
        <f>COUNTBLANK(Sales_Data[[#This Row],[Revenue]])</f>
        <v>0</v>
      </c>
      <c r="I137">
        <f>COUNTBLANK(Sales_Data[[#This Row],[Quantity]])</f>
        <v>0</v>
      </c>
      <c r="J137" t="str">
        <f>TEXT(Sales_Data[[#This Row],[Date]],"yyyy-mm")</f>
        <v>2025-09</v>
      </c>
    </row>
    <row r="138" spans="1:10" x14ac:dyDescent="0.35">
      <c r="A138" t="s">
        <v>527</v>
      </c>
      <c r="B138" s="3">
        <v>45698</v>
      </c>
      <c r="C138" t="s">
        <v>41</v>
      </c>
      <c r="D138" t="s">
        <v>115</v>
      </c>
      <c r="E138" t="s">
        <v>403</v>
      </c>
      <c r="F138">
        <v>8</v>
      </c>
      <c r="G138" s="6">
        <v>170096</v>
      </c>
      <c r="H138">
        <f>COUNTBLANK(Sales_Data[[#This Row],[Revenue]])</f>
        <v>0</v>
      </c>
      <c r="I138">
        <f>COUNTBLANK(Sales_Data[[#This Row],[Quantity]])</f>
        <v>0</v>
      </c>
      <c r="J138" t="str">
        <f>TEXT(Sales_Data[[#This Row],[Date]],"yyyy-mm")</f>
        <v>2025-02</v>
      </c>
    </row>
    <row r="139" spans="1:10" x14ac:dyDescent="0.35">
      <c r="A139" t="s">
        <v>528</v>
      </c>
      <c r="B139" s="3">
        <v>45906</v>
      </c>
      <c r="C139" t="s">
        <v>21</v>
      </c>
      <c r="D139" t="s">
        <v>97</v>
      </c>
      <c r="E139" t="s">
        <v>394</v>
      </c>
      <c r="F139">
        <v>3</v>
      </c>
      <c r="G139" s="6">
        <v>45627</v>
      </c>
      <c r="H139">
        <f>COUNTBLANK(Sales_Data[[#This Row],[Revenue]])</f>
        <v>0</v>
      </c>
      <c r="I139">
        <f>COUNTBLANK(Sales_Data[[#This Row],[Quantity]])</f>
        <v>0</v>
      </c>
      <c r="J139" t="str">
        <f>TEXT(Sales_Data[[#This Row],[Date]],"yyyy-mm")</f>
        <v>2025-09</v>
      </c>
    </row>
    <row r="140" spans="1:10" x14ac:dyDescent="0.35">
      <c r="A140" t="s">
        <v>529</v>
      </c>
      <c r="B140" s="3">
        <v>45666</v>
      </c>
      <c r="C140" t="s">
        <v>25</v>
      </c>
      <c r="D140" t="s">
        <v>135</v>
      </c>
      <c r="E140" t="s">
        <v>387</v>
      </c>
      <c r="F140">
        <v>2</v>
      </c>
      <c r="G140" s="6">
        <v>36486</v>
      </c>
      <c r="H140">
        <f>COUNTBLANK(Sales_Data[[#This Row],[Revenue]])</f>
        <v>0</v>
      </c>
      <c r="I140">
        <f>COUNTBLANK(Sales_Data[[#This Row],[Quantity]])</f>
        <v>0</v>
      </c>
      <c r="J140" t="str">
        <f>TEXT(Sales_Data[[#This Row],[Date]],"yyyy-mm")</f>
        <v>2025-01</v>
      </c>
    </row>
    <row r="141" spans="1:10" x14ac:dyDescent="0.35">
      <c r="A141" t="s">
        <v>530</v>
      </c>
      <c r="B141" s="3">
        <v>46022</v>
      </c>
      <c r="C141" t="s">
        <v>39</v>
      </c>
      <c r="D141" t="s">
        <v>235</v>
      </c>
      <c r="E141" t="s">
        <v>403</v>
      </c>
      <c r="F141">
        <v>3</v>
      </c>
      <c r="G141" s="6">
        <v>144864</v>
      </c>
      <c r="H141">
        <f>COUNTBLANK(Sales_Data[[#This Row],[Revenue]])</f>
        <v>0</v>
      </c>
      <c r="I141">
        <f>COUNTBLANK(Sales_Data[[#This Row],[Quantity]])</f>
        <v>0</v>
      </c>
      <c r="J141" t="str">
        <f>TEXT(Sales_Data[[#This Row],[Date]],"yyyy-mm")</f>
        <v>2025-12</v>
      </c>
    </row>
    <row r="142" spans="1:10" x14ac:dyDescent="0.35">
      <c r="A142" t="s">
        <v>531</v>
      </c>
      <c r="B142" s="3">
        <v>45983</v>
      </c>
      <c r="C142" t="s">
        <v>19</v>
      </c>
      <c r="D142" t="s">
        <v>235</v>
      </c>
      <c r="E142" t="s">
        <v>394</v>
      </c>
      <c r="F142">
        <v>5</v>
      </c>
      <c r="G142" s="6">
        <v>210795</v>
      </c>
      <c r="H142">
        <f>COUNTBLANK(Sales_Data[[#This Row],[Revenue]])</f>
        <v>0</v>
      </c>
      <c r="I142">
        <f>COUNTBLANK(Sales_Data[[#This Row],[Quantity]])</f>
        <v>0</v>
      </c>
      <c r="J142" t="str">
        <f>TEXT(Sales_Data[[#This Row],[Date]],"yyyy-mm")</f>
        <v>2025-11</v>
      </c>
    </row>
    <row r="143" spans="1:10" x14ac:dyDescent="0.35">
      <c r="A143" t="s">
        <v>532</v>
      </c>
      <c r="B143" s="3">
        <v>45780</v>
      </c>
      <c r="C143" t="s">
        <v>13</v>
      </c>
      <c r="D143" t="s">
        <v>351</v>
      </c>
      <c r="E143" t="s">
        <v>389</v>
      </c>
      <c r="F143">
        <v>3</v>
      </c>
      <c r="G143" s="6">
        <v>90531</v>
      </c>
      <c r="H143">
        <f>COUNTBLANK(Sales_Data[[#This Row],[Revenue]])</f>
        <v>0</v>
      </c>
      <c r="I143">
        <f>COUNTBLANK(Sales_Data[[#This Row],[Quantity]])</f>
        <v>0</v>
      </c>
      <c r="J143" t="str">
        <f>TEXT(Sales_Data[[#This Row],[Date]],"yyyy-mm")</f>
        <v>2025-05</v>
      </c>
    </row>
    <row r="144" spans="1:10" x14ac:dyDescent="0.35">
      <c r="A144" t="s">
        <v>533</v>
      </c>
      <c r="B144" s="3">
        <v>46007</v>
      </c>
      <c r="C144" t="s">
        <v>13</v>
      </c>
      <c r="D144" t="s">
        <v>207</v>
      </c>
      <c r="E144" t="s">
        <v>403</v>
      </c>
      <c r="F144">
        <v>6</v>
      </c>
      <c r="G144" s="6">
        <v>181062</v>
      </c>
      <c r="H144">
        <f>COUNTBLANK(Sales_Data[[#This Row],[Revenue]])</f>
        <v>0</v>
      </c>
      <c r="I144">
        <f>COUNTBLANK(Sales_Data[[#This Row],[Quantity]])</f>
        <v>0</v>
      </c>
      <c r="J144" t="str">
        <f>TEXT(Sales_Data[[#This Row],[Date]],"yyyy-mm")</f>
        <v>2025-12</v>
      </c>
    </row>
    <row r="145" spans="1:10" x14ac:dyDescent="0.35">
      <c r="A145" t="s">
        <v>534</v>
      </c>
      <c r="B145" s="3">
        <v>45733</v>
      </c>
      <c r="C145" t="s">
        <v>21</v>
      </c>
      <c r="D145" t="s">
        <v>143</v>
      </c>
      <c r="E145" t="s">
        <v>394</v>
      </c>
      <c r="F145">
        <v>6</v>
      </c>
      <c r="G145" s="6">
        <v>91254</v>
      </c>
      <c r="H145">
        <f>COUNTBLANK(Sales_Data[[#This Row],[Revenue]])</f>
        <v>0</v>
      </c>
      <c r="I145">
        <f>COUNTBLANK(Sales_Data[[#This Row],[Quantity]])</f>
        <v>0</v>
      </c>
      <c r="J145" t="str">
        <f>TEXT(Sales_Data[[#This Row],[Date]],"yyyy-mm")</f>
        <v>2025-03</v>
      </c>
    </row>
    <row r="146" spans="1:10" x14ac:dyDescent="0.35">
      <c r="A146" t="s">
        <v>535</v>
      </c>
      <c r="B146" s="3">
        <v>46001</v>
      </c>
      <c r="C146" t="s">
        <v>45</v>
      </c>
      <c r="D146" t="s">
        <v>191</v>
      </c>
      <c r="E146" t="s">
        <v>387</v>
      </c>
      <c r="F146">
        <v>3</v>
      </c>
      <c r="G146" s="6">
        <v>23478</v>
      </c>
      <c r="H146">
        <f>COUNTBLANK(Sales_Data[[#This Row],[Revenue]])</f>
        <v>0</v>
      </c>
      <c r="I146">
        <f>COUNTBLANK(Sales_Data[[#This Row],[Quantity]])</f>
        <v>0</v>
      </c>
      <c r="J146" t="str">
        <f>TEXT(Sales_Data[[#This Row],[Date]],"yyyy-mm")</f>
        <v>2025-12</v>
      </c>
    </row>
    <row r="147" spans="1:10" x14ac:dyDescent="0.35">
      <c r="A147" t="s">
        <v>536</v>
      </c>
      <c r="B147" s="3">
        <v>45935</v>
      </c>
      <c r="C147" t="s">
        <v>43</v>
      </c>
      <c r="D147" t="s">
        <v>371</v>
      </c>
      <c r="E147" t="s">
        <v>389</v>
      </c>
      <c r="F147">
        <v>4</v>
      </c>
      <c r="G147" s="6">
        <v>151300</v>
      </c>
      <c r="H147">
        <f>COUNTBLANK(Sales_Data[[#This Row],[Revenue]])</f>
        <v>0</v>
      </c>
      <c r="I147">
        <f>COUNTBLANK(Sales_Data[[#This Row],[Quantity]])</f>
        <v>0</v>
      </c>
      <c r="J147" t="str">
        <f>TEXT(Sales_Data[[#This Row],[Date]],"yyyy-mm")</f>
        <v>2025-10</v>
      </c>
    </row>
    <row r="148" spans="1:10" x14ac:dyDescent="0.35">
      <c r="A148" t="s">
        <v>537</v>
      </c>
      <c r="B148" s="3">
        <v>45893</v>
      </c>
      <c r="C148" t="s">
        <v>59</v>
      </c>
      <c r="D148" t="s">
        <v>313</v>
      </c>
      <c r="E148" t="s">
        <v>387</v>
      </c>
      <c r="F148">
        <v>10</v>
      </c>
      <c r="G148" s="6">
        <v>481060</v>
      </c>
      <c r="H148">
        <f>COUNTBLANK(Sales_Data[[#This Row],[Revenue]])</f>
        <v>0</v>
      </c>
      <c r="I148">
        <f>COUNTBLANK(Sales_Data[[#This Row],[Quantity]])</f>
        <v>0</v>
      </c>
      <c r="J148" t="str">
        <f>TEXT(Sales_Data[[#This Row],[Date]],"yyyy-mm")</f>
        <v>2025-08</v>
      </c>
    </row>
    <row r="149" spans="1:10" x14ac:dyDescent="0.35">
      <c r="A149" t="s">
        <v>538</v>
      </c>
      <c r="B149" s="3">
        <v>45855</v>
      </c>
      <c r="C149" t="s">
        <v>65</v>
      </c>
      <c r="D149" t="s">
        <v>311</v>
      </c>
      <c r="E149" t="s">
        <v>391</v>
      </c>
      <c r="F149">
        <v>5</v>
      </c>
      <c r="G149" s="6">
        <v>2725</v>
      </c>
      <c r="H149">
        <f>COUNTBLANK(Sales_Data[[#This Row],[Revenue]])</f>
        <v>0</v>
      </c>
      <c r="I149">
        <f>COUNTBLANK(Sales_Data[[#This Row],[Quantity]])</f>
        <v>0</v>
      </c>
      <c r="J149" t="str">
        <f>TEXT(Sales_Data[[#This Row],[Date]],"yyyy-mm")</f>
        <v>2025-07</v>
      </c>
    </row>
    <row r="150" spans="1:10" x14ac:dyDescent="0.35">
      <c r="A150" t="s">
        <v>539</v>
      </c>
      <c r="B150" s="3">
        <v>45843</v>
      </c>
      <c r="C150" t="s">
        <v>16</v>
      </c>
      <c r="D150" t="s">
        <v>201</v>
      </c>
      <c r="E150" t="s">
        <v>389</v>
      </c>
      <c r="F150">
        <v>7</v>
      </c>
      <c r="G150" s="6">
        <v>223734</v>
      </c>
      <c r="H150">
        <f>COUNTBLANK(Sales_Data[[#This Row],[Revenue]])</f>
        <v>0</v>
      </c>
      <c r="I150">
        <f>COUNTBLANK(Sales_Data[[#This Row],[Quantity]])</f>
        <v>0</v>
      </c>
      <c r="J150" t="str">
        <f>TEXT(Sales_Data[[#This Row],[Date]],"yyyy-mm")</f>
        <v>2025-07</v>
      </c>
    </row>
    <row r="151" spans="1:10" x14ac:dyDescent="0.35">
      <c r="A151" t="s">
        <v>540</v>
      </c>
      <c r="B151" s="3">
        <v>45661</v>
      </c>
      <c r="C151" t="s">
        <v>23</v>
      </c>
      <c r="D151" t="s">
        <v>103</v>
      </c>
      <c r="E151" t="s">
        <v>391</v>
      </c>
      <c r="F151">
        <v>5</v>
      </c>
      <c r="G151" s="6">
        <v>30345</v>
      </c>
      <c r="H151">
        <f>COUNTBLANK(Sales_Data[[#This Row],[Revenue]])</f>
        <v>0</v>
      </c>
      <c r="I151">
        <f>COUNTBLANK(Sales_Data[[#This Row],[Quantity]])</f>
        <v>0</v>
      </c>
      <c r="J151" t="str">
        <f>TEXT(Sales_Data[[#This Row],[Date]],"yyyy-mm")</f>
        <v>2025-01</v>
      </c>
    </row>
    <row r="152" spans="1:10" x14ac:dyDescent="0.35">
      <c r="A152" t="s">
        <v>541</v>
      </c>
      <c r="B152" s="3">
        <v>45942</v>
      </c>
      <c r="C152" t="s">
        <v>25</v>
      </c>
      <c r="D152" t="s">
        <v>211</v>
      </c>
      <c r="E152" t="s">
        <v>387</v>
      </c>
      <c r="F152">
        <v>7</v>
      </c>
      <c r="G152" s="6">
        <v>127701</v>
      </c>
      <c r="H152">
        <f>COUNTBLANK(Sales_Data[[#This Row],[Revenue]])</f>
        <v>0</v>
      </c>
      <c r="I152">
        <f>COUNTBLANK(Sales_Data[[#This Row],[Quantity]])</f>
        <v>0</v>
      </c>
      <c r="J152" t="str">
        <f>TEXT(Sales_Data[[#This Row],[Date]],"yyyy-mm")</f>
        <v>2025-10</v>
      </c>
    </row>
    <row r="153" spans="1:10" x14ac:dyDescent="0.35">
      <c r="A153" t="s">
        <v>542</v>
      </c>
      <c r="B153" s="3">
        <v>45731</v>
      </c>
      <c r="C153" t="s">
        <v>45</v>
      </c>
      <c r="D153" t="s">
        <v>365</v>
      </c>
      <c r="E153" t="s">
        <v>389</v>
      </c>
      <c r="F153">
        <v>4</v>
      </c>
      <c r="G153" s="6">
        <v>31304</v>
      </c>
      <c r="H153">
        <f>COUNTBLANK(Sales_Data[[#This Row],[Revenue]])</f>
        <v>0</v>
      </c>
      <c r="I153">
        <f>COUNTBLANK(Sales_Data[[#This Row],[Quantity]])</f>
        <v>0</v>
      </c>
      <c r="J153" t="str">
        <f>TEXT(Sales_Data[[#This Row],[Date]],"yyyy-mm")</f>
        <v>2025-03</v>
      </c>
    </row>
    <row r="154" spans="1:10" x14ac:dyDescent="0.35">
      <c r="A154" t="s">
        <v>543</v>
      </c>
      <c r="B154" s="3">
        <v>45709</v>
      </c>
      <c r="C154" t="s">
        <v>25</v>
      </c>
      <c r="D154" t="s">
        <v>235</v>
      </c>
      <c r="E154" t="s">
        <v>387</v>
      </c>
      <c r="F154">
        <v>10</v>
      </c>
      <c r="G154" s="6">
        <v>182430</v>
      </c>
      <c r="H154">
        <f>COUNTBLANK(Sales_Data[[#This Row],[Revenue]])</f>
        <v>0</v>
      </c>
      <c r="I154">
        <f>COUNTBLANK(Sales_Data[[#This Row],[Quantity]])</f>
        <v>0</v>
      </c>
      <c r="J154" t="str">
        <f>TEXT(Sales_Data[[#This Row],[Date]],"yyyy-mm")</f>
        <v>2025-02</v>
      </c>
    </row>
    <row r="155" spans="1:10" x14ac:dyDescent="0.35">
      <c r="A155" t="s">
        <v>544</v>
      </c>
      <c r="B155" s="3">
        <v>45903</v>
      </c>
      <c r="C155" t="s">
        <v>25</v>
      </c>
      <c r="D155" t="s">
        <v>199</v>
      </c>
      <c r="E155" t="s">
        <v>403</v>
      </c>
      <c r="F155">
        <v>1</v>
      </c>
      <c r="G155" s="6">
        <v>18243</v>
      </c>
      <c r="H155">
        <f>COUNTBLANK(Sales_Data[[#This Row],[Revenue]])</f>
        <v>0</v>
      </c>
      <c r="I155">
        <f>COUNTBLANK(Sales_Data[[#This Row],[Quantity]])</f>
        <v>0</v>
      </c>
      <c r="J155" t="str">
        <f>TEXT(Sales_Data[[#This Row],[Date]],"yyyy-mm")</f>
        <v>2025-09</v>
      </c>
    </row>
    <row r="156" spans="1:10" x14ac:dyDescent="0.35">
      <c r="A156" t="s">
        <v>545</v>
      </c>
      <c r="B156" s="3">
        <v>45890</v>
      </c>
      <c r="C156" t="s">
        <v>10</v>
      </c>
      <c r="D156" t="s">
        <v>327</v>
      </c>
      <c r="E156" t="s">
        <v>403</v>
      </c>
      <c r="F156">
        <v>6</v>
      </c>
      <c r="G156" s="6">
        <v>27096</v>
      </c>
      <c r="H156">
        <f>COUNTBLANK(Sales_Data[[#This Row],[Revenue]])</f>
        <v>0</v>
      </c>
      <c r="I156">
        <f>COUNTBLANK(Sales_Data[[#This Row],[Quantity]])</f>
        <v>0</v>
      </c>
      <c r="J156" t="str">
        <f>TEXT(Sales_Data[[#This Row],[Date]],"yyyy-mm")</f>
        <v>2025-08</v>
      </c>
    </row>
    <row r="157" spans="1:10" x14ac:dyDescent="0.35">
      <c r="A157" t="s">
        <v>546</v>
      </c>
      <c r="B157" s="3">
        <v>45919</v>
      </c>
      <c r="C157" t="s">
        <v>37</v>
      </c>
      <c r="D157" t="s">
        <v>125</v>
      </c>
      <c r="E157" t="s">
        <v>394</v>
      </c>
      <c r="F157">
        <v>1</v>
      </c>
      <c r="G157" s="6">
        <v>1953</v>
      </c>
      <c r="H157">
        <f>COUNTBLANK(Sales_Data[[#This Row],[Revenue]])</f>
        <v>0</v>
      </c>
      <c r="I157">
        <f>COUNTBLANK(Sales_Data[[#This Row],[Quantity]])</f>
        <v>0</v>
      </c>
      <c r="J157" t="str">
        <f>TEXT(Sales_Data[[#This Row],[Date]],"yyyy-mm")</f>
        <v>2025-09</v>
      </c>
    </row>
    <row r="158" spans="1:10" x14ac:dyDescent="0.35">
      <c r="A158" t="s">
        <v>547</v>
      </c>
      <c r="B158" s="3">
        <v>45953</v>
      </c>
      <c r="C158" t="s">
        <v>16</v>
      </c>
      <c r="D158" t="s">
        <v>255</v>
      </c>
      <c r="E158" t="s">
        <v>394</v>
      </c>
      <c r="F158">
        <v>6</v>
      </c>
      <c r="G158" s="6">
        <v>191772</v>
      </c>
      <c r="H158">
        <f>COUNTBLANK(Sales_Data[[#This Row],[Revenue]])</f>
        <v>0</v>
      </c>
      <c r="I158">
        <f>COUNTBLANK(Sales_Data[[#This Row],[Quantity]])</f>
        <v>0</v>
      </c>
      <c r="J158" t="str">
        <f>TEXT(Sales_Data[[#This Row],[Date]],"yyyy-mm")</f>
        <v>2025-10</v>
      </c>
    </row>
    <row r="159" spans="1:10" x14ac:dyDescent="0.35">
      <c r="A159" t="s">
        <v>548</v>
      </c>
      <c r="B159" s="3">
        <v>45784</v>
      </c>
      <c r="C159" t="s">
        <v>29</v>
      </c>
      <c r="D159" t="s">
        <v>159</v>
      </c>
      <c r="E159" t="s">
        <v>403</v>
      </c>
      <c r="F159">
        <v>4</v>
      </c>
      <c r="G159" s="6">
        <v>170576</v>
      </c>
      <c r="H159">
        <f>COUNTBLANK(Sales_Data[[#This Row],[Revenue]])</f>
        <v>0</v>
      </c>
      <c r="I159">
        <f>COUNTBLANK(Sales_Data[[#This Row],[Quantity]])</f>
        <v>0</v>
      </c>
      <c r="J159" t="str">
        <f>TEXT(Sales_Data[[#This Row],[Date]],"yyyy-mm")</f>
        <v>2025-05</v>
      </c>
    </row>
    <row r="160" spans="1:10" x14ac:dyDescent="0.35">
      <c r="A160" t="s">
        <v>549</v>
      </c>
      <c r="B160" s="3">
        <v>45716</v>
      </c>
      <c r="C160" t="s">
        <v>16</v>
      </c>
      <c r="D160" t="s">
        <v>169</v>
      </c>
      <c r="E160" t="s">
        <v>394</v>
      </c>
      <c r="F160">
        <v>1</v>
      </c>
      <c r="G160" s="6">
        <v>31962</v>
      </c>
      <c r="H160">
        <f>COUNTBLANK(Sales_Data[[#This Row],[Revenue]])</f>
        <v>0</v>
      </c>
      <c r="I160">
        <f>COUNTBLANK(Sales_Data[[#This Row],[Quantity]])</f>
        <v>0</v>
      </c>
      <c r="J160" t="str">
        <f>TEXT(Sales_Data[[#This Row],[Date]],"yyyy-mm")</f>
        <v>2025-02</v>
      </c>
    </row>
    <row r="161" spans="1:10" x14ac:dyDescent="0.35">
      <c r="A161" t="s">
        <v>550</v>
      </c>
      <c r="B161" s="3">
        <v>45671</v>
      </c>
      <c r="C161" t="s">
        <v>41</v>
      </c>
      <c r="D161" t="s">
        <v>105</v>
      </c>
      <c r="E161" t="s">
        <v>387</v>
      </c>
      <c r="F161">
        <v>3</v>
      </c>
      <c r="G161" s="6">
        <v>63786</v>
      </c>
      <c r="H161">
        <f>COUNTBLANK(Sales_Data[[#This Row],[Revenue]])</f>
        <v>0</v>
      </c>
      <c r="I161">
        <f>COUNTBLANK(Sales_Data[[#This Row],[Quantity]])</f>
        <v>0</v>
      </c>
      <c r="J161" t="str">
        <f>TEXT(Sales_Data[[#This Row],[Date]],"yyyy-mm")</f>
        <v>2025-01</v>
      </c>
    </row>
    <row r="162" spans="1:10" x14ac:dyDescent="0.35">
      <c r="A162" t="s">
        <v>551</v>
      </c>
      <c r="B162" s="3">
        <v>45931</v>
      </c>
      <c r="C162" t="s">
        <v>43</v>
      </c>
      <c r="D162" t="s">
        <v>341</v>
      </c>
      <c r="E162" t="s">
        <v>403</v>
      </c>
      <c r="F162">
        <v>3</v>
      </c>
      <c r="G162" s="6">
        <v>113475</v>
      </c>
      <c r="H162">
        <f>COUNTBLANK(Sales_Data[[#This Row],[Revenue]])</f>
        <v>0</v>
      </c>
      <c r="I162">
        <f>COUNTBLANK(Sales_Data[[#This Row],[Quantity]])</f>
        <v>0</v>
      </c>
      <c r="J162" t="str">
        <f>TEXT(Sales_Data[[#This Row],[Date]],"yyyy-mm")</f>
        <v>2025-10</v>
      </c>
    </row>
    <row r="163" spans="1:10" x14ac:dyDescent="0.35">
      <c r="A163" t="s">
        <v>552</v>
      </c>
      <c r="B163" s="3">
        <v>45911</v>
      </c>
      <c r="C163" t="s">
        <v>57</v>
      </c>
      <c r="D163" t="s">
        <v>141</v>
      </c>
      <c r="E163" t="s">
        <v>391</v>
      </c>
      <c r="F163">
        <v>1</v>
      </c>
      <c r="G163" s="6">
        <v>48789</v>
      </c>
      <c r="H163">
        <f>COUNTBLANK(Sales_Data[[#This Row],[Revenue]])</f>
        <v>0</v>
      </c>
      <c r="I163">
        <f>COUNTBLANK(Sales_Data[[#This Row],[Quantity]])</f>
        <v>0</v>
      </c>
      <c r="J163" t="str">
        <f>TEXT(Sales_Data[[#This Row],[Date]],"yyyy-mm")</f>
        <v>2025-09</v>
      </c>
    </row>
    <row r="164" spans="1:10" x14ac:dyDescent="0.35">
      <c r="A164" t="s">
        <v>553</v>
      </c>
      <c r="B164" s="3">
        <v>45906</v>
      </c>
      <c r="C164" t="s">
        <v>23</v>
      </c>
      <c r="D164" t="s">
        <v>377</v>
      </c>
      <c r="E164" t="s">
        <v>387</v>
      </c>
      <c r="F164">
        <v>5</v>
      </c>
      <c r="G164" s="6">
        <v>30345</v>
      </c>
      <c r="H164">
        <f>COUNTBLANK(Sales_Data[[#This Row],[Revenue]])</f>
        <v>0</v>
      </c>
      <c r="I164">
        <f>COUNTBLANK(Sales_Data[[#This Row],[Quantity]])</f>
        <v>0</v>
      </c>
      <c r="J164" t="str">
        <f>TEXT(Sales_Data[[#This Row],[Date]],"yyyy-mm")</f>
        <v>2025-09</v>
      </c>
    </row>
    <row r="165" spans="1:10" x14ac:dyDescent="0.35">
      <c r="A165" t="s">
        <v>554</v>
      </c>
      <c r="B165" s="3">
        <v>45880</v>
      </c>
      <c r="C165" t="s">
        <v>10</v>
      </c>
      <c r="D165" t="s">
        <v>323</v>
      </c>
      <c r="E165" t="s">
        <v>403</v>
      </c>
      <c r="F165">
        <v>3</v>
      </c>
      <c r="G165" s="6">
        <v>13548</v>
      </c>
      <c r="H165">
        <f>COUNTBLANK(Sales_Data[[#This Row],[Revenue]])</f>
        <v>0</v>
      </c>
      <c r="I165">
        <f>COUNTBLANK(Sales_Data[[#This Row],[Quantity]])</f>
        <v>0</v>
      </c>
      <c r="J165" t="str">
        <f>TEXT(Sales_Data[[#This Row],[Date]],"yyyy-mm")</f>
        <v>2025-08</v>
      </c>
    </row>
    <row r="166" spans="1:10" x14ac:dyDescent="0.35">
      <c r="A166" t="s">
        <v>555</v>
      </c>
      <c r="B166" s="3">
        <v>45998</v>
      </c>
      <c r="C166" t="s">
        <v>35</v>
      </c>
      <c r="D166" t="s">
        <v>351</v>
      </c>
      <c r="E166" t="s">
        <v>387</v>
      </c>
      <c r="F166">
        <v>3</v>
      </c>
      <c r="G166" s="6">
        <v>148380</v>
      </c>
      <c r="H166">
        <f>COUNTBLANK(Sales_Data[[#This Row],[Revenue]])</f>
        <v>0</v>
      </c>
      <c r="I166">
        <f>COUNTBLANK(Sales_Data[[#This Row],[Quantity]])</f>
        <v>0</v>
      </c>
      <c r="J166" t="str">
        <f>TEXT(Sales_Data[[#This Row],[Date]],"yyyy-mm")</f>
        <v>2025-12</v>
      </c>
    </row>
    <row r="167" spans="1:10" x14ac:dyDescent="0.35">
      <c r="A167" t="s">
        <v>556</v>
      </c>
      <c r="B167" s="3">
        <v>46008</v>
      </c>
      <c r="C167" t="s">
        <v>43</v>
      </c>
      <c r="D167" t="s">
        <v>169</v>
      </c>
      <c r="E167" t="s">
        <v>389</v>
      </c>
      <c r="F167">
        <v>3</v>
      </c>
      <c r="G167" s="6">
        <v>113475</v>
      </c>
      <c r="H167">
        <f>COUNTBLANK(Sales_Data[[#This Row],[Revenue]])</f>
        <v>0</v>
      </c>
      <c r="I167">
        <f>COUNTBLANK(Sales_Data[[#This Row],[Quantity]])</f>
        <v>0</v>
      </c>
      <c r="J167" t="str">
        <f>TEXT(Sales_Data[[#This Row],[Date]],"yyyy-mm")</f>
        <v>2025-12</v>
      </c>
    </row>
    <row r="168" spans="1:10" x14ac:dyDescent="0.35">
      <c r="A168" t="s">
        <v>557</v>
      </c>
      <c r="B168" s="3">
        <v>45768</v>
      </c>
      <c r="C168" t="s">
        <v>13</v>
      </c>
      <c r="D168" t="s">
        <v>319</v>
      </c>
      <c r="E168" t="s">
        <v>394</v>
      </c>
      <c r="F168">
        <v>9</v>
      </c>
      <c r="G168" s="6">
        <v>271593</v>
      </c>
      <c r="H168">
        <f>COUNTBLANK(Sales_Data[[#This Row],[Revenue]])</f>
        <v>0</v>
      </c>
      <c r="I168">
        <f>COUNTBLANK(Sales_Data[[#This Row],[Quantity]])</f>
        <v>0</v>
      </c>
      <c r="J168" t="str">
        <f>TEXT(Sales_Data[[#This Row],[Date]],"yyyy-mm")</f>
        <v>2025-04</v>
      </c>
    </row>
    <row r="169" spans="1:10" x14ac:dyDescent="0.35">
      <c r="A169" t="s">
        <v>558</v>
      </c>
      <c r="B169" s="3">
        <v>45972</v>
      </c>
      <c r="C169" t="s">
        <v>53</v>
      </c>
      <c r="D169" t="s">
        <v>151</v>
      </c>
      <c r="E169" t="s">
        <v>387</v>
      </c>
      <c r="F169">
        <v>9</v>
      </c>
      <c r="G169" s="6">
        <v>37872</v>
      </c>
      <c r="H169">
        <f>COUNTBLANK(Sales_Data[[#This Row],[Revenue]])</f>
        <v>0</v>
      </c>
      <c r="I169">
        <f>COUNTBLANK(Sales_Data[[#This Row],[Quantity]])</f>
        <v>0</v>
      </c>
      <c r="J169" t="str">
        <f>TEXT(Sales_Data[[#This Row],[Date]],"yyyy-mm")</f>
        <v>2025-11</v>
      </c>
    </row>
    <row r="170" spans="1:10" x14ac:dyDescent="0.35">
      <c r="A170" t="s">
        <v>559</v>
      </c>
      <c r="B170" s="3">
        <v>45996</v>
      </c>
      <c r="C170" t="s">
        <v>61</v>
      </c>
      <c r="D170" t="s">
        <v>281</v>
      </c>
      <c r="E170" t="s">
        <v>391</v>
      </c>
      <c r="F170">
        <v>10</v>
      </c>
      <c r="G170" s="6">
        <v>250160</v>
      </c>
      <c r="H170">
        <f>COUNTBLANK(Sales_Data[[#This Row],[Revenue]])</f>
        <v>0</v>
      </c>
      <c r="I170">
        <f>COUNTBLANK(Sales_Data[[#This Row],[Quantity]])</f>
        <v>0</v>
      </c>
      <c r="J170" t="str">
        <f>TEXT(Sales_Data[[#This Row],[Date]],"yyyy-mm")</f>
        <v>2025-12</v>
      </c>
    </row>
    <row r="171" spans="1:10" x14ac:dyDescent="0.35">
      <c r="A171" t="s">
        <v>560</v>
      </c>
      <c r="B171" s="3">
        <v>45870</v>
      </c>
      <c r="C171" t="s">
        <v>67</v>
      </c>
      <c r="D171" t="s">
        <v>167</v>
      </c>
      <c r="E171" t="s">
        <v>387</v>
      </c>
      <c r="F171">
        <v>6</v>
      </c>
      <c r="G171" s="6">
        <v>129696</v>
      </c>
      <c r="H171">
        <f>COUNTBLANK(Sales_Data[[#This Row],[Revenue]])</f>
        <v>0</v>
      </c>
      <c r="I171">
        <f>COUNTBLANK(Sales_Data[[#This Row],[Quantity]])</f>
        <v>0</v>
      </c>
      <c r="J171" t="str">
        <f>TEXT(Sales_Data[[#This Row],[Date]],"yyyy-mm")</f>
        <v>2025-08</v>
      </c>
    </row>
    <row r="172" spans="1:10" x14ac:dyDescent="0.35">
      <c r="A172" t="s">
        <v>561</v>
      </c>
      <c r="B172" s="3">
        <v>45675</v>
      </c>
      <c r="C172" t="s">
        <v>65</v>
      </c>
      <c r="D172" t="s">
        <v>367</v>
      </c>
      <c r="E172" t="s">
        <v>403</v>
      </c>
      <c r="F172">
        <v>4</v>
      </c>
      <c r="G172" s="6">
        <v>2180</v>
      </c>
      <c r="H172">
        <f>COUNTBLANK(Sales_Data[[#This Row],[Revenue]])</f>
        <v>0</v>
      </c>
      <c r="I172">
        <f>COUNTBLANK(Sales_Data[[#This Row],[Quantity]])</f>
        <v>0</v>
      </c>
      <c r="J172" t="str">
        <f>TEXT(Sales_Data[[#This Row],[Date]],"yyyy-mm")</f>
        <v>2025-01</v>
      </c>
    </row>
    <row r="173" spans="1:10" x14ac:dyDescent="0.35">
      <c r="A173" t="s">
        <v>562</v>
      </c>
      <c r="B173" s="3">
        <v>45969</v>
      </c>
      <c r="C173" t="s">
        <v>49</v>
      </c>
      <c r="D173" t="s">
        <v>235</v>
      </c>
      <c r="E173" t="s">
        <v>403</v>
      </c>
      <c r="F173">
        <v>8</v>
      </c>
      <c r="G173" s="6">
        <v>364112</v>
      </c>
      <c r="H173">
        <f>COUNTBLANK(Sales_Data[[#This Row],[Revenue]])</f>
        <v>0</v>
      </c>
      <c r="I173">
        <f>COUNTBLANK(Sales_Data[[#This Row],[Quantity]])</f>
        <v>0</v>
      </c>
      <c r="J173" t="str">
        <f>TEXT(Sales_Data[[#This Row],[Date]],"yyyy-mm")</f>
        <v>2025-11</v>
      </c>
    </row>
    <row r="174" spans="1:10" x14ac:dyDescent="0.35">
      <c r="A174" t="s">
        <v>563</v>
      </c>
      <c r="B174" s="3">
        <v>45697</v>
      </c>
      <c r="C174" t="s">
        <v>61</v>
      </c>
      <c r="D174" t="s">
        <v>88</v>
      </c>
      <c r="E174" t="s">
        <v>403</v>
      </c>
      <c r="F174">
        <v>3</v>
      </c>
      <c r="G174" s="6">
        <v>75048</v>
      </c>
      <c r="H174">
        <f>COUNTBLANK(Sales_Data[[#This Row],[Revenue]])</f>
        <v>0</v>
      </c>
      <c r="I174">
        <f>COUNTBLANK(Sales_Data[[#This Row],[Quantity]])</f>
        <v>0</v>
      </c>
      <c r="J174" t="str">
        <f>TEXT(Sales_Data[[#This Row],[Date]],"yyyy-mm")</f>
        <v>2025-02</v>
      </c>
    </row>
    <row r="175" spans="1:10" x14ac:dyDescent="0.35">
      <c r="A175" t="s">
        <v>564</v>
      </c>
      <c r="B175" s="3">
        <v>45693</v>
      </c>
      <c r="C175" t="s">
        <v>27</v>
      </c>
      <c r="D175" t="s">
        <v>347</v>
      </c>
      <c r="E175" t="s">
        <v>403</v>
      </c>
      <c r="F175">
        <v>10</v>
      </c>
      <c r="G175" s="6">
        <v>376840</v>
      </c>
      <c r="H175">
        <f>COUNTBLANK(Sales_Data[[#This Row],[Revenue]])</f>
        <v>0</v>
      </c>
      <c r="I175">
        <f>COUNTBLANK(Sales_Data[[#This Row],[Quantity]])</f>
        <v>0</v>
      </c>
      <c r="J175" t="str">
        <f>TEXT(Sales_Data[[#This Row],[Date]],"yyyy-mm")</f>
        <v>2025-02</v>
      </c>
    </row>
    <row r="176" spans="1:10" x14ac:dyDescent="0.35">
      <c r="A176" t="s">
        <v>565</v>
      </c>
      <c r="B176" s="3">
        <v>45913</v>
      </c>
      <c r="C176" t="s">
        <v>10</v>
      </c>
      <c r="D176" t="s">
        <v>243</v>
      </c>
      <c r="E176" t="s">
        <v>387</v>
      </c>
      <c r="F176">
        <v>8</v>
      </c>
      <c r="G176" s="6">
        <v>36128</v>
      </c>
      <c r="H176">
        <f>COUNTBLANK(Sales_Data[[#This Row],[Revenue]])</f>
        <v>0</v>
      </c>
      <c r="I176">
        <f>COUNTBLANK(Sales_Data[[#This Row],[Quantity]])</f>
        <v>0</v>
      </c>
      <c r="J176" t="str">
        <f>TEXT(Sales_Data[[#This Row],[Date]],"yyyy-mm")</f>
        <v>2025-09</v>
      </c>
    </row>
    <row r="177" spans="1:10" x14ac:dyDescent="0.35">
      <c r="A177" t="s">
        <v>566</v>
      </c>
      <c r="B177" s="3">
        <v>45813</v>
      </c>
      <c r="C177" t="s">
        <v>16</v>
      </c>
      <c r="D177" t="s">
        <v>247</v>
      </c>
      <c r="E177" t="s">
        <v>389</v>
      </c>
      <c r="F177">
        <v>5</v>
      </c>
      <c r="G177" s="6">
        <v>159810</v>
      </c>
      <c r="H177">
        <f>COUNTBLANK(Sales_Data[[#This Row],[Revenue]])</f>
        <v>0</v>
      </c>
      <c r="I177">
        <f>COUNTBLANK(Sales_Data[[#This Row],[Quantity]])</f>
        <v>0</v>
      </c>
      <c r="J177" t="str">
        <f>TEXT(Sales_Data[[#This Row],[Date]],"yyyy-mm")</f>
        <v>2025-06</v>
      </c>
    </row>
    <row r="178" spans="1:10" x14ac:dyDescent="0.35">
      <c r="A178" t="s">
        <v>567</v>
      </c>
      <c r="B178" s="3">
        <v>45842</v>
      </c>
      <c r="C178" t="s">
        <v>13</v>
      </c>
      <c r="D178" t="s">
        <v>225</v>
      </c>
      <c r="E178" t="s">
        <v>391</v>
      </c>
      <c r="F178">
        <v>3</v>
      </c>
      <c r="G178" s="6">
        <v>90531</v>
      </c>
      <c r="H178">
        <f>COUNTBLANK(Sales_Data[[#This Row],[Revenue]])</f>
        <v>0</v>
      </c>
      <c r="I178">
        <f>COUNTBLANK(Sales_Data[[#This Row],[Quantity]])</f>
        <v>0</v>
      </c>
      <c r="J178" t="str">
        <f>TEXT(Sales_Data[[#This Row],[Date]],"yyyy-mm")</f>
        <v>2025-07</v>
      </c>
    </row>
    <row r="179" spans="1:10" x14ac:dyDescent="0.35">
      <c r="A179" t="s">
        <v>568</v>
      </c>
      <c r="B179" s="3">
        <v>45885</v>
      </c>
      <c r="C179" t="s">
        <v>51</v>
      </c>
      <c r="D179" t="s">
        <v>247</v>
      </c>
      <c r="E179" t="s">
        <v>403</v>
      </c>
      <c r="F179">
        <v>5</v>
      </c>
      <c r="G179" s="6">
        <v>157195</v>
      </c>
      <c r="H179">
        <f>COUNTBLANK(Sales_Data[[#This Row],[Revenue]])</f>
        <v>0</v>
      </c>
      <c r="I179">
        <f>COUNTBLANK(Sales_Data[[#This Row],[Quantity]])</f>
        <v>0</v>
      </c>
      <c r="J179" t="str">
        <f>TEXT(Sales_Data[[#This Row],[Date]],"yyyy-mm")</f>
        <v>2025-08</v>
      </c>
    </row>
    <row r="180" spans="1:10" x14ac:dyDescent="0.35">
      <c r="A180" t="s">
        <v>569</v>
      </c>
      <c r="B180" s="3">
        <v>45985</v>
      </c>
      <c r="C180" t="s">
        <v>29</v>
      </c>
      <c r="D180" t="s">
        <v>105</v>
      </c>
      <c r="E180" t="s">
        <v>387</v>
      </c>
      <c r="F180">
        <v>2</v>
      </c>
      <c r="G180" s="6">
        <v>85288</v>
      </c>
      <c r="H180">
        <f>COUNTBLANK(Sales_Data[[#This Row],[Revenue]])</f>
        <v>0</v>
      </c>
      <c r="I180">
        <f>COUNTBLANK(Sales_Data[[#This Row],[Quantity]])</f>
        <v>0</v>
      </c>
      <c r="J180" t="str">
        <f>TEXT(Sales_Data[[#This Row],[Date]],"yyyy-mm")</f>
        <v>2025-11</v>
      </c>
    </row>
    <row r="181" spans="1:10" x14ac:dyDescent="0.35">
      <c r="A181" t="s">
        <v>570</v>
      </c>
      <c r="B181" s="3">
        <v>45661</v>
      </c>
      <c r="C181" t="s">
        <v>47</v>
      </c>
      <c r="D181" t="s">
        <v>179</v>
      </c>
      <c r="E181" t="s">
        <v>403</v>
      </c>
      <c r="F181">
        <v>3</v>
      </c>
      <c r="G181" s="6">
        <v>66186</v>
      </c>
      <c r="H181">
        <f>COUNTBLANK(Sales_Data[[#This Row],[Revenue]])</f>
        <v>0</v>
      </c>
      <c r="I181">
        <f>COUNTBLANK(Sales_Data[[#This Row],[Quantity]])</f>
        <v>0</v>
      </c>
      <c r="J181" t="str">
        <f>TEXT(Sales_Data[[#This Row],[Date]],"yyyy-mm")</f>
        <v>2025-01</v>
      </c>
    </row>
    <row r="182" spans="1:10" x14ac:dyDescent="0.35">
      <c r="A182" t="s">
        <v>571</v>
      </c>
      <c r="B182" s="3">
        <v>45857</v>
      </c>
      <c r="C182" t="s">
        <v>51</v>
      </c>
      <c r="D182" t="s">
        <v>303</v>
      </c>
      <c r="E182" t="s">
        <v>387</v>
      </c>
      <c r="F182">
        <v>2</v>
      </c>
      <c r="G182" s="6">
        <v>62878</v>
      </c>
      <c r="H182">
        <f>COUNTBLANK(Sales_Data[[#This Row],[Revenue]])</f>
        <v>0</v>
      </c>
      <c r="I182">
        <f>COUNTBLANK(Sales_Data[[#This Row],[Quantity]])</f>
        <v>0</v>
      </c>
      <c r="J182" t="str">
        <f>TEXT(Sales_Data[[#This Row],[Date]],"yyyy-mm")</f>
        <v>2025-07</v>
      </c>
    </row>
    <row r="183" spans="1:10" x14ac:dyDescent="0.35">
      <c r="A183" t="s">
        <v>572</v>
      </c>
      <c r="B183" s="3">
        <v>45677</v>
      </c>
      <c r="C183" t="s">
        <v>55</v>
      </c>
      <c r="D183" t="s">
        <v>135</v>
      </c>
      <c r="E183" t="s">
        <v>391</v>
      </c>
      <c r="F183">
        <v>3</v>
      </c>
      <c r="G183" s="6">
        <v>34245</v>
      </c>
      <c r="H183">
        <f>COUNTBLANK(Sales_Data[[#This Row],[Revenue]])</f>
        <v>0</v>
      </c>
      <c r="I183">
        <f>COUNTBLANK(Sales_Data[[#This Row],[Quantity]])</f>
        <v>0</v>
      </c>
      <c r="J183" t="str">
        <f>TEXT(Sales_Data[[#This Row],[Date]],"yyyy-mm")</f>
        <v>2025-01</v>
      </c>
    </row>
    <row r="184" spans="1:10" x14ac:dyDescent="0.35">
      <c r="A184" t="s">
        <v>573</v>
      </c>
      <c r="B184" s="3">
        <v>45728</v>
      </c>
      <c r="C184" t="s">
        <v>10</v>
      </c>
      <c r="D184" t="s">
        <v>227</v>
      </c>
      <c r="E184" t="s">
        <v>391</v>
      </c>
      <c r="F184">
        <v>8</v>
      </c>
      <c r="G184" s="6">
        <v>36128</v>
      </c>
      <c r="H184">
        <f>COUNTBLANK(Sales_Data[[#This Row],[Revenue]])</f>
        <v>0</v>
      </c>
      <c r="I184">
        <f>COUNTBLANK(Sales_Data[[#This Row],[Quantity]])</f>
        <v>0</v>
      </c>
      <c r="J184" t="str">
        <f>TEXT(Sales_Data[[#This Row],[Date]],"yyyy-mm")</f>
        <v>2025-03</v>
      </c>
    </row>
    <row r="185" spans="1:10" x14ac:dyDescent="0.35">
      <c r="A185" t="s">
        <v>574</v>
      </c>
      <c r="B185" s="3">
        <v>45927</v>
      </c>
      <c r="C185" t="s">
        <v>51</v>
      </c>
      <c r="D185" t="s">
        <v>235</v>
      </c>
      <c r="E185" t="s">
        <v>403</v>
      </c>
      <c r="F185">
        <v>9</v>
      </c>
      <c r="G185" s="6">
        <v>282951</v>
      </c>
      <c r="H185">
        <f>COUNTBLANK(Sales_Data[[#This Row],[Revenue]])</f>
        <v>0</v>
      </c>
      <c r="I185">
        <f>COUNTBLANK(Sales_Data[[#This Row],[Quantity]])</f>
        <v>0</v>
      </c>
      <c r="J185" t="str">
        <f>TEXT(Sales_Data[[#This Row],[Date]],"yyyy-mm")</f>
        <v>2025-09</v>
      </c>
    </row>
    <row r="186" spans="1:10" x14ac:dyDescent="0.35">
      <c r="A186" t="s">
        <v>575</v>
      </c>
      <c r="B186" s="3">
        <v>45939</v>
      </c>
      <c r="C186" t="s">
        <v>7</v>
      </c>
      <c r="D186" t="s">
        <v>287</v>
      </c>
      <c r="E186" t="s">
        <v>394</v>
      </c>
      <c r="F186">
        <v>3</v>
      </c>
      <c r="G186" s="6">
        <v>78399</v>
      </c>
      <c r="H186">
        <f>COUNTBLANK(Sales_Data[[#This Row],[Revenue]])</f>
        <v>0</v>
      </c>
      <c r="I186">
        <f>COUNTBLANK(Sales_Data[[#This Row],[Quantity]])</f>
        <v>0</v>
      </c>
      <c r="J186" t="str">
        <f>TEXT(Sales_Data[[#This Row],[Date]],"yyyy-mm")</f>
        <v>2025-10</v>
      </c>
    </row>
    <row r="187" spans="1:10" x14ac:dyDescent="0.35">
      <c r="A187" t="s">
        <v>576</v>
      </c>
      <c r="B187" s="3">
        <v>45954</v>
      </c>
      <c r="C187" t="s">
        <v>47</v>
      </c>
      <c r="D187" t="s">
        <v>293</v>
      </c>
      <c r="E187" t="s">
        <v>403</v>
      </c>
      <c r="F187">
        <v>3</v>
      </c>
      <c r="G187" s="6">
        <v>66186</v>
      </c>
      <c r="H187">
        <f>COUNTBLANK(Sales_Data[[#This Row],[Revenue]])</f>
        <v>0</v>
      </c>
      <c r="I187">
        <f>COUNTBLANK(Sales_Data[[#This Row],[Quantity]])</f>
        <v>0</v>
      </c>
      <c r="J187" t="str">
        <f>TEXT(Sales_Data[[#This Row],[Date]],"yyyy-mm")</f>
        <v>2025-10</v>
      </c>
    </row>
    <row r="188" spans="1:10" x14ac:dyDescent="0.35">
      <c r="A188" t="s">
        <v>577</v>
      </c>
      <c r="B188" s="3">
        <v>45758</v>
      </c>
      <c r="C188" t="s">
        <v>23</v>
      </c>
      <c r="D188" t="s">
        <v>327</v>
      </c>
      <c r="E188" t="s">
        <v>391</v>
      </c>
      <c r="F188">
        <v>9</v>
      </c>
      <c r="G188" s="6">
        <v>54621</v>
      </c>
      <c r="H188">
        <f>COUNTBLANK(Sales_Data[[#This Row],[Revenue]])</f>
        <v>0</v>
      </c>
      <c r="I188">
        <f>COUNTBLANK(Sales_Data[[#This Row],[Quantity]])</f>
        <v>0</v>
      </c>
      <c r="J188" t="str">
        <f>TEXT(Sales_Data[[#This Row],[Date]],"yyyy-mm")</f>
        <v>2025-04</v>
      </c>
    </row>
    <row r="189" spans="1:10" x14ac:dyDescent="0.35">
      <c r="A189" t="s">
        <v>578</v>
      </c>
      <c r="B189" s="3">
        <v>45977</v>
      </c>
      <c r="C189" t="s">
        <v>63</v>
      </c>
      <c r="D189" t="s">
        <v>167</v>
      </c>
      <c r="E189" t="s">
        <v>387</v>
      </c>
      <c r="F189">
        <v>10</v>
      </c>
      <c r="G189" s="6">
        <v>87680</v>
      </c>
      <c r="H189">
        <f>COUNTBLANK(Sales_Data[[#This Row],[Revenue]])</f>
        <v>0</v>
      </c>
      <c r="I189">
        <f>COUNTBLANK(Sales_Data[[#This Row],[Quantity]])</f>
        <v>0</v>
      </c>
      <c r="J189" t="str">
        <f>TEXT(Sales_Data[[#This Row],[Date]],"yyyy-mm")</f>
        <v>2025-11</v>
      </c>
    </row>
    <row r="190" spans="1:10" x14ac:dyDescent="0.35">
      <c r="A190" t="s">
        <v>579</v>
      </c>
      <c r="B190" s="3">
        <v>45740</v>
      </c>
      <c r="C190" t="s">
        <v>55</v>
      </c>
      <c r="D190" t="s">
        <v>247</v>
      </c>
      <c r="E190" t="s">
        <v>391</v>
      </c>
      <c r="F190">
        <v>4</v>
      </c>
      <c r="G190" s="6">
        <v>45660</v>
      </c>
      <c r="H190">
        <f>COUNTBLANK(Sales_Data[[#This Row],[Revenue]])</f>
        <v>0</v>
      </c>
      <c r="I190">
        <f>COUNTBLANK(Sales_Data[[#This Row],[Quantity]])</f>
        <v>0</v>
      </c>
      <c r="J190" t="str">
        <f>TEXT(Sales_Data[[#This Row],[Date]],"yyyy-mm")</f>
        <v>2025-03</v>
      </c>
    </row>
    <row r="191" spans="1:10" x14ac:dyDescent="0.35">
      <c r="A191" t="s">
        <v>580</v>
      </c>
      <c r="B191" s="3">
        <v>45921</v>
      </c>
      <c r="C191" t="s">
        <v>19</v>
      </c>
      <c r="D191" t="s">
        <v>195</v>
      </c>
      <c r="E191" t="s">
        <v>394</v>
      </c>
      <c r="F191">
        <v>10</v>
      </c>
      <c r="G191" s="6">
        <v>421590</v>
      </c>
      <c r="H191">
        <f>COUNTBLANK(Sales_Data[[#This Row],[Revenue]])</f>
        <v>0</v>
      </c>
      <c r="I191">
        <f>COUNTBLANK(Sales_Data[[#This Row],[Quantity]])</f>
        <v>0</v>
      </c>
      <c r="J191" t="str">
        <f>TEXT(Sales_Data[[#This Row],[Date]],"yyyy-mm")</f>
        <v>2025-09</v>
      </c>
    </row>
    <row r="192" spans="1:10" x14ac:dyDescent="0.35">
      <c r="A192" t="s">
        <v>581</v>
      </c>
      <c r="B192" s="3">
        <v>46001</v>
      </c>
      <c r="C192" t="s">
        <v>33</v>
      </c>
      <c r="D192" t="s">
        <v>371</v>
      </c>
      <c r="E192" t="s">
        <v>403</v>
      </c>
      <c r="F192">
        <v>3</v>
      </c>
      <c r="G192" s="6">
        <v>108759</v>
      </c>
      <c r="H192">
        <f>COUNTBLANK(Sales_Data[[#This Row],[Revenue]])</f>
        <v>0</v>
      </c>
      <c r="I192">
        <f>COUNTBLANK(Sales_Data[[#This Row],[Quantity]])</f>
        <v>0</v>
      </c>
      <c r="J192" t="str">
        <f>TEXT(Sales_Data[[#This Row],[Date]],"yyyy-mm")</f>
        <v>2025-12</v>
      </c>
    </row>
    <row r="193" spans="1:10" x14ac:dyDescent="0.35">
      <c r="A193" t="s">
        <v>582</v>
      </c>
      <c r="B193" s="3">
        <v>45930</v>
      </c>
      <c r="C193" t="s">
        <v>21</v>
      </c>
      <c r="D193" t="s">
        <v>315</v>
      </c>
      <c r="E193" t="s">
        <v>403</v>
      </c>
      <c r="F193">
        <v>2</v>
      </c>
      <c r="G193" s="6">
        <v>30418</v>
      </c>
      <c r="H193">
        <f>COUNTBLANK(Sales_Data[[#This Row],[Revenue]])</f>
        <v>0</v>
      </c>
      <c r="I193">
        <f>COUNTBLANK(Sales_Data[[#This Row],[Quantity]])</f>
        <v>0</v>
      </c>
      <c r="J193" t="str">
        <f>TEXT(Sales_Data[[#This Row],[Date]],"yyyy-mm")</f>
        <v>2025-09</v>
      </c>
    </row>
    <row r="194" spans="1:10" x14ac:dyDescent="0.35">
      <c r="A194" t="s">
        <v>583</v>
      </c>
      <c r="B194" s="3">
        <v>45819</v>
      </c>
      <c r="C194" t="s">
        <v>19</v>
      </c>
      <c r="D194" t="s">
        <v>255</v>
      </c>
      <c r="E194" t="s">
        <v>389</v>
      </c>
      <c r="F194">
        <v>2</v>
      </c>
      <c r="G194" s="6">
        <v>84318</v>
      </c>
      <c r="H194">
        <f>COUNTBLANK(Sales_Data[[#This Row],[Revenue]])</f>
        <v>0</v>
      </c>
      <c r="I194">
        <f>COUNTBLANK(Sales_Data[[#This Row],[Quantity]])</f>
        <v>0</v>
      </c>
      <c r="J194" t="str">
        <f>TEXT(Sales_Data[[#This Row],[Date]],"yyyy-mm")</f>
        <v>2025-06</v>
      </c>
    </row>
    <row r="195" spans="1:10" x14ac:dyDescent="0.35">
      <c r="A195" t="s">
        <v>584</v>
      </c>
      <c r="B195" s="3">
        <v>45660</v>
      </c>
      <c r="C195" t="s">
        <v>41</v>
      </c>
      <c r="D195" t="s">
        <v>311</v>
      </c>
      <c r="E195" t="s">
        <v>403</v>
      </c>
      <c r="F195">
        <v>10</v>
      </c>
      <c r="G195" s="6">
        <v>212620</v>
      </c>
      <c r="H195">
        <f>COUNTBLANK(Sales_Data[[#This Row],[Revenue]])</f>
        <v>0</v>
      </c>
      <c r="I195">
        <f>COUNTBLANK(Sales_Data[[#This Row],[Quantity]])</f>
        <v>0</v>
      </c>
      <c r="J195" t="str">
        <f>TEXT(Sales_Data[[#This Row],[Date]],"yyyy-mm")</f>
        <v>2025-01</v>
      </c>
    </row>
    <row r="196" spans="1:10" x14ac:dyDescent="0.35">
      <c r="A196" t="s">
        <v>585</v>
      </c>
      <c r="B196" s="3">
        <v>45786</v>
      </c>
      <c r="C196" t="s">
        <v>33</v>
      </c>
      <c r="D196" t="s">
        <v>179</v>
      </c>
      <c r="E196" t="s">
        <v>389</v>
      </c>
      <c r="F196">
        <v>7</v>
      </c>
      <c r="G196" s="6">
        <v>253771</v>
      </c>
      <c r="H196">
        <f>COUNTBLANK(Sales_Data[[#This Row],[Revenue]])</f>
        <v>0</v>
      </c>
      <c r="I196">
        <f>COUNTBLANK(Sales_Data[[#This Row],[Quantity]])</f>
        <v>0</v>
      </c>
      <c r="J196" t="str">
        <f>TEXT(Sales_Data[[#This Row],[Date]],"yyyy-mm")</f>
        <v>2025-05</v>
      </c>
    </row>
    <row r="197" spans="1:10" x14ac:dyDescent="0.35">
      <c r="A197" t="s">
        <v>586</v>
      </c>
      <c r="B197" s="3">
        <v>45908</v>
      </c>
      <c r="C197" t="s">
        <v>41</v>
      </c>
      <c r="D197" t="s">
        <v>173</v>
      </c>
      <c r="E197" t="s">
        <v>394</v>
      </c>
      <c r="F197">
        <v>10</v>
      </c>
      <c r="G197" s="6">
        <v>212620</v>
      </c>
      <c r="H197">
        <f>COUNTBLANK(Sales_Data[[#This Row],[Revenue]])</f>
        <v>0</v>
      </c>
      <c r="I197">
        <f>COUNTBLANK(Sales_Data[[#This Row],[Quantity]])</f>
        <v>0</v>
      </c>
      <c r="J197" t="str">
        <f>TEXT(Sales_Data[[#This Row],[Date]],"yyyy-mm")</f>
        <v>2025-09</v>
      </c>
    </row>
    <row r="198" spans="1:10" x14ac:dyDescent="0.35">
      <c r="A198" t="s">
        <v>587</v>
      </c>
      <c r="B198" s="3">
        <v>45702</v>
      </c>
      <c r="C198" t="s">
        <v>47</v>
      </c>
      <c r="D198" t="s">
        <v>215</v>
      </c>
      <c r="E198" t="s">
        <v>394</v>
      </c>
      <c r="F198">
        <v>9</v>
      </c>
      <c r="G198" s="6">
        <v>198558</v>
      </c>
      <c r="H198">
        <f>COUNTBLANK(Sales_Data[[#This Row],[Revenue]])</f>
        <v>0</v>
      </c>
      <c r="I198">
        <f>COUNTBLANK(Sales_Data[[#This Row],[Quantity]])</f>
        <v>0</v>
      </c>
      <c r="J198" t="str">
        <f>TEXT(Sales_Data[[#This Row],[Date]],"yyyy-mm")</f>
        <v>2025-02</v>
      </c>
    </row>
    <row r="199" spans="1:10" x14ac:dyDescent="0.35">
      <c r="A199" t="s">
        <v>588</v>
      </c>
      <c r="B199" s="3">
        <v>45690</v>
      </c>
      <c r="C199" t="s">
        <v>67</v>
      </c>
      <c r="D199" t="s">
        <v>355</v>
      </c>
      <c r="E199" t="s">
        <v>403</v>
      </c>
      <c r="F199">
        <v>3</v>
      </c>
      <c r="G199" s="6">
        <v>64848</v>
      </c>
      <c r="H199">
        <f>COUNTBLANK(Sales_Data[[#This Row],[Revenue]])</f>
        <v>0</v>
      </c>
      <c r="I199">
        <f>COUNTBLANK(Sales_Data[[#This Row],[Quantity]])</f>
        <v>0</v>
      </c>
      <c r="J199" t="str">
        <f>TEXT(Sales_Data[[#This Row],[Date]],"yyyy-mm")</f>
        <v>2025-02</v>
      </c>
    </row>
    <row r="200" spans="1:10" x14ac:dyDescent="0.35">
      <c r="A200" t="s">
        <v>589</v>
      </c>
      <c r="B200" s="3">
        <v>45834</v>
      </c>
      <c r="C200" t="s">
        <v>53</v>
      </c>
      <c r="D200" t="s">
        <v>351</v>
      </c>
      <c r="E200" t="s">
        <v>403</v>
      </c>
      <c r="F200">
        <v>9</v>
      </c>
      <c r="G200" s="6">
        <v>37872</v>
      </c>
      <c r="H200">
        <f>COUNTBLANK(Sales_Data[[#This Row],[Revenue]])</f>
        <v>0</v>
      </c>
      <c r="I200">
        <f>COUNTBLANK(Sales_Data[[#This Row],[Quantity]])</f>
        <v>0</v>
      </c>
      <c r="J200" t="str">
        <f>TEXT(Sales_Data[[#This Row],[Date]],"yyyy-mm")</f>
        <v>2025-06</v>
      </c>
    </row>
    <row r="201" spans="1:10" x14ac:dyDescent="0.35">
      <c r="A201" t="s">
        <v>590</v>
      </c>
      <c r="B201" s="3">
        <v>45783</v>
      </c>
      <c r="C201" t="s">
        <v>21</v>
      </c>
      <c r="D201" t="s">
        <v>137</v>
      </c>
      <c r="E201" t="s">
        <v>403</v>
      </c>
      <c r="F201">
        <v>3</v>
      </c>
      <c r="G201" s="6">
        <v>45627</v>
      </c>
      <c r="H201">
        <f>COUNTBLANK(Sales_Data[[#This Row],[Revenue]])</f>
        <v>0</v>
      </c>
      <c r="I201">
        <f>COUNTBLANK(Sales_Data[[#This Row],[Quantity]])</f>
        <v>0</v>
      </c>
      <c r="J201" t="str">
        <f>TEXT(Sales_Data[[#This Row],[Date]],"yyyy-mm")</f>
        <v>2025-05</v>
      </c>
    </row>
    <row r="202" spans="1:10" x14ac:dyDescent="0.35">
      <c r="A202" t="s">
        <v>591</v>
      </c>
      <c r="B202" s="3">
        <v>45762</v>
      </c>
      <c r="C202" t="s">
        <v>57</v>
      </c>
      <c r="D202" t="s">
        <v>353</v>
      </c>
      <c r="E202" t="s">
        <v>389</v>
      </c>
      <c r="F202">
        <v>9</v>
      </c>
      <c r="G202" s="6">
        <v>439101</v>
      </c>
      <c r="H202">
        <f>COUNTBLANK(Sales_Data[[#This Row],[Revenue]])</f>
        <v>0</v>
      </c>
      <c r="I202">
        <f>COUNTBLANK(Sales_Data[[#This Row],[Quantity]])</f>
        <v>0</v>
      </c>
      <c r="J202" t="str">
        <f>TEXT(Sales_Data[[#This Row],[Date]],"yyyy-mm")</f>
        <v>2025-04</v>
      </c>
    </row>
    <row r="203" spans="1:10" x14ac:dyDescent="0.35">
      <c r="A203" t="s">
        <v>592</v>
      </c>
      <c r="B203" s="3">
        <v>45956</v>
      </c>
      <c r="C203" t="s">
        <v>35</v>
      </c>
      <c r="D203" t="s">
        <v>271</v>
      </c>
      <c r="E203" t="s">
        <v>394</v>
      </c>
      <c r="F203">
        <v>10</v>
      </c>
      <c r="G203" s="6">
        <v>494600</v>
      </c>
      <c r="H203">
        <f>COUNTBLANK(Sales_Data[[#This Row],[Revenue]])</f>
        <v>0</v>
      </c>
      <c r="I203">
        <f>COUNTBLANK(Sales_Data[[#This Row],[Quantity]])</f>
        <v>0</v>
      </c>
      <c r="J203" t="str">
        <f>TEXT(Sales_Data[[#This Row],[Date]],"yyyy-mm")</f>
        <v>2025-10</v>
      </c>
    </row>
    <row r="204" spans="1:10" x14ac:dyDescent="0.35">
      <c r="A204" t="s">
        <v>593</v>
      </c>
      <c r="B204" s="3">
        <v>45931</v>
      </c>
      <c r="C204" t="s">
        <v>41</v>
      </c>
      <c r="D204" t="s">
        <v>135</v>
      </c>
      <c r="E204" t="s">
        <v>387</v>
      </c>
      <c r="F204">
        <v>7</v>
      </c>
      <c r="G204" s="6">
        <v>148834</v>
      </c>
      <c r="H204">
        <f>COUNTBLANK(Sales_Data[[#This Row],[Revenue]])</f>
        <v>0</v>
      </c>
      <c r="I204">
        <f>COUNTBLANK(Sales_Data[[#This Row],[Quantity]])</f>
        <v>0</v>
      </c>
      <c r="J204" t="str">
        <f>TEXT(Sales_Data[[#This Row],[Date]],"yyyy-mm")</f>
        <v>2025-10</v>
      </c>
    </row>
    <row r="205" spans="1:10" x14ac:dyDescent="0.35">
      <c r="A205" t="s">
        <v>594</v>
      </c>
      <c r="B205" s="3">
        <v>45721</v>
      </c>
      <c r="C205" t="s">
        <v>27</v>
      </c>
      <c r="D205" t="s">
        <v>101</v>
      </c>
      <c r="E205" t="s">
        <v>389</v>
      </c>
      <c r="F205">
        <v>2</v>
      </c>
      <c r="G205" s="6">
        <v>75368</v>
      </c>
      <c r="H205">
        <f>COUNTBLANK(Sales_Data[[#This Row],[Revenue]])</f>
        <v>0</v>
      </c>
      <c r="I205">
        <f>COUNTBLANK(Sales_Data[[#This Row],[Quantity]])</f>
        <v>0</v>
      </c>
      <c r="J205" t="str">
        <f>TEXT(Sales_Data[[#This Row],[Date]],"yyyy-mm")</f>
        <v>2025-03</v>
      </c>
    </row>
    <row r="206" spans="1:10" x14ac:dyDescent="0.35">
      <c r="A206" t="s">
        <v>595</v>
      </c>
      <c r="B206" s="3">
        <v>45823</v>
      </c>
      <c r="C206" t="s">
        <v>33</v>
      </c>
      <c r="D206" t="s">
        <v>165</v>
      </c>
      <c r="E206" t="s">
        <v>387</v>
      </c>
      <c r="F206">
        <v>2</v>
      </c>
      <c r="G206" s="6">
        <v>72506</v>
      </c>
      <c r="H206">
        <f>COUNTBLANK(Sales_Data[[#This Row],[Revenue]])</f>
        <v>0</v>
      </c>
      <c r="I206">
        <f>COUNTBLANK(Sales_Data[[#This Row],[Quantity]])</f>
        <v>0</v>
      </c>
      <c r="J206" t="str">
        <f>TEXT(Sales_Data[[#This Row],[Date]],"yyyy-mm")</f>
        <v>2025-06</v>
      </c>
    </row>
    <row r="207" spans="1:10" x14ac:dyDescent="0.35">
      <c r="A207" t="s">
        <v>596</v>
      </c>
      <c r="B207" s="3">
        <v>45903</v>
      </c>
      <c r="C207" t="s">
        <v>35</v>
      </c>
      <c r="D207" t="s">
        <v>265</v>
      </c>
      <c r="E207" t="s">
        <v>403</v>
      </c>
      <c r="F207">
        <v>3</v>
      </c>
      <c r="G207" s="6">
        <v>148380</v>
      </c>
      <c r="H207">
        <f>COUNTBLANK(Sales_Data[[#This Row],[Revenue]])</f>
        <v>0</v>
      </c>
      <c r="I207">
        <f>COUNTBLANK(Sales_Data[[#This Row],[Quantity]])</f>
        <v>0</v>
      </c>
      <c r="J207" t="str">
        <f>TEXT(Sales_Data[[#This Row],[Date]],"yyyy-mm")</f>
        <v>2025-09</v>
      </c>
    </row>
    <row r="208" spans="1:10" x14ac:dyDescent="0.35">
      <c r="A208" t="s">
        <v>597</v>
      </c>
      <c r="B208" s="3">
        <v>45979</v>
      </c>
      <c r="C208" t="s">
        <v>65</v>
      </c>
      <c r="D208" t="s">
        <v>351</v>
      </c>
      <c r="E208" t="s">
        <v>387</v>
      </c>
      <c r="F208">
        <v>9</v>
      </c>
      <c r="G208" s="6">
        <v>4905</v>
      </c>
      <c r="H208">
        <f>COUNTBLANK(Sales_Data[[#This Row],[Revenue]])</f>
        <v>0</v>
      </c>
      <c r="I208">
        <f>COUNTBLANK(Sales_Data[[#This Row],[Quantity]])</f>
        <v>0</v>
      </c>
      <c r="J208" t="str">
        <f>TEXT(Sales_Data[[#This Row],[Date]],"yyyy-mm")</f>
        <v>2025-11</v>
      </c>
    </row>
    <row r="209" spans="1:10" x14ac:dyDescent="0.35">
      <c r="A209" t="s">
        <v>598</v>
      </c>
      <c r="B209" s="3">
        <v>45916</v>
      </c>
      <c r="C209" t="s">
        <v>7</v>
      </c>
      <c r="D209" t="s">
        <v>333</v>
      </c>
      <c r="E209" t="s">
        <v>389</v>
      </c>
      <c r="F209">
        <v>9</v>
      </c>
      <c r="G209" s="6">
        <v>235197</v>
      </c>
      <c r="H209">
        <f>COUNTBLANK(Sales_Data[[#This Row],[Revenue]])</f>
        <v>0</v>
      </c>
      <c r="I209">
        <f>COUNTBLANK(Sales_Data[[#This Row],[Quantity]])</f>
        <v>0</v>
      </c>
      <c r="J209" t="str">
        <f>TEXT(Sales_Data[[#This Row],[Date]],"yyyy-mm")</f>
        <v>2025-09</v>
      </c>
    </row>
    <row r="210" spans="1:10" x14ac:dyDescent="0.35">
      <c r="A210" t="s">
        <v>599</v>
      </c>
      <c r="B210" s="3">
        <v>45821</v>
      </c>
      <c r="C210" t="s">
        <v>31</v>
      </c>
      <c r="D210" t="s">
        <v>297</v>
      </c>
      <c r="E210" t="s">
        <v>391</v>
      </c>
      <c r="F210">
        <v>7</v>
      </c>
      <c r="G210" s="6">
        <v>209762</v>
      </c>
      <c r="H210">
        <f>COUNTBLANK(Sales_Data[[#This Row],[Revenue]])</f>
        <v>0</v>
      </c>
      <c r="I210">
        <f>COUNTBLANK(Sales_Data[[#This Row],[Quantity]])</f>
        <v>0</v>
      </c>
      <c r="J210" t="str">
        <f>TEXT(Sales_Data[[#This Row],[Date]],"yyyy-mm")</f>
        <v>2025-06</v>
      </c>
    </row>
    <row r="211" spans="1:10" x14ac:dyDescent="0.35">
      <c r="A211" t="s">
        <v>600</v>
      </c>
      <c r="B211" s="3">
        <v>45951</v>
      </c>
      <c r="C211" t="s">
        <v>53</v>
      </c>
      <c r="D211" t="s">
        <v>293</v>
      </c>
      <c r="E211" t="s">
        <v>387</v>
      </c>
      <c r="F211">
        <v>7</v>
      </c>
      <c r="G211" s="6">
        <v>29456</v>
      </c>
      <c r="H211">
        <f>COUNTBLANK(Sales_Data[[#This Row],[Revenue]])</f>
        <v>0</v>
      </c>
      <c r="I211">
        <f>COUNTBLANK(Sales_Data[[#This Row],[Quantity]])</f>
        <v>0</v>
      </c>
      <c r="J211" t="str">
        <f>TEXT(Sales_Data[[#This Row],[Date]],"yyyy-mm")</f>
        <v>2025-10</v>
      </c>
    </row>
    <row r="212" spans="1:10" x14ac:dyDescent="0.35">
      <c r="A212" t="s">
        <v>601</v>
      </c>
      <c r="B212" s="3">
        <v>45887</v>
      </c>
      <c r="C212" t="s">
        <v>16</v>
      </c>
      <c r="D212" t="s">
        <v>259</v>
      </c>
      <c r="E212" t="s">
        <v>391</v>
      </c>
      <c r="F212">
        <v>7</v>
      </c>
      <c r="G212" s="6">
        <v>223734</v>
      </c>
      <c r="H212">
        <f>COUNTBLANK(Sales_Data[[#This Row],[Revenue]])</f>
        <v>0</v>
      </c>
      <c r="I212">
        <f>COUNTBLANK(Sales_Data[[#This Row],[Quantity]])</f>
        <v>0</v>
      </c>
      <c r="J212" t="str">
        <f>TEXT(Sales_Data[[#This Row],[Date]],"yyyy-mm")</f>
        <v>2025-08</v>
      </c>
    </row>
    <row r="213" spans="1:10" x14ac:dyDescent="0.35">
      <c r="A213" t="s">
        <v>602</v>
      </c>
      <c r="B213" s="3">
        <v>45885</v>
      </c>
      <c r="C213" t="s">
        <v>27</v>
      </c>
      <c r="D213" t="s">
        <v>273</v>
      </c>
      <c r="E213" t="s">
        <v>387</v>
      </c>
      <c r="F213">
        <v>9</v>
      </c>
      <c r="G213" s="6">
        <v>339156</v>
      </c>
      <c r="H213">
        <f>COUNTBLANK(Sales_Data[[#This Row],[Revenue]])</f>
        <v>0</v>
      </c>
      <c r="I213">
        <f>COUNTBLANK(Sales_Data[[#This Row],[Quantity]])</f>
        <v>0</v>
      </c>
      <c r="J213" t="str">
        <f>TEXT(Sales_Data[[#This Row],[Date]],"yyyy-mm")</f>
        <v>2025-08</v>
      </c>
    </row>
    <row r="214" spans="1:10" x14ac:dyDescent="0.35">
      <c r="A214" t="s">
        <v>603</v>
      </c>
      <c r="B214" s="3">
        <v>45995</v>
      </c>
      <c r="C214" t="s">
        <v>33</v>
      </c>
      <c r="D214" t="s">
        <v>121</v>
      </c>
      <c r="E214" t="s">
        <v>391</v>
      </c>
      <c r="F214">
        <v>3</v>
      </c>
      <c r="G214" s="6">
        <v>108759</v>
      </c>
      <c r="H214">
        <f>COUNTBLANK(Sales_Data[[#This Row],[Revenue]])</f>
        <v>0</v>
      </c>
      <c r="I214">
        <f>COUNTBLANK(Sales_Data[[#This Row],[Quantity]])</f>
        <v>0</v>
      </c>
      <c r="J214" t="str">
        <f>TEXT(Sales_Data[[#This Row],[Date]],"yyyy-mm")</f>
        <v>2025-12</v>
      </c>
    </row>
    <row r="215" spans="1:10" x14ac:dyDescent="0.35">
      <c r="A215" t="s">
        <v>604</v>
      </c>
      <c r="B215" s="3">
        <v>45713</v>
      </c>
      <c r="C215" t="s">
        <v>4</v>
      </c>
      <c r="D215" t="s">
        <v>275</v>
      </c>
      <c r="E215" t="s">
        <v>403</v>
      </c>
      <c r="F215">
        <v>2</v>
      </c>
      <c r="G215" s="6">
        <v>23630</v>
      </c>
      <c r="H215">
        <f>COUNTBLANK(Sales_Data[[#This Row],[Revenue]])</f>
        <v>0</v>
      </c>
      <c r="I215">
        <f>COUNTBLANK(Sales_Data[[#This Row],[Quantity]])</f>
        <v>0</v>
      </c>
      <c r="J215" t="str">
        <f>TEXT(Sales_Data[[#This Row],[Date]],"yyyy-mm")</f>
        <v>2025-02</v>
      </c>
    </row>
    <row r="216" spans="1:10" x14ac:dyDescent="0.35">
      <c r="A216" t="s">
        <v>605</v>
      </c>
      <c r="B216" s="3">
        <v>45668</v>
      </c>
      <c r="C216" t="s">
        <v>67</v>
      </c>
      <c r="D216" t="s">
        <v>145</v>
      </c>
      <c r="E216" t="s">
        <v>394</v>
      </c>
      <c r="F216">
        <v>9</v>
      </c>
      <c r="G216" s="6">
        <v>194544</v>
      </c>
      <c r="H216">
        <f>COUNTBLANK(Sales_Data[[#This Row],[Revenue]])</f>
        <v>0</v>
      </c>
      <c r="I216">
        <f>COUNTBLANK(Sales_Data[[#This Row],[Quantity]])</f>
        <v>0</v>
      </c>
      <c r="J216" t="str">
        <f>TEXT(Sales_Data[[#This Row],[Date]],"yyyy-mm")</f>
        <v>2025-01</v>
      </c>
    </row>
    <row r="217" spans="1:10" x14ac:dyDescent="0.35">
      <c r="A217" t="s">
        <v>606</v>
      </c>
      <c r="B217" s="3">
        <v>45836</v>
      </c>
      <c r="C217" t="s">
        <v>37</v>
      </c>
      <c r="D217" t="s">
        <v>99</v>
      </c>
      <c r="E217" t="s">
        <v>391</v>
      </c>
      <c r="F217">
        <v>6</v>
      </c>
      <c r="G217" s="6">
        <v>11718</v>
      </c>
      <c r="H217">
        <f>COUNTBLANK(Sales_Data[[#This Row],[Revenue]])</f>
        <v>0</v>
      </c>
      <c r="I217">
        <f>COUNTBLANK(Sales_Data[[#This Row],[Quantity]])</f>
        <v>0</v>
      </c>
      <c r="J217" t="str">
        <f>TEXT(Sales_Data[[#This Row],[Date]],"yyyy-mm")</f>
        <v>2025-06</v>
      </c>
    </row>
    <row r="218" spans="1:10" x14ac:dyDescent="0.35">
      <c r="A218" t="s">
        <v>607</v>
      </c>
      <c r="B218" s="3">
        <v>45767</v>
      </c>
      <c r="C218" t="s">
        <v>41</v>
      </c>
      <c r="D218" t="s">
        <v>139</v>
      </c>
      <c r="E218" t="s">
        <v>389</v>
      </c>
      <c r="F218">
        <v>8</v>
      </c>
      <c r="G218" s="6">
        <v>170096</v>
      </c>
      <c r="H218">
        <f>COUNTBLANK(Sales_Data[[#This Row],[Revenue]])</f>
        <v>0</v>
      </c>
      <c r="I218">
        <f>COUNTBLANK(Sales_Data[[#This Row],[Quantity]])</f>
        <v>0</v>
      </c>
      <c r="J218" t="str">
        <f>TEXT(Sales_Data[[#This Row],[Date]],"yyyy-mm")</f>
        <v>2025-04</v>
      </c>
    </row>
    <row r="219" spans="1:10" x14ac:dyDescent="0.35">
      <c r="A219" t="s">
        <v>608</v>
      </c>
      <c r="B219" s="3">
        <v>45927</v>
      </c>
      <c r="C219" t="s">
        <v>25</v>
      </c>
      <c r="D219" t="s">
        <v>145</v>
      </c>
      <c r="E219" t="s">
        <v>389</v>
      </c>
      <c r="F219">
        <v>7</v>
      </c>
      <c r="G219" s="6">
        <v>127701</v>
      </c>
      <c r="H219">
        <f>COUNTBLANK(Sales_Data[[#This Row],[Revenue]])</f>
        <v>0</v>
      </c>
      <c r="I219">
        <f>COUNTBLANK(Sales_Data[[#This Row],[Quantity]])</f>
        <v>0</v>
      </c>
      <c r="J219" t="str">
        <f>TEXT(Sales_Data[[#This Row],[Date]],"yyyy-mm")</f>
        <v>2025-09</v>
      </c>
    </row>
    <row r="220" spans="1:10" x14ac:dyDescent="0.35">
      <c r="A220" t="s">
        <v>609</v>
      </c>
      <c r="B220" s="3">
        <v>45811</v>
      </c>
      <c r="C220" t="s">
        <v>16</v>
      </c>
      <c r="D220" t="s">
        <v>257</v>
      </c>
      <c r="E220" t="s">
        <v>391</v>
      </c>
      <c r="F220">
        <v>10</v>
      </c>
      <c r="G220" s="6">
        <v>319620</v>
      </c>
      <c r="H220">
        <f>COUNTBLANK(Sales_Data[[#This Row],[Revenue]])</f>
        <v>0</v>
      </c>
      <c r="I220">
        <f>COUNTBLANK(Sales_Data[[#This Row],[Quantity]])</f>
        <v>0</v>
      </c>
      <c r="J220" t="str">
        <f>TEXT(Sales_Data[[#This Row],[Date]],"yyyy-mm")</f>
        <v>2025-06</v>
      </c>
    </row>
    <row r="221" spans="1:10" x14ac:dyDescent="0.35">
      <c r="A221" t="s">
        <v>610</v>
      </c>
      <c r="B221" s="3">
        <v>45843</v>
      </c>
      <c r="C221" t="s">
        <v>7</v>
      </c>
      <c r="D221" t="s">
        <v>275</v>
      </c>
      <c r="E221" t="s">
        <v>389</v>
      </c>
      <c r="F221">
        <v>7</v>
      </c>
      <c r="G221" s="6">
        <v>182931</v>
      </c>
      <c r="H221">
        <f>COUNTBLANK(Sales_Data[[#This Row],[Revenue]])</f>
        <v>0</v>
      </c>
      <c r="I221">
        <f>COUNTBLANK(Sales_Data[[#This Row],[Quantity]])</f>
        <v>0</v>
      </c>
      <c r="J221" t="str">
        <f>TEXT(Sales_Data[[#This Row],[Date]],"yyyy-mm")</f>
        <v>2025-07</v>
      </c>
    </row>
    <row r="222" spans="1:10" x14ac:dyDescent="0.35">
      <c r="A222" t="s">
        <v>611</v>
      </c>
      <c r="B222" s="3">
        <v>45796</v>
      </c>
      <c r="C222" t="s">
        <v>16</v>
      </c>
      <c r="D222" t="s">
        <v>373</v>
      </c>
      <c r="E222" t="s">
        <v>394</v>
      </c>
      <c r="F222">
        <v>6</v>
      </c>
      <c r="G222" s="6">
        <v>191772</v>
      </c>
      <c r="H222">
        <f>COUNTBLANK(Sales_Data[[#This Row],[Revenue]])</f>
        <v>0</v>
      </c>
      <c r="I222">
        <f>COUNTBLANK(Sales_Data[[#This Row],[Quantity]])</f>
        <v>0</v>
      </c>
      <c r="J222" t="str">
        <f>TEXT(Sales_Data[[#This Row],[Date]],"yyyy-mm")</f>
        <v>2025-05</v>
      </c>
    </row>
    <row r="223" spans="1:10" x14ac:dyDescent="0.35">
      <c r="A223" t="s">
        <v>612</v>
      </c>
      <c r="B223" s="3">
        <v>45699</v>
      </c>
      <c r="C223" t="s">
        <v>45</v>
      </c>
      <c r="D223" t="s">
        <v>233</v>
      </c>
      <c r="E223" t="s">
        <v>403</v>
      </c>
      <c r="F223">
        <v>7</v>
      </c>
      <c r="G223" s="6">
        <v>54782</v>
      </c>
      <c r="H223">
        <f>COUNTBLANK(Sales_Data[[#This Row],[Revenue]])</f>
        <v>0</v>
      </c>
      <c r="I223">
        <f>COUNTBLANK(Sales_Data[[#This Row],[Quantity]])</f>
        <v>0</v>
      </c>
      <c r="J223" t="str">
        <f>TEXT(Sales_Data[[#This Row],[Date]],"yyyy-mm")</f>
        <v>2025-02</v>
      </c>
    </row>
    <row r="224" spans="1:10" x14ac:dyDescent="0.35">
      <c r="A224" t="s">
        <v>613</v>
      </c>
      <c r="B224" s="3">
        <v>45787</v>
      </c>
      <c r="C224" t="s">
        <v>39</v>
      </c>
      <c r="D224" t="s">
        <v>245</v>
      </c>
      <c r="E224" t="s">
        <v>391</v>
      </c>
      <c r="F224">
        <v>10</v>
      </c>
      <c r="G224" s="6">
        <v>482880</v>
      </c>
      <c r="H224">
        <f>COUNTBLANK(Sales_Data[[#This Row],[Revenue]])</f>
        <v>0</v>
      </c>
      <c r="I224">
        <f>COUNTBLANK(Sales_Data[[#This Row],[Quantity]])</f>
        <v>0</v>
      </c>
      <c r="J224" t="str">
        <f>TEXT(Sales_Data[[#This Row],[Date]],"yyyy-mm")</f>
        <v>2025-05</v>
      </c>
    </row>
    <row r="225" spans="1:10" x14ac:dyDescent="0.35">
      <c r="A225" t="s">
        <v>614</v>
      </c>
      <c r="B225" s="3">
        <v>45945</v>
      </c>
      <c r="C225" t="s">
        <v>57</v>
      </c>
      <c r="D225" t="s">
        <v>111</v>
      </c>
      <c r="E225" t="s">
        <v>403</v>
      </c>
      <c r="F225">
        <v>2</v>
      </c>
      <c r="G225" s="6">
        <v>97578</v>
      </c>
      <c r="H225">
        <f>COUNTBLANK(Sales_Data[[#This Row],[Revenue]])</f>
        <v>0</v>
      </c>
      <c r="I225">
        <f>COUNTBLANK(Sales_Data[[#This Row],[Quantity]])</f>
        <v>0</v>
      </c>
      <c r="J225" t="str">
        <f>TEXT(Sales_Data[[#This Row],[Date]],"yyyy-mm")</f>
        <v>2025-10</v>
      </c>
    </row>
    <row r="226" spans="1:10" x14ac:dyDescent="0.35">
      <c r="A226" t="s">
        <v>615</v>
      </c>
      <c r="B226" s="3">
        <v>45688</v>
      </c>
      <c r="C226" t="s">
        <v>33</v>
      </c>
      <c r="D226" t="s">
        <v>111</v>
      </c>
      <c r="E226" t="s">
        <v>394</v>
      </c>
      <c r="F226">
        <v>6</v>
      </c>
      <c r="G226" s="6">
        <v>217518</v>
      </c>
      <c r="H226">
        <f>COUNTBLANK(Sales_Data[[#This Row],[Revenue]])</f>
        <v>0</v>
      </c>
      <c r="I226">
        <f>COUNTBLANK(Sales_Data[[#This Row],[Quantity]])</f>
        <v>0</v>
      </c>
      <c r="J226" t="str">
        <f>TEXT(Sales_Data[[#This Row],[Date]],"yyyy-mm")</f>
        <v>2025-01</v>
      </c>
    </row>
    <row r="227" spans="1:10" x14ac:dyDescent="0.35">
      <c r="A227" t="s">
        <v>616</v>
      </c>
      <c r="B227" s="3">
        <v>45824</v>
      </c>
      <c r="C227" t="s">
        <v>29</v>
      </c>
      <c r="D227" t="s">
        <v>379</v>
      </c>
      <c r="E227" t="s">
        <v>391</v>
      </c>
      <c r="F227">
        <v>3</v>
      </c>
      <c r="G227" s="6">
        <v>127932</v>
      </c>
      <c r="H227">
        <f>COUNTBLANK(Sales_Data[[#This Row],[Revenue]])</f>
        <v>0</v>
      </c>
      <c r="I227">
        <f>COUNTBLANK(Sales_Data[[#This Row],[Quantity]])</f>
        <v>0</v>
      </c>
      <c r="J227" t="str">
        <f>TEXT(Sales_Data[[#This Row],[Date]],"yyyy-mm")</f>
        <v>2025-06</v>
      </c>
    </row>
    <row r="228" spans="1:10" x14ac:dyDescent="0.35">
      <c r="A228" t="s">
        <v>617</v>
      </c>
      <c r="B228" s="3">
        <v>45693</v>
      </c>
      <c r="C228" t="s">
        <v>29</v>
      </c>
      <c r="D228" t="s">
        <v>91</v>
      </c>
      <c r="E228" t="s">
        <v>387</v>
      </c>
      <c r="F228">
        <v>7</v>
      </c>
      <c r="G228" s="6">
        <v>298508</v>
      </c>
      <c r="H228">
        <f>COUNTBLANK(Sales_Data[[#This Row],[Revenue]])</f>
        <v>0</v>
      </c>
      <c r="I228">
        <f>COUNTBLANK(Sales_Data[[#This Row],[Quantity]])</f>
        <v>0</v>
      </c>
      <c r="J228" t="str">
        <f>TEXT(Sales_Data[[#This Row],[Date]],"yyyy-mm")</f>
        <v>2025-02</v>
      </c>
    </row>
    <row r="229" spans="1:10" x14ac:dyDescent="0.35">
      <c r="A229" t="s">
        <v>618</v>
      </c>
      <c r="B229" s="3">
        <v>45887</v>
      </c>
      <c r="C229" t="s">
        <v>61</v>
      </c>
      <c r="D229" t="s">
        <v>157</v>
      </c>
      <c r="E229" t="s">
        <v>389</v>
      </c>
      <c r="F229">
        <v>3</v>
      </c>
      <c r="G229" s="6">
        <v>75048</v>
      </c>
      <c r="H229">
        <f>COUNTBLANK(Sales_Data[[#This Row],[Revenue]])</f>
        <v>0</v>
      </c>
      <c r="I229">
        <f>COUNTBLANK(Sales_Data[[#This Row],[Quantity]])</f>
        <v>0</v>
      </c>
      <c r="J229" t="str">
        <f>TEXT(Sales_Data[[#This Row],[Date]],"yyyy-mm")</f>
        <v>2025-08</v>
      </c>
    </row>
    <row r="230" spans="1:10" x14ac:dyDescent="0.35">
      <c r="A230" t="s">
        <v>619</v>
      </c>
      <c r="B230" s="3">
        <v>45839</v>
      </c>
      <c r="C230" t="s">
        <v>57</v>
      </c>
      <c r="D230" t="s">
        <v>243</v>
      </c>
      <c r="E230" t="s">
        <v>391</v>
      </c>
      <c r="F230">
        <v>4</v>
      </c>
      <c r="G230" s="6">
        <v>195156</v>
      </c>
      <c r="H230">
        <f>COUNTBLANK(Sales_Data[[#This Row],[Revenue]])</f>
        <v>0</v>
      </c>
      <c r="I230">
        <f>COUNTBLANK(Sales_Data[[#This Row],[Quantity]])</f>
        <v>0</v>
      </c>
      <c r="J230" t="str">
        <f>TEXT(Sales_Data[[#This Row],[Date]],"yyyy-mm")</f>
        <v>2025-07</v>
      </c>
    </row>
    <row r="231" spans="1:10" x14ac:dyDescent="0.35">
      <c r="A231" t="s">
        <v>620</v>
      </c>
      <c r="B231" s="3">
        <v>45963</v>
      </c>
      <c r="C231" t="s">
        <v>67</v>
      </c>
      <c r="D231" t="s">
        <v>201</v>
      </c>
      <c r="E231" t="s">
        <v>403</v>
      </c>
      <c r="F231">
        <v>7</v>
      </c>
      <c r="G231" s="6">
        <v>151312</v>
      </c>
      <c r="H231">
        <f>COUNTBLANK(Sales_Data[[#This Row],[Revenue]])</f>
        <v>0</v>
      </c>
      <c r="I231">
        <f>COUNTBLANK(Sales_Data[[#This Row],[Quantity]])</f>
        <v>0</v>
      </c>
      <c r="J231" t="str">
        <f>TEXT(Sales_Data[[#This Row],[Date]],"yyyy-mm")</f>
        <v>2025-11</v>
      </c>
    </row>
    <row r="232" spans="1:10" x14ac:dyDescent="0.35">
      <c r="A232" t="s">
        <v>621</v>
      </c>
      <c r="B232" s="3">
        <v>45707</v>
      </c>
      <c r="C232" t="s">
        <v>37</v>
      </c>
      <c r="D232" t="s">
        <v>201</v>
      </c>
      <c r="E232" t="s">
        <v>394</v>
      </c>
      <c r="F232">
        <v>3</v>
      </c>
      <c r="G232" s="6">
        <v>5859</v>
      </c>
      <c r="H232">
        <f>COUNTBLANK(Sales_Data[[#This Row],[Revenue]])</f>
        <v>0</v>
      </c>
      <c r="I232">
        <f>COUNTBLANK(Sales_Data[[#This Row],[Quantity]])</f>
        <v>0</v>
      </c>
      <c r="J232" t="str">
        <f>TEXT(Sales_Data[[#This Row],[Date]],"yyyy-mm")</f>
        <v>2025-02</v>
      </c>
    </row>
    <row r="233" spans="1:10" x14ac:dyDescent="0.35">
      <c r="A233" t="s">
        <v>622</v>
      </c>
      <c r="B233" s="3">
        <v>46012</v>
      </c>
      <c r="C233" t="s">
        <v>63</v>
      </c>
      <c r="D233" t="s">
        <v>213</v>
      </c>
      <c r="E233" t="s">
        <v>403</v>
      </c>
      <c r="F233">
        <v>2</v>
      </c>
      <c r="G233" s="6">
        <v>17536</v>
      </c>
      <c r="H233">
        <f>COUNTBLANK(Sales_Data[[#This Row],[Revenue]])</f>
        <v>0</v>
      </c>
      <c r="I233">
        <f>COUNTBLANK(Sales_Data[[#This Row],[Quantity]])</f>
        <v>0</v>
      </c>
      <c r="J233" t="str">
        <f>TEXT(Sales_Data[[#This Row],[Date]],"yyyy-mm")</f>
        <v>2025-12</v>
      </c>
    </row>
    <row r="234" spans="1:10" x14ac:dyDescent="0.35">
      <c r="A234" t="s">
        <v>623</v>
      </c>
      <c r="B234" s="3">
        <v>45899</v>
      </c>
      <c r="C234" t="s">
        <v>23</v>
      </c>
      <c r="D234" t="s">
        <v>125</v>
      </c>
      <c r="E234" t="s">
        <v>403</v>
      </c>
      <c r="F234">
        <v>9</v>
      </c>
      <c r="G234" s="6">
        <v>54621</v>
      </c>
      <c r="H234">
        <f>COUNTBLANK(Sales_Data[[#This Row],[Revenue]])</f>
        <v>0</v>
      </c>
      <c r="I234">
        <f>COUNTBLANK(Sales_Data[[#This Row],[Quantity]])</f>
        <v>0</v>
      </c>
      <c r="J234" t="str">
        <f>TEXT(Sales_Data[[#This Row],[Date]],"yyyy-mm")</f>
        <v>2025-08</v>
      </c>
    </row>
    <row r="235" spans="1:10" x14ac:dyDescent="0.35">
      <c r="A235" t="s">
        <v>624</v>
      </c>
      <c r="B235" s="3">
        <v>46013</v>
      </c>
      <c r="C235" t="s">
        <v>55</v>
      </c>
      <c r="D235" t="s">
        <v>243</v>
      </c>
      <c r="E235" t="s">
        <v>403</v>
      </c>
      <c r="F235">
        <v>5</v>
      </c>
      <c r="G235" s="6">
        <v>57075</v>
      </c>
      <c r="H235">
        <f>COUNTBLANK(Sales_Data[[#This Row],[Revenue]])</f>
        <v>0</v>
      </c>
      <c r="I235">
        <f>COUNTBLANK(Sales_Data[[#This Row],[Quantity]])</f>
        <v>0</v>
      </c>
      <c r="J235" t="str">
        <f>TEXT(Sales_Data[[#This Row],[Date]],"yyyy-mm")</f>
        <v>2025-12</v>
      </c>
    </row>
    <row r="236" spans="1:10" x14ac:dyDescent="0.35">
      <c r="A236" t="s">
        <v>625</v>
      </c>
      <c r="B236" s="3">
        <v>45960</v>
      </c>
      <c r="C236" t="s">
        <v>23</v>
      </c>
      <c r="D236" t="s">
        <v>281</v>
      </c>
      <c r="E236" t="s">
        <v>403</v>
      </c>
      <c r="F236">
        <v>3</v>
      </c>
      <c r="G236" s="6">
        <v>18207</v>
      </c>
      <c r="H236">
        <f>COUNTBLANK(Sales_Data[[#This Row],[Revenue]])</f>
        <v>0</v>
      </c>
      <c r="I236">
        <f>COUNTBLANK(Sales_Data[[#This Row],[Quantity]])</f>
        <v>0</v>
      </c>
      <c r="J236" t="str">
        <f>TEXT(Sales_Data[[#This Row],[Date]],"yyyy-mm")</f>
        <v>2025-10</v>
      </c>
    </row>
    <row r="237" spans="1:10" x14ac:dyDescent="0.35">
      <c r="A237" t="s">
        <v>626</v>
      </c>
      <c r="B237" s="3">
        <v>45969</v>
      </c>
      <c r="C237" t="s">
        <v>43</v>
      </c>
      <c r="D237" t="s">
        <v>225</v>
      </c>
      <c r="E237" t="s">
        <v>394</v>
      </c>
      <c r="F237">
        <v>1</v>
      </c>
      <c r="G237" s="6">
        <v>37825</v>
      </c>
      <c r="H237">
        <f>COUNTBLANK(Sales_Data[[#This Row],[Revenue]])</f>
        <v>0</v>
      </c>
      <c r="I237">
        <f>COUNTBLANK(Sales_Data[[#This Row],[Quantity]])</f>
        <v>0</v>
      </c>
      <c r="J237" t="str">
        <f>TEXT(Sales_Data[[#This Row],[Date]],"yyyy-mm")</f>
        <v>2025-11</v>
      </c>
    </row>
    <row r="238" spans="1:10" x14ac:dyDescent="0.35">
      <c r="A238" t="s">
        <v>627</v>
      </c>
      <c r="B238" s="3">
        <v>46011</v>
      </c>
      <c r="C238" t="s">
        <v>23</v>
      </c>
      <c r="D238" t="s">
        <v>277</v>
      </c>
      <c r="E238" t="s">
        <v>394</v>
      </c>
      <c r="F238">
        <v>7</v>
      </c>
      <c r="G238" s="6">
        <v>42483</v>
      </c>
      <c r="H238">
        <f>COUNTBLANK(Sales_Data[[#This Row],[Revenue]])</f>
        <v>0</v>
      </c>
      <c r="I238">
        <f>COUNTBLANK(Sales_Data[[#This Row],[Quantity]])</f>
        <v>0</v>
      </c>
      <c r="J238" t="str">
        <f>TEXT(Sales_Data[[#This Row],[Date]],"yyyy-mm")</f>
        <v>2025-12</v>
      </c>
    </row>
    <row r="239" spans="1:10" x14ac:dyDescent="0.35">
      <c r="A239" t="s">
        <v>628</v>
      </c>
      <c r="B239" s="3">
        <v>45810</v>
      </c>
      <c r="C239" t="s">
        <v>55</v>
      </c>
      <c r="D239" t="s">
        <v>223</v>
      </c>
      <c r="E239" t="s">
        <v>387</v>
      </c>
      <c r="F239">
        <v>7</v>
      </c>
      <c r="G239" s="6">
        <v>79905</v>
      </c>
      <c r="H239">
        <f>COUNTBLANK(Sales_Data[[#This Row],[Revenue]])</f>
        <v>0</v>
      </c>
      <c r="I239">
        <f>COUNTBLANK(Sales_Data[[#This Row],[Quantity]])</f>
        <v>0</v>
      </c>
      <c r="J239" t="str">
        <f>TEXT(Sales_Data[[#This Row],[Date]],"yyyy-mm")</f>
        <v>2025-06</v>
      </c>
    </row>
    <row r="240" spans="1:10" x14ac:dyDescent="0.35">
      <c r="A240" t="s">
        <v>629</v>
      </c>
      <c r="B240" s="3">
        <v>45913</v>
      </c>
      <c r="C240" t="s">
        <v>39</v>
      </c>
      <c r="D240" t="s">
        <v>209</v>
      </c>
      <c r="E240" t="s">
        <v>403</v>
      </c>
      <c r="F240">
        <v>2</v>
      </c>
      <c r="G240" s="6">
        <v>96576</v>
      </c>
      <c r="H240">
        <f>COUNTBLANK(Sales_Data[[#This Row],[Revenue]])</f>
        <v>0</v>
      </c>
      <c r="I240">
        <f>COUNTBLANK(Sales_Data[[#This Row],[Quantity]])</f>
        <v>0</v>
      </c>
      <c r="J240" t="str">
        <f>TEXT(Sales_Data[[#This Row],[Date]],"yyyy-mm")</f>
        <v>2025-09</v>
      </c>
    </row>
    <row r="241" spans="1:10" x14ac:dyDescent="0.35">
      <c r="A241" t="s">
        <v>630</v>
      </c>
      <c r="B241" s="3">
        <v>45946</v>
      </c>
      <c r="C241" t="s">
        <v>13</v>
      </c>
      <c r="D241" t="s">
        <v>97</v>
      </c>
      <c r="E241" t="s">
        <v>391</v>
      </c>
      <c r="F241">
        <v>3</v>
      </c>
      <c r="G241" s="6">
        <v>90531</v>
      </c>
      <c r="H241">
        <f>COUNTBLANK(Sales_Data[[#This Row],[Revenue]])</f>
        <v>0</v>
      </c>
      <c r="I241">
        <f>COUNTBLANK(Sales_Data[[#This Row],[Quantity]])</f>
        <v>0</v>
      </c>
      <c r="J241" t="str">
        <f>TEXT(Sales_Data[[#This Row],[Date]],"yyyy-mm")</f>
        <v>2025-10</v>
      </c>
    </row>
    <row r="242" spans="1:10" x14ac:dyDescent="0.35">
      <c r="A242" t="s">
        <v>631</v>
      </c>
      <c r="B242" s="3">
        <v>45861</v>
      </c>
      <c r="C242" t="s">
        <v>43</v>
      </c>
      <c r="D242" t="s">
        <v>169</v>
      </c>
      <c r="E242" t="s">
        <v>391</v>
      </c>
      <c r="F242">
        <v>4</v>
      </c>
      <c r="G242" s="6">
        <v>151300</v>
      </c>
      <c r="H242">
        <f>COUNTBLANK(Sales_Data[[#This Row],[Revenue]])</f>
        <v>0</v>
      </c>
      <c r="I242">
        <f>COUNTBLANK(Sales_Data[[#This Row],[Quantity]])</f>
        <v>0</v>
      </c>
      <c r="J242" t="str">
        <f>TEXT(Sales_Data[[#This Row],[Date]],"yyyy-mm")</f>
        <v>2025-07</v>
      </c>
    </row>
    <row r="243" spans="1:10" x14ac:dyDescent="0.35">
      <c r="A243" t="s">
        <v>632</v>
      </c>
      <c r="B243" s="3">
        <v>45676</v>
      </c>
      <c r="C243" t="s">
        <v>35</v>
      </c>
      <c r="D243" t="s">
        <v>235</v>
      </c>
      <c r="E243" t="s">
        <v>391</v>
      </c>
      <c r="F243">
        <v>10</v>
      </c>
      <c r="G243" s="6">
        <v>494600</v>
      </c>
      <c r="H243">
        <f>COUNTBLANK(Sales_Data[[#This Row],[Revenue]])</f>
        <v>0</v>
      </c>
      <c r="I243">
        <f>COUNTBLANK(Sales_Data[[#This Row],[Quantity]])</f>
        <v>0</v>
      </c>
      <c r="J243" t="str">
        <f>TEXT(Sales_Data[[#This Row],[Date]],"yyyy-mm")</f>
        <v>2025-01</v>
      </c>
    </row>
    <row r="244" spans="1:10" x14ac:dyDescent="0.35">
      <c r="A244" t="s">
        <v>633</v>
      </c>
      <c r="B244" s="3">
        <v>46003</v>
      </c>
      <c r="C244" t="s">
        <v>39</v>
      </c>
      <c r="D244" t="s">
        <v>313</v>
      </c>
      <c r="E244" t="s">
        <v>391</v>
      </c>
      <c r="F244">
        <v>1</v>
      </c>
      <c r="G244" s="6">
        <v>48288</v>
      </c>
      <c r="H244">
        <f>COUNTBLANK(Sales_Data[[#This Row],[Revenue]])</f>
        <v>0</v>
      </c>
      <c r="I244">
        <f>COUNTBLANK(Sales_Data[[#This Row],[Quantity]])</f>
        <v>0</v>
      </c>
      <c r="J244" t="str">
        <f>TEXT(Sales_Data[[#This Row],[Date]],"yyyy-mm")</f>
        <v>2025-12</v>
      </c>
    </row>
    <row r="245" spans="1:10" x14ac:dyDescent="0.35">
      <c r="A245" t="s">
        <v>634</v>
      </c>
      <c r="B245" s="3">
        <v>45702</v>
      </c>
      <c r="C245" t="s">
        <v>39</v>
      </c>
      <c r="D245" t="s">
        <v>357</v>
      </c>
      <c r="E245" t="s">
        <v>389</v>
      </c>
      <c r="F245">
        <v>10</v>
      </c>
      <c r="G245" s="6">
        <v>482880</v>
      </c>
      <c r="H245">
        <f>COUNTBLANK(Sales_Data[[#This Row],[Revenue]])</f>
        <v>0</v>
      </c>
      <c r="I245">
        <f>COUNTBLANK(Sales_Data[[#This Row],[Quantity]])</f>
        <v>0</v>
      </c>
      <c r="J245" t="str">
        <f>TEXT(Sales_Data[[#This Row],[Date]],"yyyy-mm")</f>
        <v>2025-02</v>
      </c>
    </row>
    <row r="246" spans="1:10" x14ac:dyDescent="0.35">
      <c r="A246" t="s">
        <v>635</v>
      </c>
      <c r="B246" s="3">
        <v>45852</v>
      </c>
      <c r="C246" t="s">
        <v>63</v>
      </c>
      <c r="D246" t="s">
        <v>173</v>
      </c>
      <c r="E246" t="s">
        <v>387</v>
      </c>
      <c r="F246">
        <v>8</v>
      </c>
      <c r="G246" s="6">
        <v>70144</v>
      </c>
      <c r="H246">
        <f>COUNTBLANK(Sales_Data[[#This Row],[Revenue]])</f>
        <v>0</v>
      </c>
      <c r="I246">
        <f>COUNTBLANK(Sales_Data[[#This Row],[Quantity]])</f>
        <v>0</v>
      </c>
      <c r="J246" t="str">
        <f>TEXT(Sales_Data[[#This Row],[Date]],"yyyy-mm")</f>
        <v>2025-07</v>
      </c>
    </row>
    <row r="247" spans="1:10" x14ac:dyDescent="0.35">
      <c r="A247" t="s">
        <v>636</v>
      </c>
      <c r="B247" s="3">
        <v>45771</v>
      </c>
      <c r="C247" t="s">
        <v>65</v>
      </c>
      <c r="D247" t="s">
        <v>211</v>
      </c>
      <c r="E247" t="s">
        <v>394</v>
      </c>
      <c r="F247">
        <v>3</v>
      </c>
      <c r="G247" s="6">
        <v>1635</v>
      </c>
      <c r="H247">
        <f>COUNTBLANK(Sales_Data[[#This Row],[Revenue]])</f>
        <v>0</v>
      </c>
      <c r="I247">
        <f>COUNTBLANK(Sales_Data[[#This Row],[Quantity]])</f>
        <v>0</v>
      </c>
      <c r="J247" t="str">
        <f>TEXT(Sales_Data[[#This Row],[Date]],"yyyy-mm")</f>
        <v>2025-04</v>
      </c>
    </row>
    <row r="248" spans="1:10" x14ac:dyDescent="0.35">
      <c r="A248" t="s">
        <v>637</v>
      </c>
      <c r="B248" s="3">
        <v>45997</v>
      </c>
      <c r="C248" t="s">
        <v>23</v>
      </c>
      <c r="D248" t="s">
        <v>95</v>
      </c>
      <c r="E248" t="s">
        <v>403</v>
      </c>
      <c r="F248">
        <v>2</v>
      </c>
      <c r="G248" s="6">
        <v>12138</v>
      </c>
      <c r="H248">
        <f>COUNTBLANK(Sales_Data[[#This Row],[Revenue]])</f>
        <v>0</v>
      </c>
      <c r="I248">
        <f>COUNTBLANK(Sales_Data[[#This Row],[Quantity]])</f>
        <v>0</v>
      </c>
      <c r="J248" t="str">
        <f>TEXT(Sales_Data[[#This Row],[Date]],"yyyy-mm")</f>
        <v>2025-12</v>
      </c>
    </row>
    <row r="249" spans="1:10" x14ac:dyDescent="0.35">
      <c r="A249" t="s">
        <v>638</v>
      </c>
      <c r="B249" s="3">
        <v>45930</v>
      </c>
      <c r="C249" t="s">
        <v>35</v>
      </c>
      <c r="D249" t="s">
        <v>81</v>
      </c>
      <c r="E249" t="s">
        <v>394</v>
      </c>
      <c r="F249">
        <v>7</v>
      </c>
      <c r="G249" s="6">
        <v>346220</v>
      </c>
      <c r="H249">
        <f>COUNTBLANK(Sales_Data[[#This Row],[Revenue]])</f>
        <v>0</v>
      </c>
      <c r="I249">
        <f>COUNTBLANK(Sales_Data[[#This Row],[Quantity]])</f>
        <v>0</v>
      </c>
      <c r="J249" t="str">
        <f>TEXT(Sales_Data[[#This Row],[Date]],"yyyy-mm")</f>
        <v>2025-09</v>
      </c>
    </row>
    <row r="250" spans="1:10" x14ac:dyDescent="0.35">
      <c r="A250" t="s">
        <v>639</v>
      </c>
      <c r="B250" s="3">
        <v>45985</v>
      </c>
      <c r="C250" t="s">
        <v>27</v>
      </c>
      <c r="D250" t="s">
        <v>241</v>
      </c>
      <c r="E250" t="s">
        <v>403</v>
      </c>
      <c r="F250">
        <v>1</v>
      </c>
      <c r="G250" s="6">
        <v>37684</v>
      </c>
      <c r="H250">
        <f>COUNTBLANK(Sales_Data[[#This Row],[Revenue]])</f>
        <v>0</v>
      </c>
      <c r="I250">
        <f>COUNTBLANK(Sales_Data[[#This Row],[Quantity]])</f>
        <v>0</v>
      </c>
      <c r="J250" t="str">
        <f>TEXT(Sales_Data[[#This Row],[Date]],"yyyy-mm")</f>
        <v>2025-11</v>
      </c>
    </row>
    <row r="251" spans="1:10" x14ac:dyDescent="0.35">
      <c r="A251" t="s">
        <v>640</v>
      </c>
      <c r="B251" s="3">
        <v>45958</v>
      </c>
      <c r="C251" t="s">
        <v>29</v>
      </c>
      <c r="D251" t="s">
        <v>277</v>
      </c>
      <c r="E251" t="s">
        <v>403</v>
      </c>
      <c r="F251">
        <v>3</v>
      </c>
      <c r="G251" s="6">
        <v>127932</v>
      </c>
      <c r="H251">
        <f>COUNTBLANK(Sales_Data[[#This Row],[Revenue]])</f>
        <v>0</v>
      </c>
      <c r="I251">
        <f>COUNTBLANK(Sales_Data[[#This Row],[Quantity]])</f>
        <v>0</v>
      </c>
      <c r="J251" t="str">
        <f>TEXT(Sales_Data[[#This Row],[Date]],"yyyy-mm")</f>
        <v>2025-10</v>
      </c>
    </row>
    <row r="252" spans="1:10" x14ac:dyDescent="0.35">
      <c r="A252" t="s">
        <v>641</v>
      </c>
      <c r="B252" s="3">
        <v>45806</v>
      </c>
      <c r="C252" t="s">
        <v>19</v>
      </c>
      <c r="D252" t="s">
        <v>249</v>
      </c>
      <c r="E252" t="s">
        <v>394</v>
      </c>
      <c r="F252">
        <v>10</v>
      </c>
      <c r="G252" s="6">
        <v>421590</v>
      </c>
      <c r="H252">
        <f>COUNTBLANK(Sales_Data[[#This Row],[Revenue]])</f>
        <v>0</v>
      </c>
      <c r="I252">
        <f>COUNTBLANK(Sales_Data[[#This Row],[Quantity]])</f>
        <v>0</v>
      </c>
      <c r="J252" t="str">
        <f>TEXT(Sales_Data[[#This Row],[Date]],"yyyy-mm")</f>
        <v>2025-05</v>
      </c>
    </row>
    <row r="253" spans="1:10" x14ac:dyDescent="0.35">
      <c r="A253" t="s">
        <v>642</v>
      </c>
      <c r="B253" s="3">
        <v>45877</v>
      </c>
      <c r="C253" t="s">
        <v>49</v>
      </c>
      <c r="D253" t="s">
        <v>275</v>
      </c>
      <c r="E253" t="s">
        <v>403</v>
      </c>
      <c r="F253">
        <v>5</v>
      </c>
      <c r="G253" s="6">
        <v>227570</v>
      </c>
      <c r="H253">
        <f>COUNTBLANK(Sales_Data[[#This Row],[Revenue]])</f>
        <v>0</v>
      </c>
      <c r="I253">
        <f>COUNTBLANK(Sales_Data[[#This Row],[Quantity]])</f>
        <v>0</v>
      </c>
      <c r="J253" t="str">
        <f>TEXT(Sales_Data[[#This Row],[Date]],"yyyy-mm")</f>
        <v>2025-08</v>
      </c>
    </row>
    <row r="254" spans="1:10" x14ac:dyDescent="0.35">
      <c r="A254" t="s">
        <v>643</v>
      </c>
      <c r="B254" s="3">
        <v>45875</v>
      </c>
      <c r="C254" t="s">
        <v>45</v>
      </c>
      <c r="D254" t="s">
        <v>145</v>
      </c>
      <c r="E254" t="s">
        <v>391</v>
      </c>
      <c r="F254">
        <v>6</v>
      </c>
      <c r="G254" s="6">
        <v>46956</v>
      </c>
      <c r="H254">
        <f>COUNTBLANK(Sales_Data[[#This Row],[Revenue]])</f>
        <v>0</v>
      </c>
      <c r="I254">
        <f>COUNTBLANK(Sales_Data[[#This Row],[Quantity]])</f>
        <v>0</v>
      </c>
      <c r="J254" t="str">
        <f>TEXT(Sales_Data[[#This Row],[Date]],"yyyy-mm")</f>
        <v>2025-08</v>
      </c>
    </row>
    <row r="255" spans="1:10" x14ac:dyDescent="0.35">
      <c r="A255" t="s">
        <v>644</v>
      </c>
      <c r="B255" s="3">
        <v>45936</v>
      </c>
      <c r="C255" t="s">
        <v>10</v>
      </c>
      <c r="D255" t="s">
        <v>265</v>
      </c>
      <c r="E255" t="s">
        <v>389</v>
      </c>
      <c r="F255">
        <v>10</v>
      </c>
      <c r="G255" s="6">
        <v>45160</v>
      </c>
      <c r="H255">
        <f>COUNTBLANK(Sales_Data[[#This Row],[Revenue]])</f>
        <v>0</v>
      </c>
      <c r="I255">
        <f>COUNTBLANK(Sales_Data[[#This Row],[Quantity]])</f>
        <v>0</v>
      </c>
      <c r="J255" t="str">
        <f>TEXT(Sales_Data[[#This Row],[Date]],"yyyy-mm")</f>
        <v>2025-10</v>
      </c>
    </row>
    <row r="256" spans="1:10" x14ac:dyDescent="0.35">
      <c r="A256" t="s">
        <v>645</v>
      </c>
      <c r="B256" s="3">
        <v>46021</v>
      </c>
      <c r="C256" t="s">
        <v>4</v>
      </c>
      <c r="D256" t="s">
        <v>259</v>
      </c>
      <c r="E256" t="s">
        <v>389</v>
      </c>
      <c r="F256">
        <v>3</v>
      </c>
      <c r="G256" s="6">
        <v>35445</v>
      </c>
      <c r="H256">
        <f>COUNTBLANK(Sales_Data[[#This Row],[Revenue]])</f>
        <v>0</v>
      </c>
      <c r="I256">
        <f>COUNTBLANK(Sales_Data[[#This Row],[Quantity]])</f>
        <v>0</v>
      </c>
      <c r="J256" t="str">
        <f>TEXT(Sales_Data[[#This Row],[Date]],"yyyy-mm")</f>
        <v>2025-12</v>
      </c>
    </row>
    <row r="257" spans="1:10" x14ac:dyDescent="0.35">
      <c r="A257" t="s">
        <v>646</v>
      </c>
      <c r="B257" s="3">
        <v>45711</v>
      </c>
      <c r="C257" t="s">
        <v>31</v>
      </c>
      <c r="D257" t="s">
        <v>209</v>
      </c>
      <c r="E257" t="s">
        <v>394</v>
      </c>
      <c r="F257">
        <v>4</v>
      </c>
      <c r="G257" s="6">
        <v>119864</v>
      </c>
      <c r="H257">
        <f>COUNTBLANK(Sales_Data[[#This Row],[Revenue]])</f>
        <v>0</v>
      </c>
      <c r="I257">
        <f>COUNTBLANK(Sales_Data[[#This Row],[Quantity]])</f>
        <v>0</v>
      </c>
      <c r="J257" t="str">
        <f>TEXT(Sales_Data[[#This Row],[Date]],"yyyy-mm")</f>
        <v>2025-02</v>
      </c>
    </row>
    <row r="258" spans="1:10" x14ac:dyDescent="0.35">
      <c r="A258" t="s">
        <v>647</v>
      </c>
      <c r="B258" s="3">
        <v>45821</v>
      </c>
      <c r="C258" t="s">
        <v>47</v>
      </c>
      <c r="D258" t="s">
        <v>303</v>
      </c>
      <c r="E258" t="s">
        <v>394</v>
      </c>
      <c r="F258">
        <v>8</v>
      </c>
      <c r="G258" s="6">
        <v>176496</v>
      </c>
      <c r="H258">
        <f>COUNTBLANK(Sales_Data[[#This Row],[Revenue]])</f>
        <v>0</v>
      </c>
      <c r="I258">
        <f>COUNTBLANK(Sales_Data[[#This Row],[Quantity]])</f>
        <v>0</v>
      </c>
      <c r="J258" t="str">
        <f>TEXT(Sales_Data[[#This Row],[Date]],"yyyy-mm")</f>
        <v>2025-06</v>
      </c>
    </row>
    <row r="259" spans="1:10" x14ac:dyDescent="0.35">
      <c r="A259" t="s">
        <v>648</v>
      </c>
      <c r="B259" s="3">
        <v>45936</v>
      </c>
      <c r="C259" t="s">
        <v>25</v>
      </c>
      <c r="D259" t="s">
        <v>169</v>
      </c>
      <c r="E259" t="s">
        <v>387</v>
      </c>
      <c r="F259">
        <v>1</v>
      </c>
      <c r="G259" s="6">
        <v>18243</v>
      </c>
      <c r="H259">
        <f>COUNTBLANK(Sales_Data[[#This Row],[Revenue]])</f>
        <v>0</v>
      </c>
      <c r="I259">
        <f>COUNTBLANK(Sales_Data[[#This Row],[Quantity]])</f>
        <v>0</v>
      </c>
      <c r="J259" t="str">
        <f>TEXT(Sales_Data[[#This Row],[Date]],"yyyy-mm")</f>
        <v>2025-10</v>
      </c>
    </row>
    <row r="260" spans="1:10" x14ac:dyDescent="0.35">
      <c r="A260" t="s">
        <v>649</v>
      </c>
      <c r="B260" s="3">
        <v>45976</v>
      </c>
      <c r="C260" t="s">
        <v>35</v>
      </c>
      <c r="D260" t="s">
        <v>103</v>
      </c>
      <c r="E260" t="s">
        <v>403</v>
      </c>
      <c r="F260">
        <v>9</v>
      </c>
      <c r="G260" s="6">
        <v>445140</v>
      </c>
      <c r="H260">
        <f>COUNTBLANK(Sales_Data[[#This Row],[Revenue]])</f>
        <v>0</v>
      </c>
      <c r="I260">
        <f>COUNTBLANK(Sales_Data[[#This Row],[Quantity]])</f>
        <v>0</v>
      </c>
      <c r="J260" t="str">
        <f>TEXT(Sales_Data[[#This Row],[Date]],"yyyy-mm")</f>
        <v>2025-11</v>
      </c>
    </row>
    <row r="261" spans="1:10" x14ac:dyDescent="0.35">
      <c r="A261" t="s">
        <v>650</v>
      </c>
      <c r="B261" s="3">
        <v>45978</v>
      </c>
      <c r="C261" t="s">
        <v>43</v>
      </c>
      <c r="D261" t="s">
        <v>199</v>
      </c>
      <c r="E261" t="s">
        <v>389</v>
      </c>
      <c r="F261">
        <v>2</v>
      </c>
      <c r="G261" s="6">
        <v>75650</v>
      </c>
      <c r="H261">
        <f>COUNTBLANK(Sales_Data[[#This Row],[Revenue]])</f>
        <v>0</v>
      </c>
      <c r="I261">
        <f>COUNTBLANK(Sales_Data[[#This Row],[Quantity]])</f>
        <v>0</v>
      </c>
      <c r="J261" t="str">
        <f>TEXT(Sales_Data[[#This Row],[Date]],"yyyy-mm")</f>
        <v>2025-11</v>
      </c>
    </row>
    <row r="262" spans="1:10" x14ac:dyDescent="0.35">
      <c r="A262" t="s">
        <v>651</v>
      </c>
      <c r="B262" s="3">
        <v>45708</v>
      </c>
      <c r="C262" t="s">
        <v>65</v>
      </c>
      <c r="D262" t="s">
        <v>307</v>
      </c>
      <c r="E262" t="s">
        <v>391</v>
      </c>
      <c r="F262">
        <v>9</v>
      </c>
      <c r="G262" s="6">
        <v>4905</v>
      </c>
      <c r="H262">
        <f>COUNTBLANK(Sales_Data[[#This Row],[Revenue]])</f>
        <v>0</v>
      </c>
      <c r="I262">
        <f>COUNTBLANK(Sales_Data[[#This Row],[Quantity]])</f>
        <v>0</v>
      </c>
      <c r="J262" t="str">
        <f>TEXT(Sales_Data[[#This Row],[Date]],"yyyy-mm")</f>
        <v>2025-02</v>
      </c>
    </row>
    <row r="263" spans="1:10" x14ac:dyDescent="0.35">
      <c r="A263" t="s">
        <v>652</v>
      </c>
      <c r="B263" s="3">
        <v>45869</v>
      </c>
      <c r="C263" t="s">
        <v>4</v>
      </c>
      <c r="D263" t="s">
        <v>367</v>
      </c>
      <c r="E263" t="s">
        <v>389</v>
      </c>
      <c r="F263">
        <v>7</v>
      </c>
      <c r="G263" s="6">
        <v>82705</v>
      </c>
      <c r="H263">
        <f>COUNTBLANK(Sales_Data[[#This Row],[Revenue]])</f>
        <v>0</v>
      </c>
      <c r="I263">
        <f>COUNTBLANK(Sales_Data[[#This Row],[Quantity]])</f>
        <v>0</v>
      </c>
      <c r="J263" t="str">
        <f>TEXT(Sales_Data[[#This Row],[Date]],"yyyy-mm")</f>
        <v>2025-07</v>
      </c>
    </row>
    <row r="264" spans="1:10" x14ac:dyDescent="0.35">
      <c r="A264" t="s">
        <v>653</v>
      </c>
      <c r="B264" s="3">
        <v>45858</v>
      </c>
      <c r="C264" t="s">
        <v>25</v>
      </c>
      <c r="D264" t="s">
        <v>299</v>
      </c>
      <c r="E264" t="s">
        <v>391</v>
      </c>
      <c r="F264">
        <v>4</v>
      </c>
      <c r="G264" s="6">
        <v>72972</v>
      </c>
      <c r="H264">
        <f>COUNTBLANK(Sales_Data[[#This Row],[Revenue]])</f>
        <v>0</v>
      </c>
      <c r="I264">
        <f>COUNTBLANK(Sales_Data[[#This Row],[Quantity]])</f>
        <v>0</v>
      </c>
      <c r="J264" t="str">
        <f>TEXT(Sales_Data[[#This Row],[Date]],"yyyy-mm")</f>
        <v>2025-07</v>
      </c>
    </row>
    <row r="265" spans="1:10" x14ac:dyDescent="0.35">
      <c r="A265" t="s">
        <v>654</v>
      </c>
      <c r="B265" s="3">
        <v>45708</v>
      </c>
      <c r="C265" t="s">
        <v>27</v>
      </c>
      <c r="D265" t="s">
        <v>335</v>
      </c>
      <c r="E265" t="s">
        <v>394</v>
      </c>
      <c r="F265">
        <v>10</v>
      </c>
      <c r="G265" s="6">
        <v>376840</v>
      </c>
      <c r="H265">
        <f>COUNTBLANK(Sales_Data[[#This Row],[Revenue]])</f>
        <v>0</v>
      </c>
      <c r="I265">
        <f>COUNTBLANK(Sales_Data[[#This Row],[Quantity]])</f>
        <v>0</v>
      </c>
      <c r="J265" t="str">
        <f>TEXT(Sales_Data[[#This Row],[Date]],"yyyy-mm")</f>
        <v>2025-02</v>
      </c>
    </row>
    <row r="266" spans="1:10" x14ac:dyDescent="0.35">
      <c r="A266" t="s">
        <v>655</v>
      </c>
      <c r="B266" s="3">
        <v>45890</v>
      </c>
      <c r="C266" t="s">
        <v>13</v>
      </c>
      <c r="D266" t="s">
        <v>215</v>
      </c>
      <c r="E266" t="s">
        <v>391</v>
      </c>
      <c r="F266">
        <v>7</v>
      </c>
      <c r="G266" s="6">
        <v>211239</v>
      </c>
      <c r="H266">
        <f>COUNTBLANK(Sales_Data[[#This Row],[Revenue]])</f>
        <v>0</v>
      </c>
      <c r="I266">
        <f>COUNTBLANK(Sales_Data[[#This Row],[Quantity]])</f>
        <v>0</v>
      </c>
      <c r="J266" t="str">
        <f>TEXT(Sales_Data[[#This Row],[Date]],"yyyy-mm")</f>
        <v>2025-08</v>
      </c>
    </row>
    <row r="267" spans="1:10" x14ac:dyDescent="0.35">
      <c r="A267" t="s">
        <v>656</v>
      </c>
      <c r="B267" s="3">
        <v>45680</v>
      </c>
      <c r="C267" t="s">
        <v>33</v>
      </c>
      <c r="D267" t="s">
        <v>293</v>
      </c>
      <c r="E267" t="s">
        <v>391</v>
      </c>
      <c r="F267">
        <v>3</v>
      </c>
      <c r="G267" s="6">
        <v>108759</v>
      </c>
      <c r="H267">
        <f>COUNTBLANK(Sales_Data[[#This Row],[Revenue]])</f>
        <v>0</v>
      </c>
      <c r="I267">
        <f>COUNTBLANK(Sales_Data[[#This Row],[Quantity]])</f>
        <v>0</v>
      </c>
      <c r="J267" t="str">
        <f>TEXT(Sales_Data[[#This Row],[Date]],"yyyy-mm")</f>
        <v>2025-01</v>
      </c>
    </row>
    <row r="268" spans="1:10" x14ac:dyDescent="0.35">
      <c r="A268" t="s">
        <v>657</v>
      </c>
      <c r="B268" s="3">
        <v>45674</v>
      </c>
      <c r="C268" t="s">
        <v>63</v>
      </c>
      <c r="D268" t="s">
        <v>141</v>
      </c>
      <c r="E268" t="s">
        <v>394</v>
      </c>
      <c r="F268">
        <v>9</v>
      </c>
      <c r="G268" s="6">
        <v>78912</v>
      </c>
      <c r="H268">
        <f>COUNTBLANK(Sales_Data[[#This Row],[Revenue]])</f>
        <v>0</v>
      </c>
      <c r="I268">
        <f>COUNTBLANK(Sales_Data[[#This Row],[Quantity]])</f>
        <v>0</v>
      </c>
      <c r="J268" t="str">
        <f>TEXT(Sales_Data[[#This Row],[Date]],"yyyy-mm")</f>
        <v>2025-01</v>
      </c>
    </row>
    <row r="269" spans="1:10" x14ac:dyDescent="0.35">
      <c r="A269" t="s">
        <v>658</v>
      </c>
      <c r="B269" s="3">
        <v>45830</v>
      </c>
      <c r="C269" t="s">
        <v>43</v>
      </c>
      <c r="D269" t="s">
        <v>121</v>
      </c>
      <c r="E269" t="s">
        <v>403</v>
      </c>
      <c r="F269">
        <v>4</v>
      </c>
      <c r="G269" s="6">
        <v>151300</v>
      </c>
      <c r="H269">
        <f>COUNTBLANK(Sales_Data[[#This Row],[Revenue]])</f>
        <v>0</v>
      </c>
      <c r="I269">
        <f>COUNTBLANK(Sales_Data[[#This Row],[Quantity]])</f>
        <v>0</v>
      </c>
      <c r="J269" t="str">
        <f>TEXT(Sales_Data[[#This Row],[Date]],"yyyy-mm")</f>
        <v>2025-06</v>
      </c>
    </row>
    <row r="270" spans="1:10" x14ac:dyDescent="0.35">
      <c r="A270" t="s">
        <v>659</v>
      </c>
      <c r="B270" s="3">
        <v>45985</v>
      </c>
      <c r="C270" t="s">
        <v>23</v>
      </c>
      <c r="D270" t="s">
        <v>305</v>
      </c>
      <c r="E270" t="s">
        <v>387</v>
      </c>
      <c r="F270">
        <v>7</v>
      </c>
      <c r="G270" s="6">
        <v>42483</v>
      </c>
      <c r="H270">
        <f>COUNTBLANK(Sales_Data[[#This Row],[Revenue]])</f>
        <v>0</v>
      </c>
      <c r="I270">
        <f>COUNTBLANK(Sales_Data[[#This Row],[Quantity]])</f>
        <v>0</v>
      </c>
      <c r="J270" t="str">
        <f>TEXT(Sales_Data[[#This Row],[Date]],"yyyy-mm")</f>
        <v>2025-11</v>
      </c>
    </row>
    <row r="271" spans="1:10" x14ac:dyDescent="0.35">
      <c r="A271" t="s">
        <v>660</v>
      </c>
      <c r="B271" s="3">
        <v>45817</v>
      </c>
      <c r="C271" t="s">
        <v>37</v>
      </c>
      <c r="D271" t="s">
        <v>345</v>
      </c>
      <c r="E271" t="s">
        <v>394</v>
      </c>
      <c r="F271">
        <v>9</v>
      </c>
      <c r="G271" s="6">
        <v>17577</v>
      </c>
      <c r="H271">
        <f>COUNTBLANK(Sales_Data[[#This Row],[Revenue]])</f>
        <v>0</v>
      </c>
      <c r="I271">
        <f>COUNTBLANK(Sales_Data[[#This Row],[Quantity]])</f>
        <v>0</v>
      </c>
      <c r="J271" t="str">
        <f>TEXT(Sales_Data[[#This Row],[Date]],"yyyy-mm")</f>
        <v>2025-06</v>
      </c>
    </row>
    <row r="272" spans="1:10" x14ac:dyDescent="0.35">
      <c r="A272" t="s">
        <v>661</v>
      </c>
      <c r="B272" s="3">
        <v>45732</v>
      </c>
      <c r="C272" t="s">
        <v>33</v>
      </c>
      <c r="D272" t="s">
        <v>291</v>
      </c>
      <c r="E272" t="s">
        <v>394</v>
      </c>
      <c r="F272">
        <v>5</v>
      </c>
      <c r="G272" s="6">
        <v>181265</v>
      </c>
      <c r="H272">
        <f>COUNTBLANK(Sales_Data[[#This Row],[Revenue]])</f>
        <v>0</v>
      </c>
      <c r="I272">
        <f>COUNTBLANK(Sales_Data[[#This Row],[Quantity]])</f>
        <v>0</v>
      </c>
      <c r="J272" t="str">
        <f>TEXT(Sales_Data[[#This Row],[Date]],"yyyy-mm")</f>
        <v>2025-03</v>
      </c>
    </row>
    <row r="273" spans="1:10" x14ac:dyDescent="0.35">
      <c r="A273" t="s">
        <v>662</v>
      </c>
      <c r="B273" s="3">
        <v>45728</v>
      </c>
      <c r="C273" t="s">
        <v>35</v>
      </c>
      <c r="D273" t="s">
        <v>361</v>
      </c>
      <c r="E273" t="s">
        <v>403</v>
      </c>
      <c r="F273">
        <v>5</v>
      </c>
      <c r="G273" s="6">
        <v>247300</v>
      </c>
      <c r="H273">
        <f>COUNTBLANK(Sales_Data[[#This Row],[Revenue]])</f>
        <v>0</v>
      </c>
      <c r="I273">
        <f>COUNTBLANK(Sales_Data[[#This Row],[Quantity]])</f>
        <v>0</v>
      </c>
      <c r="J273" t="str">
        <f>TEXT(Sales_Data[[#This Row],[Date]],"yyyy-mm")</f>
        <v>2025-03</v>
      </c>
    </row>
    <row r="274" spans="1:10" x14ac:dyDescent="0.35">
      <c r="A274" t="s">
        <v>663</v>
      </c>
      <c r="B274" s="3">
        <v>45750</v>
      </c>
      <c r="C274" t="s">
        <v>53</v>
      </c>
      <c r="D274" t="s">
        <v>173</v>
      </c>
      <c r="E274" t="s">
        <v>389</v>
      </c>
      <c r="F274">
        <v>4</v>
      </c>
      <c r="G274" s="6">
        <v>16832</v>
      </c>
      <c r="H274">
        <f>COUNTBLANK(Sales_Data[[#This Row],[Revenue]])</f>
        <v>0</v>
      </c>
      <c r="I274">
        <f>COUNTBLANK(Sales_Data[[#This Row],[Quantity]])</f>
        <v>0</v>
      </c>
      <c r="J274" t="str">
        <f>TEXT(Sales_Data[[#This Row],[Date]],"yyyy-mm")</f>
        <v>2025-04</v>
      </c>
    </row>
    <row r="275" spans="1:10" x14ac:dyDescent="0.35">
      <c r="A275" t="s">
        <v>664</v>
      </c>
      <c r="B275" s="3">
        <v>45799</v>
      </c>
      <c r="C275" t="s">
        <v>37</v>
      </c>
      <c r="D275" t="s">
        <v>117</v>
      </c>
      <c r="E275" t="s">
        <v>394</v>
      </c>
      <c r="F275">
        <v>9</v>
      </c>
      <c r="G275" s="6">
        <v>17577</v>
      </c>
      <c r="H275">
        <f>COUNTBLANK(Sales_Data[[#This Row],[Revenue]])</f>
        <v>0</v>
      </c>
      <c r="I275">
        <f>COUNTBLANK(Sales_Data[[#This Row],[Quantity]])</f>
        <v>0</v>
      </c>
      <c r="J275" t="str">
        <f>TEXT(Sales_Data[[#This Row],[Date]],"yyyy-mm")</f>
        <v>2025-05</v>
      </c>
    </row>
    <row r="276" spans="1:10" x14ac:dyDescent="0.35">
      <c r="A276" t="s">
        <v>665</v>
      </c>
      <c r="B276" s="3">
        <v>45835</v>
      </c>
      <c r="C276" t="s">
        <v>13</v>
      </c>
      <c r="D276" t="s">
        <v>199</v>
      </c>
      <c r="E276" t="s">
        <v>394</v>
      </c>
      <c r="F276">
        <v>10</v>
      </c>
      <c r="G276" s="6">
        <v>301770</v>
      </c>
      <c r="H276">
        <f>COUNTBLANK(Sales_Data[[#This Row],[Revenue]])</f>
        <v>0</v>
      </c>
      <c r="I276">
        <f>COUNTBLANK(Sales_Data[[#This Row],[Quantity]])</f>
        <v>0</v>
      </c>
      <c r="J276" t="str">
        <f>TEXT(Sales_Data[[#This Row],[Date]],"yyyy-mm")</f>
        <v>2025-06</v>
      </c>
    </row>
    <row r="277" spans="1:10" x14ac:dyDescent="0.35">
      <c r="A277" t="s">
        <v>666</v>
      </c>
      <c r="B277" s="3">
        <v>45763</v>
      </c>
      <c r="C277" t="s">
        <v>10</v>
      </c>
      <c r="D277" t="s">
        <v>287</v>
      </c>
      <c r="E277" t="s">
        <v>394</v>
      </c>
      <c r="F277">
        <v>10</v>
      </c>
      <c r="G277" s="6">
        <v>45160</v>
      </c>
      <c r="H277">
        <f>COUNTBLANK(Sales_Data[[#This Row],[Revenue]])</f>
        <v>0</v>
      </c>
      <c r="I277">
        <f>COUNTBLANK(Sales_Data[[#This Row],[Quantity]])</f>
        <v>0</v>
      </c>
      <c r="J277" t="str">
        <f>TEXT(Sales_Data[[#This Row],[Date]],"yyyy-mm")</f>
        <v>2025-04</v>
      </c>
    </row>
    <row r="278" spans="1:10" x14ac:dyDescent="0.35">
      <c r="A278" t="s">
        <v>667</v>
      </c>
      <c r="B278" s="3">
        <v>45829</v>
      </c>
      <c r="C278" t="s">
        <v>39</v>
      </c>
      <c r="D278" t="s">
        <v>297</v>
      </c>
      <c r="E278" t="s">
        <v>403</v>
      </c>
      <c r="F278">
        <v>10</v>
      </c>
      <c r="G278" s="6">
        <v>482880</v>
      </c>
      <c r="H278">
        <f>COUNTBLANK(Sales_Data[[#This Row],[Revenue]])</f>
        <v>0</v>
      </c>
      <c r="I278">
        <f>COUNTBLANK(Sales_Data[[#This Row],[Quantity]])</f>
        <v>0</v>
      </c>
      <c r="J278" t="str">
        <f>TEXT(Sales_Data[[#This Row],[Date]],"yyyy-mm")</f>
        <v>2025-06</v>
      </c>
    </row>
    <row r="279" spans="1:10" x14ac:dyDescent="0.35">
      <c r="A279" t="s">
        <v>668</v>
      </c>
      <c r="B279" s="3">
        <v>45988</v>
      </c>
      <c r="C279" t="s">
        <v>35</v>
      </c>
      <c r="D279" t="s">
        <v>285</v>
      </c>
      <c r="E279" t="s">
        <v>403</v>
      </c>
      <c r="F279">
        <v>1</v>
      </c>
      <c r="G279" s="6">
        <v>49460</v>
      </c>
      <c r="H279">
        <f>COUNTBLANK(Sales_Data[[#This Row],[Revenue]])</f>
        <v>0</v>
      </c>
      <c r="I279">
        <f>COUNTBLANK(Sales_Data[[#This Row],[Quantity]])</f>
        <v>0</v>
      </c>
      <c r="J279" t="str">
        <f>TEXT(Sales_Data[[#This Row],[Date]],"yyyy-mm")</f>
        <v>2025-11</v>
      </c>
    </row>
    <row r="280" spans="1:10" x14ac:dyDescent="0.35">
      <c r="A280" t="s">
        <v>669</v>
      </c>
      <c r="B280" s="3">
        <v>45675</v>
      </c>
      <c r="C280" t="s">
        <v>4</v>
      </c>
      <c r="D280" t="s">
        <v>235</v>
      </c>
      <c r="E280" t="s">
        <v>403</v>
      </c>
      <c r="F280">
        <v>3</v>
      </c>
      <c r="G280" s="6">
        <v>35445</v>
      </c>
      <c r="H280">
        <f>COUNTBLANK(Sales_Data[[#This Row],[Revenue]])</f>
        <v>0</v>
      </c>
      <c r="I280">
        <f>COUNTBLANK(Sales_Data[[#This Row],[Quantity]])</f>
        <v>0</v>
      </c>
      <c r="J280" t="str">
        <f>TEXT(Sales_Data[[#This Row],[Date]],"yyyy-mm")</f>
        <v>2025-01</v>
      </c>
    </row>
    <row r="281" spans="1:10" x14ac:dyDescent="0.35">
      <c r="A281" t="s">
        <v>670</v>
      </c>
      <c r="B281" s="3">
        <v>45737</v>
      </c>
      <c r="C281" t="s">
        <v>7</v>
      </c>
      <c r="D281" t="s">
        <v>143</v>
      </c>
      <c r="E281" t="s">
        <v>394</v>
      </c>
      <c r="F281">
        <v>3</v>
      </c>
      <c r="G281" s="6">
        <v>78399</v>
      </c>
      <c r="H281">
        <f>COUNTBLANK(Sales_Data[[#This Row],[Revenue]])</f>
        <v>0</v>
      </c>
      <c r="I281">
        <f>COUNTBLANK(Sales_Data[[#This Row],[Quantity]])</f>
        <v>0</v>
      </c>
      <c r="J281" t="str">
        <f>TEXT(Sales_Data[[#This Row],[Date]],"yyyy-mm")</f>
        <v>2025-03</v>
      </c>
    </row>
    <row r="282" spans="1:10" x14ac:dyDescent="0.35">
      <c r="A282" t="s">
        <v>671</v>
      </c>
      <c r="B282" s="3">
        <v>45827</v>
      </c>
      <c r="C282" t="s">
        <v>53</v>
      </c>
      <c r="D282" t="s">
        <v>339</v>
      </c>
      <c r="E282" t="s">
        <v>403</v>
      </c>
      <c r="F282">
        <v>5</v>
      </c>
      <c r="G282" s="6">
        <v>21040</v>
      </c>
      <c r="H282">
        <f>COUNTBLANK(Sales_Data[[#This Row],[Revenue]])</f>
        <v>0</v>
      </c>
      <c r="I282">
        <f>COUNTBLANK(Sales_Data[[#This Row],[Quantity]])</f>
        <v>0</v>
      </c>
      <c r="J282" t="str">
        <f>TEXT(Sales_Data[[#This Row],[Date]],"yyyy-mm")</f>
        <v>2025-06</v>
      </c>
    </row>
    <row r="283" spans="1:10" x14ac:dyDescent="0.35">
      <c r="A283" t="s">
        <v>672</v>
      </c>
      <c r="B283" s="3">
        <v>45894</v>
      </c>
      <c r="C283" t="s">
        <v>10</v>
      </c>
      <c r="D283" t="s">
        <v>333</v>
      </c>
      <c r="E283" t="s">
        <v>391</v>
      </c>
      <c r="F283">
        <v>10</v>
      </c>
      <c r="G283" s="6">
        <v>45160</v>
      </c>
      <c r="H283">
        <f>COUNTBLANK(Sales_Data[[#This Row],[Revenue]])</f>
        <v>0</v>
      </c>
      <c r="I283">
        <f>COUNTBLANK(Sales_Data[[#This Row],[Quantity]])</f>
        <v>0</v>
      </c>
      <c r="J283" t="str">
        <f>TEXT(Sales_Data[[#This Row],[Date]],"yyyy-mm")</f>
        <v>2025-08</v>
      </c>
    </row>
    <row r="284" spans="1:10" x14ac:dyDescent="0.35">
      <c r="A284" t="s">
        <v>673</v>
      </c>
      <c r="B284" s="3">
        <v>45960</v>
      </c>
      <c r="C284" t="s">
        <v>21</v>
      </c>
      <c r="D284" t="s">
        <v>139</v>
      </c>
      <c r="E284" t="s">
        <v>391</v>
      </c>
      <c r="F284">
        <v>5</v>
      </c>
      <c r="G284" s="6">
        <v>76045</v>
      </c>
      <c r="H284">
        <f>COUNTBLANK(Sales_Data[[#This Row],[Revenue]])</f>
        <v>0</v>
      </c>
      <c r="I284">
        <f>COUNTBLANK(Sales_Data[[#This Row],[Quantity]])</f>
        <v>0</v>
      </c>
      <c r="J284" t="str">
        <f>TEXT(Sales_Data[[#This Row],[Date]],"yyyy-mm")</f>
        <v>2025-10</v>
      </c>
    </row>
    <row r="285" spans="1:10" x14ac:dyDescent="0.35">
      <c r="A285" t="s">
        <v>674</v>
      </c>
      <c r="B285" s="3">
        <v>45817</v>
      </c>
      <c r="C285" t="s">
        <v>53</v>
      </c>
      <c r="D285" t="s">
        <v>189</v>
      </c>
      <c r="E285" t="s">
        <v>389</v>
      </c>
      <c r="F285">
        <v>2</v>
      </c>
      <c r="G285" s="6">
        <v>8416</v>
      </c>
      <c r="H285">
        <f>COUNTBLANK(Sales_Data[[#This Row],[Revenue]])</f>
        <v>0</v>
      </c>
      <c r="I285">
        <f>COUNTBLANK(Sales_Data[[#This Row],[Quantity]])</f>
        <v>0</v>
      </c>
      <c r="J285" t="str">
        <f>TEXT(Sales_Data[[#This Row],[Date]],"yyyy-mm")</f>
        <v>2025-06</v>
      </c>
    </row>
    <row r="286" spans="1:10" x14ac:dyDescent="0.35">
      <c r="A286" t="s">
        <v>675</v>
      </c>
      <c r="B286" s="3">
        <v>45839</v>
      </c>
      <c r="C286" t="s">
        <v>59</v>
      </c>
      <c r="D286" t="s">
        <v>117</v>
      </c>
      <c r="E286" t="s">
        <v>391</v>
      </c>
      <c r="F286">
        <v>8</v>
      </c>
      <c r="G286" s="6">
        <v>384848</v>
      </c>
      <c r="H286">
        <f>COUNTBLANK(Sales_Data[[#This Row],[Revenue]])</f>
        <v>0</v>
      </c>
      <c r="I286">
        <f>COUNTBLANK(Sales_Data[[#This Row],[Quantity]])</f>
        <v>0</v>
      </c>
      <c r="J286" t="str">
        <f>TEXT(Sales_Data[[#This Row],[Date]],"yyyy-mm")</f>
        <v>2025-07</v>
      </c>
    </row>
    <row r="287" spans="1:10" x14ac:dyDescent="0.35">
      <c r="A287" t="s">
        <v>676</v>
      </c>
      <c r="B287" s="3">
        <v>45798</v>
      </c>
      <c r="C287" t="s">
        <v>33</v>
      </c>
      <c r="D287" t="s">
        <v>91</v>
      </c>
      <c r="E287" t="s">
        <v>387</v>
      </c>
      <c r="F287">
        <v>1</v>
      </c>
      <c r="G287" s="6">
        <v>36253</v>
      </c>
      <c r="H287">
        <f>COUNTBLANK(Sales_Data[[#This Row],[Revenue]])</f>
        <v>0</v>
      </c>
      <c r="I287">
        <f>COUNTBLANK(Sales_Data[[#This Row],[Quantity]])</f>
        <v>0</v>
      </c>
      <c r="J287" t="str">
        <f>TEXT(Sales_Data[[#This Row],[Date]],"yyyy-mm")</f>
        <v>2025-05</v>
      </c>
    </row>
    <row r="288" spans="1:10" x14ac:dyDescent="0.35">
      <c r="A288" t="s">
        <v>677</v>
      </c>
      <c r="B288" s="3">
        <v>45767</v>
      </c>
      <c r="C288" t="s">
        <v>61</v>
      </c>
      <c r="D288" t="s">
        <v>375</v>
      </c>
      <c r="E288" t="s">
        <v>389</v>
      </c>
      <c r="F288">
        <v>2</v>
      </c>
      <c r="G288" s="6">
        <v>50032</v>
      </c>
      <c r="H288">
        <f>COUNTBLANK(Sales_Data[[#This Row],[Revenue]])</f>
        <v>0</v>
      </c>
      <c r="I288">
        <f>COUNTBLANK(Sales_Data[[#This Row],[Quantity]])</f>
        <v>0</v>
      </c>
      <c r="J288" t="str">
        <f>TEXT(Sales_Data[[#This Row],[Date]],"yyyy-mm")</f>
        <v>2025-04</v>
      </c>
    </row>
    <row r="289" spans="1:10" x14ac:dyDescent="0.35">
      <c r="A289" t="s">
        <v>678</v>
      </c>
      <c r="B289" s="3">
        <v>45675</v>
      </c>
      <c r="C289" t="s">
        <v>7</v>
      </c>
      <c r="D289" t="s">
        <v>279</v>
      </c>
      <c r="E289" t="s">
        <v>387</v>
      </c>
      <c r="F289">
        <v>7</v>
      </c>
      <c r="G289" s="6">
        <v>182931</v>
      </c>
      <c r="H289">
        <f>COUNTBLANK(Sales_Data[[#This Row],[Revenue]])</f>
        <v>0</v>
      </c>
      <c r="I289">
        <f>COUNTBLANK(Sales_Data[[#This Row],[Quantity]])</f>
        <v>0</v>
      </c>
      <c r="J289" t="str">
        <f>TEXT(Sales_Data[[#This Row],[Date]],"yyyy-mm")</f>
        <v>2025-01</v>
      </c>
    </row>
    <row r="290" spans="1:10" x14ac:dyDescent="0.35">
      <c r="A290" t="s">
        <v>679</v>
      </c>
      <c r="B290" s="3">
        <v>45749</v>
      </c>
      <c r="C290" t="s">
        <v>31</v>
      </c>
      <c r="D290" t="s">
        <v>281</v>
      </c>
      <c r="E290" t="s">
        <v>403</v>
      </c>
      <c r="F290">
        <v>9</v>
      </c>
      <c r="G290" s="6">
        <v>269694</v>
      </c>
      <c r="H290">
        <f>COUNTBLANK(Sales_Data[[#This Row],[Revenue]])</f>
        <v>0</v>
      </c>
      <c r="I290">
        <f>COUNTBLANK(Sales_Data[[#This Row],[Quantity]])</f>
        <v>0</v>
      </c>
      <c r="J290" t="str">
        <f>TEXT(Sales_Data[[#This Row],[Date]],"yyyy-mm")</f>
        <v>2025-04</v>
      </c>
    </row>
    <row r="291" spans="1:10" x14ac:dyDescent="0.35">
      <c r="A291" t="s">
        <v>680</v>
      </c>
      <c r="B291" s="3">
        <v>45851</v>
      </c>
      <c r="C291" t="s">
        <v>27</v>
      </c>
      <c r="D291" t="s">
        <v>145</v>
      </c>
      <c r="E291" t="s">
        <v>394</v>
      </c>
      <c r="F291">
        <v>1</v>
      </c>
      <c r="G291" s="6">
        <v>37684</v>
      </c>
      <c r="H291">
        <f>COUNTBLANK(Sales_Data[[#This Row],[Revenue]])</f>
        <v>0</v>
      </c>
      <c r="I291">
        <f>COUNTBLANK(Sales_Data[[#This Row],[Quantity]])</f>
        <v>0</v>
      </c>
      <c r="J291" t="str">
        <f>TEXT(Sales_Data[[#This Row],[Date]],"yyyy-mm")</f>
        <v>2025-07</v>
      </c>
    </row>
    <row r="292" spans="1:10" x14ac:dyDescent="0.35">
      <c r="A292" t="s">
        <v>681</v>
      </c>
      <c r="B292" s="3">
        <v>45905</v>
      </c>
      <c r="C292" t="s">
        <v>49</v>
      </c>
      <c r="D292" t="s">
        <v>221</v>
      </c>
      <c r="E292" t="s">
        <v>403</v>
      </c>
      <c r="F292">
        <v>1</v>
      </c>
      <c r="G292" s="6">
        <v>45514</v>
      </c>
      <c r="H292">
        <f>COUNTBLANK(Sales_Data[[#This Row],[Revenue]])</f>
        <v>0</v>
      </c>
      <c r="I292">
        <f>COUNTBLANK(Sales_Data[[#This Row],[Quantity]])</f>
        <v>0</v>
      </c>
      <c r="J292" t="str">
        <f>TEXT(Sales_Data[[#This Row],[Date]],"yyyy-mm")</f>
        <v>2025-09</v>
      </c>
    </row>
    <row r="293" spans="1:10" x14ac:dyDescent="0.35">
      <c r="A293" t="s">
        <v>682</v>
      </c>
      <c r="B293" s="3">
        <v>45777</v>
      </c>
      <c r="C293" t="s">
        <v>47</v>
      </c>
      <c r="D293" t="s">
        <v>217</v>
      </c>
      <c r="E293" t="s">
        <v>394</v>
      </c>
      <c r="F293">
        <v>2</v>
      </c>
      <c r="G293" s="6">
        <v>44124</v>
      </c>
      <c r="H293">
        <f>COUNTBLANK(Sales_Data[[#This Row],[Revenue]])</f>
        <v>0</v>
      </c>
      <c r="I293">
        <f>COUNTBLANK(Sales_Data[[#This Row],[Quantity]])</f>
        <v>0</v>
      </c>
      <c r="J293" t="str">
        <f>TEXT(Sales_Data[[#This Row],[Date]],"yyyy-mm")</f>
        <v>2025-04</v>
      </c>
    </row>
    <row r="294" spans="1:10" x14ac:dyDescent="0.35">
      <c r="A294" t="s">
        <v>683</v>
      </c>
      <c r="B294" s="3">
        <v>45939</v>
      </c>
      <c r="C294" t="s">
        <v>13</v>
      </c>
      <c r="D294" t="s">
        <v>367</v>
      </c>
      <c r="E294" t="s">
        <v>391</v>
      </c>
      <c r="F294">
        <v>5</v>
      </c>
      <c r="G294" s="6">
        <v>150885</v>
      </c>
      <c r="H294">
        <f>COUNTBLANK(Sales_Data[[#This Row],[Revenue]])</f>
        <v>0</v>
      </c>
      <c r="I294">
        <f>COUNTBLANK(Sales_Data[[#This Row],[Quantity]])</f>
        <v>0</v>
      </c>
      <c r="J294" t="str">
        <f>TEXT(Sales_Data[[#This Row],[Date]],"yyyy-mm")</f>
        <v>2025-10</v>
      </c>
    </row>
    <row r="295" spans="1:10" x14ac:dyDescent="0.35">
      <c r="A295" t="s">
        <v>684</v>
      </c>
      <c r="B295" s="3">
        <v>45943</v>
      </c>
      <c r="C295" t="s">
        <v>67</v>
      </c>
      <c r="D295" t="s">
        <v>283</v>
      </c>
      <c r="E295" t="s">
        <v>394</v>
      </c>
      <c r="F295">
        <v>2</v>
      </c>
      <c r="G295" s="6">
        <v>43232</v>
      </c>
      <c r="H295">
        <f>COUNTBLANK(Sales_Data[[#This Row],[Revenue]])</f>
        <v>0</v>
      </c>
      <c r="I295">
        <f>COUNTBLANK(Sales_Data[[#This Row],[Quantity]])</f>
        <v>0</v>
      </c>
      <c r="J295" t="str">
        <f>TEXT(Sales_Data[[#This Row],[Date]],"yyyy-mm")</f>
        <v>2025-10</v>
      </c>
    </row>
    <row r="296" spans="1:10" x14ac:dyDescent="0.35">
      <c r="A296" t="s">
        <v>685</v>
      </c>
      <c r="B296" s="3">
        <v>45750</v>
      </c>
      <c r="C296" t="s">
        <v>65</v>
      </c>
      <c r="D296" t="s">
        <v>279</v>
      </c>
      <c r="E296" t="s">
        <v>403</v>
      </c>
      <c r="F296">
        <v>10</v>
      </c>
      <c r="G296" s="6">
        <v>5450</v>
      </c>
      <c r="H296">
        <f>COUNTBLANK(Sales_Data[[#This Row],[Revenue]])</f>
        <v>0</v>
      </c>
      <c r="I296">
        <f>COUNTBLANK(Sales_Data[[#This Row],[Quantity]])</f>
        <v>0</v>
      </c>
      <c r="J296" t="str">
        <f>TEXT(Sales_Data[[#This Row],[Date]],"yyyy-mm")</f>
        <v>2025-04</v>
      </c>
    </row>
    <row r="297" spans="1:10" x14ac:dyDescent="0.35">
      <c r="A297" t="s">
        <v>686</v>
      </c>
      <c r="B297" s="3">
        <v>45917</v>
      </c>
      <c r="C297" t="s">
        <v>25</v>
      </c>
      <c r="D297" t="s">
        <v>197</v>
      </c>
      <c r="E297" t="s">
        <v>389</v>
      </c>
      <c r="F297">
        <v>6</v>
      </c>
      <c r="G297" s="6">
        <v>109458</v>
      </c>
      <c r="H297">
        <f>COUNTBLANK(Sales_Data[[#This Row],[Revenue]])</f>
        <v>0</v>
      </c>
      <c r="I297">
        <f>COUNTBLANK(Sales_Data[[#This Row],[Quantity]])</f>
        <v>0</v>
      </c>
      <c r="J297" t="str">
        <f>TEXT(Sales_Data[[#This Row],[Date]],"yyyy-mm")</f>
        <v>2025-09</v>
      </c>
    </row>
    <row r="298" spans="1:10" x14ac:dyDescent="0.35">
      <c r="A298" t="s">
        <v>687</v>
      </c>
      <c r="B298" s="3">
        <v>45865</v>
      </c>
      <c r="C298" t="s">
        <v>65</v>
      </c>
      <c r="D298" t="s">
        <v>343</v>
      </c>
      <c r="E298" t="s">
        <v>391</v>
      </c>
      <c r="F298">
        <v>9</v>
      </c>
      <c r="G298" s="6">
        <v>4905</v>
      </c>
      <c r="H298">
        <f>COUNTBLANK(Sales_Data[[#This Row],[Revenue]])</f>
        <v>0</v>
      </c>
      <c r="I298">
        <f>COUNTBLANK(Sales_Data[[#This Row],[Quantity]])</f>
        <v>0</v>
      </c>
      <c r="J298" t="str">
        <f>TEXT(Sales_Data[[#This Row],[Date]],"yyyy-mm")</f>
        <v>2025-07</v>
      </c>
    </row>
    <row r="299" spans="1:10" x14ac:dyDescent="0.35">
      <c r="A299" t="s">
        <v>688</v>
      </c>
      <c r="B299" s="3">
        <v>45799</v>
      </c>
      <c r="C299" t="s">
        <v>63</v>
      </c>
      <c r="D299" t="s">
        <v>207</v>
      </c>
      <c r="E299" t="s">
        <v>387</v>
      </c>
      <c r="F299">
        <v>4</v>
      </c>
      <c r="G299" s="6">
        <v>35072</v>
      </c>
      <c r="H299">
        <f>COUNTBLANK(Sales_Data[[#This Row],[Revenue]])</f>
        <v>0</v>
      </c>
      <c r="I299">
        <f>COUNTBLANK(Sales_Data[[#This Row],[Quantity]])</f>
        <v>0</v>
      </c>
      <c r="J299" t="str">
        <f>TEXT(Sales_Data[[#This Row],[Date]],"yyyy-mm")</f>
        <v>2025-05</v>
      </c>
    </row>
    <row r="300" spans="1:10" x14ac:dyDescent="0.35">
      <c r="A300" t="s">
        <v>689</v>
      </c>
      <c r="B300" s="3">
        <v>45855</v>
      </c>
      <c r="C300" t="s">
        <v>10</v>
      </c>
      <c r="D300" t="s">
        <v>271</v>
      </c>
      <c r="E300" t="s">
        <v>391</v>
      </c>
      <c r="F300">
        <v>7</v>
      </c>
      <c r="G300" s="6">
        <v>31612</v>
      </c>
      <c r="H300">
        <f>COUNTBLANK(Sales_Data[[#This Row],[Revenue]])</f>
        <v>0</v>
      </c>
      <c r="I300">
        <f>COUNTBLANK(Sales_Data[[#This Row],[Quantity]])</f>
        <v>0</v>
      </c>
      <c r="J300" t="str">
        <f>TEXT(Sales_Data[[#This Row],[Date]],"yyyy-mm")</f>
        <v>2025-07</v>
      </c>
    </row>
    <row r="301" spans="1:10" x14ac:dyDescent="0.35">
      <c r="A301" t="s">
        <v>690</v>
      </c>
      <c r="B301" s="3">
        <v>45726</v>
      </c>
      <c r="C301" t="s">
        <v>47</v>
      </c>
      <c r="D301" t="s">
        <v>305</v>
      </c>
      <c r="E301" t="s">
        <v>391</v>
      </c>
      <c r="F301">
        <v>5</v>
      </c>
      <c r="G301" s="6">
        <v>110310</v>
      </c>
      <c r="H301">
        <f>COUNTBLANK(Sales_Data[[#This Row],[Revenue]])</f>
        <v>0</v>
      </c>
      <c r="I301">
        <f>COUNTBLANK(Sales_Data[[#This Row],[Quantity]])</f>
        <v>0</v>
      </c>
      <c r="J301" t="str">
        <f>TEXT(Sales_Data[[#This Row],[Date]],"yyyy-mm")</f>
        <v>2025-03</v>
      </c>
    </row>
    <row r="302" spans="1:10" x14ac:dyDescent="0.35">
      <c r="A302" t="s">
        <v>691</v>
      </c>
      <c r="B302" s="3">
        <v>45984</v>
      </c>
      <c r="C302" t="s">
        <v>10</v>
      </c>
      <c r="D302" t="s">
        <v>181</v>
      </c>
      <c r="E302" t="s">
        <v>403</v>
      </c>
      <c r="F302">
        <v>9</v>
      </c>
      <c r="G302" s="6">
        <v>40644</v>
      </c>
      <c r="H302">
        <f>COUNTBLANK(Sales_Data[[#This Row],[Revenue]])</f>
        <v>0</v>
      </c>
      <c r="I302">
        <f>COUNTBLANK(Sales_Data[[#This Row],[Quantity]])</f>
        <v>0</v>
      </c>
      <c r="J302" t="str">
        <f>TEXT(Sales_Data[[#This Row],[Date]],"yyyy-mm")</f>
        <v>2025-11</v>
      </c>
    </row>
    <row r="303" spans="1:10" x14ac:dyDescent="0.35">
      <c r="A303" t="s">
        <v>692</v>
      </c>
      <c r="B303" s="3">
        <v>45891</v>
      </c>
      <c r="C303" t="s">
        <v>49</v>
      </c>
      <c r="D303" t="s">
        <v>237</v>
      </c>
      <c r="E303" t="s">
        <v>403</v>
      </c>
      <c r="F303">
        <v>5</v>
      </c>
      <c r="G303" s="6">
        <v>227570</v>
      </c>
      <c r="H303">
        <f>COUNTBLANK(Sales_Data[[#This Row],[Revenue]])</f>
        <v>0</v>
      </c>
      <c r="I303">
        <f>COUNTBLANK(Sales_Data[[#This Row],[Quantity]])</f>
        <v>0</v>
      </c>
      <c r="J303" t="str">
        <f>TEXT(Sales_Data[[#This Row],[Date]],"yyyy-mm")</f>
        <v>2025-08</v>
      </c>
    </row>
    <row r="304" spans="1:10" x14ac:dyDescent="0.35">
      <c r="A304" t="s">
        <v>693</v>
      </c>
      <c r="B304" s="3">
        <v>45719</v>
      </c>
      <c r="C304" t="s">
        <v>45</v>
      </c>
      <c r="D304" t="s">
        <v>133</v>
      </c>
      <c r="E304" t="s">
        <v>391</v>
      </c>
      <c r="F304">
        <v>4</v>
      </c>
      <c r="G304" s="6">
        <v>31304</v>
      </c>
      <c r="H304">
        <f>COUNTBLANK(Sales_Data[[#This Row],[Revenue]])</f>
        <v>0</v>
      </c>
      <c r="I304">
        <f>COUNTBLANK(Sales_Data[[#This Row],[Quantity]])</f>
        <v>0</v>
      </c>
      <c r="J304" t="str">
        <f>TEXT(Sales_Data[[#This Row],[Date]],"yyyy-mm")</f>
        <v>2025-03</v>
      </c>
    </row>
    <row r="305" spans="1:10" x14ac:dyDescent="0.35">
      <c r="A305" t="s">
        <v>694</v>
      </c>
      <c r="B305" s="3">
        <v>45704</v>
      </c>
      <c r="C305" t="s">
        <v>27</v>
      </c>
      <c r="D305" t="s">
        <v>179</v>
      </c>
      <c r="E305" t="s">
        <v>389</v>
      </c>
      <c r="F305">
        <v>2</v>
      </c>
      <c r="G305" s="6">
        <v>75368</v>
      </c>
      <c r="H305">
        <f>COUNTBLANK(Sales_Data[[#This Row],[Revenue]])</f>
        <v>0</v>
      </c>
      <c r="I305">
        <f>COUNTBLANK(Sales_Data[[#This Row],[Quantity]])</f>
        <v>0</v>
      </c>
      <c r="J305" t="str">
        <f>TEXT(Sales_Data[[#This Row],[Date]],"yyyy-mm")</f>
        <v>2025-02</v>
      </c>
    </row>
    <row r="306" spans="1:10" x14ac:dyDescent="0.35">
      <c r="A306" t="s">
        <v>695</v>
      </c>
      <c r="B306" s="3">
        <v>45860</v>
      </c>
      <c r="C306" t="s">
        <v>47</v>
      </c>
      <c r="D306" t="s">
        <v>305</v>
      </c>
      <c r="E306" t="s">
        <v>403</v>
      </c>
      <c r="F306">
        <v>5</v>
      </c>
      <c r="G306" s="6">
        <v>110310</v>
      </c>
      <c r="H306">
        <f>COUNTBLANK(Sales_Data[[#This Row],[Revenue]])</f>
        <v>0</v>
      </c>
      <c r="I306">
        <f>COUNTBLANK(Sales_Data[[#This Row],[Quantity]])</f>
        <v>0</v>
      </c>
      <c r="J306" t="str">
        <f>TEXT(Sales_Data[[#This Row],[Date]],"yyyy-mm")</f>
        <v>2025-07</v>
      </c>
    </row>
    <row r="307" spans="1:10" x14ac:dyDescent="0.35">
      <c r="A307" t="s">
        <v>696</v>
      </c>
      <c r="B307" s="3">
        <v>45835</v>
      </c>
      <c r="C307" t="s">
        <v>16</v>
      </c>
      <c r="D307" t="s">
        <v>371</v>
      </c>
      <c r="E307" t="s">
        <v>389</v>
      </c>
      <c r="F307">
        <v>1</v>
      </c>
      <c r="G307" s="6">
        <v>31962</v>
      </c>
      <c r="H307">
        <f>COUNTBLANK(Sales_Data[[#This Row],[Revenue]])</f>
        <v>0</v>
      </c>
      <c r="I307">
        <f>COUNTBLANK(Sales_Data[[#This Row],[Quantity]])</f>
        <v>0</v>
      </c>
      <c r="J307" t="str">
        <f>TEXT(Sales_Data[[#This Row],[Date]],"yyyy-mm")</f>
        <v>2025-06</v>
      </c>
    </row>
    <row r="308" spans="1:10" x14ac:dyDescent="0.35">
      <c r="A308" t="s">
        <v>697</v>
      </c>
      <c r="B308" s="3">
        <v>45714</v>
      </c>
      <c r="C308" t="s">
        <v>39</v>
      </c>
      <c r="D308" t="s">
        <v>153</v>
      </c>
      <c r="E308" t="s">
        <v>403</v>
      </c>
      <c r="F308">
        <v>1</v>
      </c>
      <c r="G308" s="6">
        <v>48288</v>
      </c>
      <c r="H308">
        <f>COUNTBLANK(Sales_Data[[#This Row],[Revenue]])</f>
        <v>0</v>
      </c>
      <c r="I308">
        <f>COUNTBLANK(Sales_Data[[#This Row],[Quantity]])</f>
        <v>0</v>
      </c>
      <c r="J308" t="str">
        <f>TEXT(Sales_Data[[#This Row],[Date]],"yyyy-mm")</f>
        <v>2025-02</v>
      </c>
    </row>
    <row r="309" spans="1:10" x14ac:dyDescent="0.35">
      <c r="A309" t="s">
        <v>698</v>
      </c>
      <c r="B309" s="3">
        <v>45711</v>
      </c>
      <c r="C309" t="s">
        <v>37</v>
      </c>
      <c r="D309" t="s">
        <v>167</v>
      </c>
      <c r="E309" t="s">
        <v>389</v>
      </c>
      <c r="F309">
        <v>9</v>
      </c>
      <c r="G309" s="6">
        <v>17577</v>
      </c>
      <c r="H309">
        <f>COUNTBLANK(Sales_Data[[#This Row],[Revenue]])</f>
        <v>0</v>
      </c>
      <c r="I309">
        <f>COUNTBLANK(Sales_Data[[#This Row],[Quantity]])</f>
        <v>0</v>
      </c>
      <c r="J309" t="str">
        <f>TEXT(Sales_Data[[#This Row],[Date]],"yyyy-mm")</f>
        <v>2025-02</v>
      </c>
    </row>
    <row r="310" spans="1:10" x14ac:dyDescent="0.35">
      <c r="A310" t="s">
        <v>699</v>
      </c>
      <c r="B310" s="3">
        <v>46012</v>
      </c>
      <c r="C310" t="s">
        <v>67</v>
      </c>
      <c r="D310" t="s">
        <v>123</v>
      </c>
      <c r="E310" t="s">
        <v>389</v>
      </c>
      <c r="F310">
        <v>2</v>
      </c>
      <c r="G310" s="6">
        <v>43232</v>
      </c>
      <c r="H310">
        <f>COUNTBLANK(Sales_Data[[#This Row],[Revenue]])</f>
        <v>0</v>
      </c>
      <c r="I310">
        <f>COUNTBLANK(Sales_Data[[#This Row],[Quantity]])</f>
        <v>0</v>
      </c>
      <c r="J310" t="str">
        <f>TEXT(Sales_Data[[#This Row],[Date]],"yyyy-mm")</f>
        <v>2025-12</v>
      </c>
    </row>
    <row r="311" spans="1:10" x14ac:dyDescent="0.35">
      <c r="A311" t="s">
        <v>700</v>
      </c>
      <c r="B311" s="3">
        <v>45910</v>
      </c>
      <c r="C311" t="s">
        <v>27</v>
      </c>
      <c r="D311" t="s">
        <v>227</v>
      </c>
      <c r="E311" t="s">
        <v>394</v>
      </c>
      <c r="F311">
        <v>9</v>
      </c>
      <c r="G311" s="6">
        <v>339156</v>
      </c>
      <c r="H311">
        <f>COUNTBLANK(Sales_Data[[#This Row],[Revenue]])</f>
        <v>0</v>
      </c>
      <c r="I311">
        <f>COUNTBLANK(Sales_Data[[#This Row],[Quantity]])</f>
        <v>0</v>
      </c>
      <c r="J311" t="str">
        <f>TEXT(Sales_Data[[#This Row],[Date]],"yyyy-mm")</f>
        <v>2025-09</v>
      </c>
    </row>
    <row r="312" spans="1:10" x14ac:dyDescent="0.35">
      <c r="A312" t="s">
        <v>701</v>
      </c>
      <c r="B312" s="3">
        <v>45832</v>
      </c>
      <c r="C312" t="s">
        <v>41</v>
      </c>
      <c r="D312" t="s">
        <v>173</v>
      </c>
      <c r="E312" t="s">
        <v>389</v>
      </c>
      <c r="F312">
        <v>7</v>
      </c>
      <c r="G312" s="6">
        <v>148834</v>
      </c>
      <c r="H312">
        <f>COUNTBLANK(Sales_Data[[#This Row],[Revenue]])</f>
        <v>0</v>
      </c>
      <c r="I312">
        <f>COUNTBLANK(Sales_Data[[#This Row],[Quantity]])</f>
        <v>0</v>
      </c>
      <c r="J312" t="str">
        <f>TEXT(Sales_Data[[#This Row],[Date]],"yyyy-mm")</f>
        <v>2025-06</v>
      </c>
    </row>
    <row r="313" spans="1:10" x14ac:dyDescent="0.35">
      <c r="A313" t="s">
        <v>702</v>
      </c>
      <c r="B313" s="3">
        <v>45696</v>
      </c>
      <c r="C313" t="s">
        <v>49</v>
      </c>
      <c r="D313" t="s">
        <v>113</v>
      </c>
      <c r="E313" t="s">
        <v>403</v>
      </c>
      <c r="F313">
        <v>4</v>
      </c>
      <c r="G313" s="6">
        <v>182056</v>
      </c>
      <c r="H313">
        <f>COUNTBLANK(Sales_Data[[#This Row],[Revenue]])</f>
        <v>0</v>
      </c>
      <c r="I313">
        <f>COUNTBLANK(Sales_Data[[#This Row],[Quantity]])</f>
        <v>0</v>
      </c>
      <c r="J313" t="str">
        <f>TEXT(Sales_Data[[#This Row],[Date]],"yyyy-mm")</f>
        <v>2025-02</v>
      </c>
    </row>
    <row r="314" spans="1:10" x14ac:dyDescent="0.35">
      <c r="A314" t="s">
        <v>703</v>
      </c>
      <c r="B314" s="3">
        <v>45684</v>
      </c>
      <c r="C314" t="s">
        <v>57</v>
      </c>
      <c r="D314" t="s">
        <v>97</v>
      </c>
      <c r="E314" t="s">
        <v>387</v>
      </c>
      <c r="F314">
        <v>1</v>
      </c>
      <c r="G314" s="6">
        <v>48789</v>
      </c>
      <c r="H314">
        <f>COUNTBLANK(Sales_Data[[#This Row],[Revenue]])</f>
        <v>0</v>
      </c>
      <c r="I314">
        <f>COUNTBLANK(Sales_Data[[#This Row],[Quantity]])</f>
        <v>0</v>
      </c>
      <c r="J314" t="str">
        <f>TEXT(Sales_Data[[#This Row],[Date]],"yyyy-mm")</f>
        <v>2025-01</v>
      </c>
    </row>
    <row r="315" spans="1:10" x14ac:dyDescent="0.35">
      <c r="A315" t="s">
        <v>704</v>
      </c>
      <c r="B315" s="3">
        <v>45863</v>
      </c>
      <c r="C315" t="s">
        <v>45</v>
      </c>
      <c r="D315" t="s">
        <v>255</v>
      </c>
      <c r="E315" t="s">
        <v>391</v>
      </c>
      <c r="F315">
        <v>2</v>
      </c>
      <c r="G315" s="6">
        <v>15652</v>
      </c>
      <c r="H315">
        <f>COUNTBLANK(Sales_Data[[#This Row],[Revenue]])</f>
        <v>0</v>
      </c>
      <c r="I315">
        <f>COUNTBLANK(Sales_Data[[#This Row],[Quantity]])</f>
        <v>0</v>
      </c>
      <c r="J315" t="str">
        <f>TEXT(Sales_Data[[#This Row],[Date]],"yyyy-mm")</f>
        <v>2025-07</v>
      </c>
    </row>
    <row r="316" spans="1:10" x14ac:dyDescent="0.35">
      <c r="A316" t="s">
        <v>705</v>
      </c>
      <c r="B316" s="3">
        <v>45750</v>
      </c>
      <c r="C316" t="s">
        <v>65</v>
      </c>
      <c r="D316" t="s">
        <v>293</v>
      </c>
      <c r="E316" t="s">
        <v>391</v>
      </c>
      <c r="F316">
        <v>3</v>
      </c>
      <c r="G316" s="6">
        <v>1635</v>
      </c>
      <c r="H316">
        <f>COUNTBLANK(Sales_Data[[#This Row],[Revenue]])</f>
        <v>0</v>
      </c>
      <c r="I316">
        <f>COUNTBLANK(Sales_Data[[#This Row],[Quantity]])</f>
        <v>0</v>
      </c>
      <c r="J316" t="str">
        <f>TEXT(Sales_Data[[#This Row],[Date]],"yyyy-mm")</f>
        <v>2025-04</v>
      </c>
    </row>
    <row r="317" spans="1:10" x14ac:dyDescent="0.35">
      <c r="A317" t="s">
        <v>706</v>
      </c>
      <c r="B317" s="3">
        <v>45714</v>
      </c>
      <c r="C317" t="s">
        <v>61</v>
      </c>
      <c r="D317" t="s">
        <v>191</v>
      </c>
      <c r="E317" t="s">
        <v>391</v>
      </c>
      <c r="F317">
        <v>9</v>
      </c>
      <c r="G317" s="6">
        <v>225144</v>
      </c>
      <c r="H317">
        <f>COUNTBLANK(Sales_Data[[#This Row],[Revenue]])</f>
        <v>0</v>
      </c>
      <c r="I317">
        <f>COUNTBLANK(Sales_Data[[#This Row],[Quantity]])</f>
        <v>0</v>
      </c>
      <c r="J317" t="str">
        <f>TEXT(Sales_Data[[#This Row],[Date]],"yyyy-mm")</f>
        <v>2025-02</v>
      </c>
    </row>
    <row r="318" spans="1:10" x14ac:dyDescent="0.35">
      <c r="A318" t="s">
        <v>707</v>
      </c>
      <c r="B318" s="3">
        <v>45982</v>
      </c>
      <c r="C318" t="s">
        <v>65</v>
      </c>
      <c r="D318" t="s">
        <v>151</v>
      </c>
      <c r="E318" t="s">
        <v>394</v>
      </c>
      <c r="F318">
        <v>6</v>
      </c>
      <c r="G318" s="6">
        <v>3270</v>
      </c>
      <c r="H318">
        <f>COUNTBLANK(Sales_Data[[#This Row],[Revenue]])</f>
        <v>0</v>
      </c>
      <c r="I318">
        <f>COUNTBLANK(Sales_Data[[#This Row],[Quantity]])</f>
        <v>0</v>
      </c>
      <c r="J318" t="str">
        <f>TEXT(Sales_Data[[#This Row],[Date]],"yyyy-mm")</f>
        <v>2025-11</v>
      </c>
    </row>
    <row r="319" spans="1:10" x14ac:dyDescent="0.35">
      <c r="A319" t="s">
        <v>708</v>
      </c>
      <c r="B319" s="3">
        <v>45853</v>
      </c>
      <c r="C319" t="s">
        <v>53</v>
      </c>
      <c r="D319" t="s">
        <v>179</v>
      </c>
      <c r="E319" t="s">
        <v>403</v>
      </c>
      <c r="F319">
        <v>7</v>
      </c>
      <c r="G319" s="6">
        <v>29456</v>
      </c>
      <c r="H319">
        <f>COUNTBLANK(Sales_Data[[#This Row],[Revenue]])</f>
        <v>0</v>
      </c>
      <c r="I319">
        <f>COUNTBLANK(Sales_Data[[#This Row],[Quantity]])</f>
        <v>0</v>
      </c>
      <c r="J319" t="str">
        <f>TEXT(Sales_Data[[#This Row],[Date]],"yyyy-mm")</f>
        <v>2025-07</v>
      </c>
    </row>
    <row r="320" spans="1:10" x14ac:dyDescent="0.35">
      <c r="A320" t="s">
        <v>709</v>
      </c>
      <c r="B320" s="3">
        <v>45672</v>
      </c>
      <c r="C320" t="s">
        <v>13</v>
      </c>
      <c r="D320" t="s">
        <v>177</v>
      </c>
      <c r="E320" t="s">
        <v>387</v>
      </c>
      <c r="F320">
        <v>7</v>
      </c>
      <c r="G320" s="6">
        <v>211239</v>
      </c>
      <c r="H320">
        <f>COUNTBLANK(Sales_Data[[#This Row],[Revenue]])</f>
        <v>0</v>
      </c>
      <c r="I320">
        <f>COUNTBLANK(Sales_Data[[#This Row],[Quantity]])</f>
        <v>0</v>
      </c>
      <c r="J320" t="str">
        <f>TEXT(Sales_Data[[#This Row],[Date]],"yyyy-mm")</f>
        <v>2025-01</v>
      </c>
    </row>
    <row r="321" spans="1:10" x14ac:dyDescent="0.35">
      <c r="A321" t="s">
        <v>710</v>
      </c>
      <c r="B321" s="3">
        <v>45924</v>
      </c>
      <c r="C321" t="s">
        <v>10</v>
      </c>
      <c r="D321" t="s">
        <v>351</v>
      </c>
      <c r="E321" t="s">
        <v>403</v>
      </c>
      <c r="F321">
        <v>10</v>
      </c>
      <c r="G321" s="6">
        <v>45160</v>
      </c>
      <c r="H321">
        <f>COUNTBLANK(Sales_Data[[#This Row],[Revenue]])</f>
        <v>0</v>
      </c>
      <c r="I321">
        <f>COUNTBLANK(Sales_Data[[#This Row],[Quantity]])</f>
        <v>0</v>
      </c>
      <c r="J321" t="str">
        <f>TEXT(Sales_Data[[#This Row],[Date]],"yyyy-mm")</f>
        <v>2025-09</v>
      </c>
    </row>
    <row r="322" spans="1:10" x14ac:dyDescent="0.35">
      <c r="A322" t="s">
        <v>711</v>
      </c>
      <c r="B322" s="3">
        <v>45689</v>
      </c>
      <c r="C322" t="s">
        <v>49</v>
      </c>
      <c r="D322" t="s">
        <v>329</v>
      </c>
      <c r="E322" t="s">
        <v>387</v>
      </c>
      <c r="F322">
        <v>5</v>
      </c>
      <c r="G322" s="6">
        <v>227570</v>
      </c>
      <c r="H322">
        <f>COUNTBLANK(Sales_Data[[#This Row],[Revenue]])</f>
        <v>0</v>
      </c>
      <c r="I322">
        <f>COUNTBLANK(Sales_Data[[#This Row],[Quantity]])</f>
        <v>0</v>
      </c>
      <c r="J322" t="str">
        <f>TEXT(Sales_Data[[#This Row],[Date]],"yyyy-mm")</f>
        <v>2025-02</v>
      </c>
    </row>
    <row r="323" spans="1:10" x14ac:dyDescent="0.35">
      <c r="A323" t="s">
        <v>712</v>
      </c>
      <c r="B323" s="3">
        <v>45959</v>
      </c>
      <c r="C323" t="s">
        <v>53</v>
      </c>
      <c r="D323" t="s">
        <v>227</v>
      </c>
      <c r="E323" t="s">
        <v>387</v>
      </c>
      <c r="F323">
        <v>6</v>
      </c>
      <c r="G323" s="6">
        <v>25248</v>
      </c>
      <c r="H323">
        <f>COUNTBLANK(Sales_Data[[#This Row],[Revenue]])</f>
        <v>0</v>
      </c>
      <c r="I323">
        <f>COUNTBLANK(Sales_Data[[#This Row],[Quantity]])</f>
        <v>0</v>
      </c>
      <c r="J323" t="str">
        <f>TEXT(Sales_Data[[#This Row],[Date]],"yyyy-mm")</f>
        <v>2025-10</v>
      </c>
    </row>
    <row r="324" spans="1:10" x14ac:dyDescent="0.35">
      <c r="A324" t="s">
        <v>713</v>
      </c>
      <c r="B324" s="3">
        <v>45867</v>
      </c>
      <c r="C324" t="s">
        <v>35</v>
      </c>
      <c r="D324" t="s">
        <v>213</v>
      </c>
      <c r="E324" t="s">
        <v>391</v>
      </c>
      <c r="F324">
        <v>6</v>
      </c>
      <c r="G324" s="6">
        <v>296760</v>
      </c>
      <c r="H324">
        <f>COUNTBLANK(Sales_Data[[#This Row],[Revenue]])</f>
        <v>0</v>
      </c>
      <c r="I324">
        <f>COUNTBLANK(Sales_Data[[#This Row],[Quantity]])</f>
        <v>0</v>
      </c>
      <c r="J324" t="str">
        <f>TEXT(Sales_Data[[#This Row],[Date]],"yyyy-mm")</f>
        <v>2025-07</v>
      </c>
    </row>
    <row r="325" spans="1:10" x14ac:dyDescent="0.35">
      <c r="A325" t="s">
        <v>714</v>
      </c>
      <c r="B325" s="3">
        <v>45919</v>
      </c>
      <c r="C325" t="s">
        <v>35</v>
      </c>
      <c r="D325" t="s">
        <v>295</v>
      </c>
      <c r="E325" t="s">
        <v>389</v>
      </c>
      <c r="F325">
        <v>4</v>
      </c>
      <c r="G325" s="6">
        <v>197840</v>
      </c>
      <c r="H325">
        <f>COUNTBLANK(Sales_Data[[#This Row],[Revenue]])</f>
        <v>0</v>
      </c>
      <c r="I325">
        <f>COUNTBLANK(Sales_Data[[#This Row],[Quantity]])</f>
        <v>0</v>
      </c>
      <c r="J325" t="str">
        <f>TEXT(Sales_Data[[#This Row],[Date]],"yyyy-mm")</f>
        <v>2025-09</v>
      </c>
    </row>
    <row r="326" spans="1:10" x14ac:dyDescent="0.35">
      <c r="A326" t="s">
        <v>715</v>
      </c>
      <c r="B326" s="3">
        <v>45728</v>
      </c>
      <c r="C326" t="s">
        <v>61</v>
      </c>
      <c r="D326" t="s">
        <v>109</v>
      </c>
      <c r="E326" t="s">
        <v>387</v>
      </c>
      <c r="F326">
        <v>4</v>
      </c>
      <c r="G326" s="6">
        <v>100064</v>
      </c>
      <c r="H326">
        <f>COUNTBLANK(Sales_Data[[#This Row],[Revenue]])</f>
        <v>0</v>
      </c>
      <c r="I326">
        <f>COUNTBLANK(Sales_Data[[#This Row],[Quantity]])</f>
        <v>0</v>
      </c>
      <c r="J326" t="str">
        <f>TEXT(Sales_Data[[#This Row],[Date]],"yyyy-mm")</f>
        <v>2025-03</v>
      </c>
    </row>
    <row r="327" spans="1:10" x14ac:dyDescent="0.35">
      <c r="A327" t="s">
        <v>716</v>
      </c>
      <c r="B327" s="3">
        <v>45672</v>
      </c>
      <c r="C327" t="s">
        <v>29</v>
      </c>
      <c r="D327" t="s">
        <v>305</v>
      </c>
      <c r="E327" t="s">
        <v>394</v>
      </c>
      <c r="F327">
        <v>1</v>
      </c>
      <c r="G327" s="6">
        <v>42644</v>
      </c>
      <c r="H327">
        <f>COUNTBLANK(Sales_Data[[#This Row],[Revenue]])</f>
        <v>0</v>
      </c>
      <c r="I327">
        <f>COUNTBLANK(Sales_Data[[#This Row],[Quantity]])</f>
        <v>0</v>
      </c>
      <c r="J327" t="str">
        <f>TEXT(Sales_Data[[#This Row],[Date]],"yyyy-mm")</f>
        <v>2025-01</v>
      </c>
    </row>
    <row r="328" spans="1:10" x14ac:dyDescent="0.35">
      <c r="A328" t="s">
        <v>717</v>
      </c>
      <c r="B328" s="3">
        <v>45667</v>
      </c>
      <c r="C328" t="s">
        <v>45</v>
      </c>
      <c r="D328" t="s">
        <v>109</v>
      </c>
      <c r="E328" t="s">
        <v>394</v>
      </c>
      <c r="F328">
        <v>8</v>
      </c>
      <c r="G328" s="6">
        <v>62608</v>
      </c>
      <c r="H328">
        <f>COUNTBLANK(Sales_Data[[#This Row],[Revenue]])</f>
        <v>0</v>
      </c>
      <c r="I328">
        <f>COUNTBLANK(Sales_Data[[#This Row],[Quantity]])</f>
        <v>0</v>
      </c>
      <c r="J328" t="str">
        <f>TEXT(Sales_Data[[#This Row],[Date]],"yyyy-mm")</f>
        <v>2025-01</v>
      </c>
    </row>
    <row r="329" spans="1:10" x14ac:dyDescent="0.35">
      <c r="A329" t="s">
        <v>718</v>
      </c>
      <c r="B329" s="3">
        <v>45881</v>
      </c>
      <c r="C329" t="s">
        <v>67</v>
      </c>
      <c r="D329" t="s">
        <v>349</v>
      </c>
      <c r="E329" t="s">
        <v>403</v>
      </c>
      <c r="F329">
        <v>5</v>
      </c>
      <c r="G329" s="6">
        <v>108080</v>
      </c>
      <c r="H329">
        <f>COUNTBLANK(Sales_Data[[#This Row],[Revenue]])</f>
        <v>0</v>
      </c>
      <c r="I329">
        <f>COUNTBLANK(Sales_Data[[#This Row],[Quantity]])</f>
        <v>0</v>
      </c>
      <c r="J329" t="str">
        <f>TEXT(Sales_Data[[#This Row],[Date]],"yyyy-mm")</f>
        <v>2025-08</v>
      </c>
    </row>
    <row r="330" spans="1:10" x14ac:dyDescent="0.35">
      <c r="A330" t="s">
        <v>719</v>
      </c>
      <c r="B330" s="3">
        <v>45873</v>
      </c>
      <c r="C330" t="s">
        <v>43</v>
      </c>
      <c r="D330" t="s">
        <v>175</v>
      </c>
      <c r="E330" t="s">
        <v>391</v>
      </c>
      <c r="F330">
        <v>9</v>
      </c>
      <c r="G330" s="6">
        <v>340425</v>
      </c>
      <c r="H330">
        <f>COUNTBLANK(Sales_Data[[#This Row],[Revenue]])</f>
        <v>0</v>
      </c>
      <c r="I330">
        <f>COUNTBLANK(Sales_Data[[#This Row],[Quantity]])</f>
        <v>0</v>
      </c>
      <c r="J330" t="str">
        <f>TEXT(Sales_Data[[#This Row],[Date]],"yyyy-mm")</f>
        <v>2025-08</v>
      </c>
    </row>
    <row r="331" spans="1:10" x14ac:dyDescent="0.35">
      <c r="A331" t="s">
        <v>720</v>
      </c>
      <c r="B331" s="3">
        <v>45736</v>
      </c>
      <c r="C331" t="s">
        <v>19</v>
      </c>
      <c r="D331" t="s">
        <v>227</v>
      </c>
      <c r="E331" t="s">
        <v>394</v>
      </c>
      <c r="F331">
        <v>7</v>
      </c>
      <c r="G331" s="6">
        <v>295113</v>
      </c>
      <c r="H331">
        <f>COUNTBLANK(Sales_Data[[#This Row],[Revenue]])</f>
        <v>0</v>
      </c>
      <c r="I331">
        <f>COUNTBLANK(Sales_Data[[#This Row],[Quantity]])</f>
        <v>0</v>
      </c>
      <c r="J331" t="str">
        <f>TEXT(Sales_Data[[#This Row],[Date]],"yyyy-mm")</f>
        <v>2025-03</v>
      </c>
    </row>
    <row r="332" spans="1:10" x14ac:dyDescent="0.35">
      <c r="A332" t="s">
        <v>721</v>
      </c>
      <c r="B332" s="3">
        <v>45944</v>
      </c>
      <c r="C332" t="s">
        <v>41</v>
      </c>
      <c r="D332" t="s">
        <v>217</v>
      </c>
      <c r="E332" t="s">
        <v>394</v>
      </c>
      <c r="F332">
        <v>5</v>
      </c>
      <c r="G332" s="6">
        <v>106310</v>
      </c>
      <c r="H332">
        <f>COUNTBLANK(Sales_Data[[#This Row],[Revenue]])</f>
        <v>0</v>
      </c>
      <c r="I332">
        <f>COUNTBLANK(Sales_Data[[#This Row],[Quantity]])</f>
        <v>0</v>
      </c>
      <c r="J332" t="str">
        <f>TEXT(Sales_Data[[#This Row],[Date]],"yyyy-mm")</f>
        <v>2025-10</v>
      </c>
    </row>
    <row r="333" spans="1:10" x14ac:dyDescent="0.35">
      <c r="A333" t="s">
        <v>722</v>
      </c>
      <c r="B333" s="3">
        <v>45747</v>
      </c>
      <c r="C333" t="s">
        <v>10</v>
      </c>
      <c r="D333" t="s">
        <v>323</v>
      </c>
      <c r="E333" t="s">
        <v>389</v>
      </c>
      <c r="F333">
        <v>10</v>
      </c>
      <c r="G333" s="6">
        <v>45160</v>
      </c>
      <c r="H333">
        <f>COUNTBLANK(Sales_Data[[#This Row],[Revenue]])</f>
        <v>0</v>
      </c>
      <c r="I333">
        <f>COUNTBLANK(Sales_Data[[#This Row],[Quantity]])</f>
        <v>0</v>
      </c>
      <c r="J333" t="str">
        <f>TEXT(Sales_Data[[#This Row],[Date]],"yyyy-mm")</f>
        <v>2025-03</v>
      </c>
    </row>
    <row r="334" spans="1:10" x14ac:dyDescent="0.35">
      <c r="A334" t="s">
        <v>723</v>
      </c>
      <c r="B334" s="3">
        <v>45844</v>
      </c>
      <c r="C334" t="s">
        <v>27</v>
      </c>
      <c r="D334" t="s">
        <v>189</v>
      </c>
      <c r="E334" t="s">
        <v>387</v>
      </c>
      <c r="F334">
        <v>9</v>
      </c>
      <c r="G334" s="6">
        <v>339156</v>
      </c>
      <c r="H334">
        <f>COUNTBLANK(Sales_Data[[#This Row],[Revenue]])</f>
        <v>0</v>
      </c>
      <c r="I334">
        <f>COUNTBLANK(Sales_Data[[#This Row],[Quantity]])</f>
        <v>0</v>
      </c>
      <c r="J334" t="str">
        <f>TEXT(Sales_Data[[#This Row],[Date]],"yyyy-mm")</f>
        <v>2025-07</v>
      </c>
    </row>
    <row r="335" spans="1:10" x14ac:dyDescent="0.35">
      <c r="A335" t="s">
        <v>724</v>
      </c>
      <c r="B335" s="3">
        <v>45991</v>
      </c>
      <c r="C335" t="s">
        <v>51</v>
      </c>
      <c r="D335" t="s">
        <v>343</v>
      </c>
      <c r="E335" t="s">
        <v>389</v>
      </c>
      <c r="F335">
        <v>4</v>
      </c>
      <c r="G335" s="6">
        <v>125756</v>
      </c>
      <c r="H335">
        <f>COUNTBLANK(Sales_Data[[#This Row],[Revenue]])</f>
        <v>0</v>
      </c>
      <c r="I335">
        <f>COUNTBLANK(Sales_Data[[#This Row],[Quantity]])</f>
        <v>0</v>
      </c>
      <c r="J335" t="str">
        <f>TEXT(Sales_Data[[#This Row],[Date]],"yyyy-mm")</f>
        <v>2025-11</v>
      </c>
    </row>
    <row r="336" spans="1:10" x14ac:dyDescent="0.35">
      <c r="A336" t="s">
        <v>725</v>
      </c>
      <c r="B336" s="3">
        <v>45664</v>
      </c>
      <c r="C336" t="s">
        <v>31</v>
      </c>
      <c r="D336" t="s">
        <v>145</v>
      </c>
      <c r="E336" t="s">
        <v>391</v>
      </c>
      <c r="F336">
        <v>7</v>
      </c>
      <c r="G336" s="6">
        <v>209762</v>
      </c>
      <c r="H336">
        <f>COUNTBLANK(Sales_Data[[#This Row],[Revenue]])</f>
        <v>0</v>
      </c>
      <c r="I336">
        <f>COUNTBLANK(Sales_Data[[#This Row],[Quantity]])</f>
        <v>0</v>
      </c>
      <c r="J336" t="str">
        <f>TEXT(Sales_Data[[#This Row],[Date]],"yyyy-mm")</f>
        <v>2025-01</v>
      </c>
    </row>
    <row r="337" spans="1:10" x14ac:dyDescent="0.35">
      <c r="A337" t="s">
        <v>726</v>
      </c>
      <c r="B337" s="3">
        <v>45827</v>
      </c>
      <c r="C337" t="s">
        <v>39</v>
      </c>
      <c r="D337" t="s">
        <v>131</v>
      </c>
      <c r="E337" t="s">
        <v>391</v>
      </c>
      <c r="F337">
        <v>1</v>
      </c>
      <c r="G337" s="6">
        <v>48288</v>
      </c>
      <c r="H337">
        <f>COUNTBLANK(Sales_Data[[#This Row],[Revenue]])</f>
        <v>0</v>
      </c>
      <c r="I337">
        <f>COUNTBLANK(Sales_Data[[#This Row],[Quantity]])</f>
        <v>0</v>
      </c>
      <c r="J337" t="str">
        <f>TEXT(Sales_Data[[#This Row],[Date]],"yyyy-mm")</f>
        <v>2025-06</v>
      </c>
    </row>
    <row r="338" spans="1:10" x14ac:dyDescent="0.35">
      <c r="A338" t="s">
        <v>727</v>
      </c>
      <c r="B338" s="3">
        <v>45794</v>
      </c>
      <c r="C338" t="s">
        <v>63</v>
      </c>
      <c r="D338" t="s">
        <v>283</v>
      </c>
      <c r="E338" t="s">
        <v>403</v>
      </c>
      <c r="F338">
        <v>5</v>
      </c>
      <c r="G338" s="6">
        <v>43840</v>
      </c>
      <c r="H338">
        <f>COUNTBLANK(Sales_Data[[#This Row],[Revenue]])</f>
        <v>0</v>
      </c>
      <c r="I338">
        <f>COUNTBLANK(Sales_Data[[#This Row],[Quantity]])</f>
        <v>0</v>
      </c>
      <c r="J338" t="str">
        <f>TEXT(Sales_Data[[#This Row],[Date]],"yyyy-mm")</f>
        <v>2025-05</v>
      </c>
    </row>
    <row r="339" spans="1:10" x14ac:dyDescent="0.35">
      <c r="A339" t="s">
        <v>728</v>
      </c>
      <c r="B339" s="3">
        <v>45767</v>
      </c>
      <c r="C339" t="s">
        <v>41</v>
      </c>
      <c r="D339" t="s">
        <v>159</v>
      </c>
      <c r="E339" t="s">
        <v>389</v>
      </c>
      <c r="F339">
        <v>8</v>
      </c>
      <c r="G339" s="6">
        <v>170096</v>
      </c>
      <c r="H339">
        <f>COUNTBLANK(Sales_Data[[#This Row],[Revenue]])</f>
        <v>0</v>
      </c>
      <c r="I339">
        <f>COUNTBLANK(Sales_Data[[#This Row],[Quantity]])</f>
        <v>0</v>
      </c>
      <c r="J339" t="str">
        <f>TEXT(Sales_Data[[#This Row],[Date]],"yyyy-mm")</f>
        <v>2025-04</v>
      </c>
    </row>
    <row r="340" spans="1:10" x14ac:dyDescent="0.35">
      <c r="A340" t="s">
        <v>729</v>
      </c>
      <c r="B340" s="3">
        <v>45920</v>
      </c>
      <c r="C340" t="s">
        <v>41</v>
      </c>
      <c r="D340" t="s">
        <v>177</v>
      </c>
      <c r="E340" t="s">
        <v>394</v>
      </c>
      <c r="F340">
        <v>2</v>
      </c>
      <c r="G340" s="6">
        <v>42524</v>
      </c>
      <c r="H340">
        <f>COUNTBLANK(Sales_Data[[#This Row],[Revenue]])</f>
        <v>0</v>
      </c>
      <c r="I340">
        <f>COUNTBLANK(Sales_Data[[#This Row],[Quantity]])</f>
        <v>0</v>
      </c>
      <c r="J340" t="str">
        <f>TEXT(Sales_Data[[#This Row],[Date]],"yyyy-mm")</f>
        <v>2025-09</v>
      </c>
    </row>
    <row r="341" spans="1:10" x14ac:dyDescent="0.35">
      <c r="A341" t="s">
        <v>730</v>
      </c>
      <c r="B341" s="3">
        <v>45694</v>
      </c>
      <c r="C341" t="s">
        <v>37</v>
      </c>
      <c r="D341" t="s">
        <v>359</v>
      </c>
      <c r="E341" t="s">
        <v>391</v>
      </c>
      <c r="F341">
        <v>2</v>
      </c>
      <c r="G341" s="6">
        <v>3906</v>
      </c>
      <c r="H341">
        <f>COUNTBLANK(Sales_Data[[#This Row],[Revenue]])</f>
        <v>0</v>
      </c>
      <c r="I341">
        <f>COUNTBLANK(Sales_Data[[#This Row],[Quantity]])</f>
        <v>0</v>
      </c>
      <c r="J341" t="str">
        <f>TEXT(Sales_Data[[#This Row],[Date]],"yyyy-mm")</f>
        <v>2025-02</v>
      </c>
    </row>
    <row r="342" spans="1:10" x14ac:dyDescent="0.35">
      <c r="A342" t="s">
        <v>731</v>
      </c>
      <c r="B342" s="3">
        <v>45846</v>
      </c>
      <c r="C342" t="s">
        <v>57</v>
      </c>
      <c r="D342" t="s">
        <v>353</v>
      </c>
      <c r="E342" t="s">
        <v>391</v>
      </c>
      <c r="F342">
        <v>7</v>
      </c>
      <c r="G342" s="6">
        <v>341523</v>
      </c>
      <c r="H342">
        <f>COUNTBLANK(Sales_Data[[#This Row],[Revenue]])</f>
        <v>0</v>
      </c>
      <c r="I342">
        <f>COUNTBLANK(Sales_Data[[#This Row],[Quantity]])</f>
        <v>0</v>
      </c>
      <c r="J342" t="str">
        <f>TEXT(Sales_Data[[#This Row],[Date]],"yyyy-mm")</f>
        <v>2025-07</v>
      </c>
    </row>
    <row r="343" spans="1:10" x14ac:dyDescent="0.35">
      <c r="A343" t="s">
        <v>732</v>
      </c>
      <c r="B343" s="3">
        <v>46009</v>
      </c>
      <c r="C343" t="s">
        <v>7</v>
      </c>
      <c r="D343" t="s">
        <v>301</v>
      </c>
      <c r="E343" t="s">
        <v>391</v>
      </c>
      <c r="F343">
        <v>5</v>
      </c>
      <c r="G343" s="6">
        <v>130665</v>
      </c>
      <c r="H343">
        <f>COUNTBLANK(Sales_Data[[#This Row],[Revenue]])</f>
        <v>0</v>
      </c>
      <c r="I343">
        <f>COUNTBLANK(Sales_Data[[#This Row],[Quantity]])</f>
        <v>0</v>
      </c>
      <c r="J343" t="str">
        <f>TEXT(Sales_Data[[#This Row],[Date]],"yyyy-mm")</f>
        <v>2025-12</v>
      </c>
    </row>
    <row r="344" spans="1:10" x14ac:dyDescent="0.35">
      <c r="A344" t="s">
        <v>733</v>
      </c>
      <c r="B344" s="3">
        <v>46003</v>
      </c>
      <c r="C344" t="s">
        <v>13</v>
      </c>
      <c r="D344" t="s">
        <v>339</v>
      </c>
      <c r="E344" t="s">
        <v>387</v>
      </c>
      <c r="F344">
        <v>2</v>
      </c>
      <c r="G344" s="6">
        <v>60354</v>
      </c>
      <c r="H344">
        <f>COUNTBLANK(Sales_Data[[#This Row],[Revenue]])</f>
        <v>0</v>
      </c>
      <c r="I344">
        <f>COUNTBLANK(Sales_Data[[#This Row],[Quantity]])</f>
        <v>0</v>
      </c>
      <c r="J344" t="str">
        <f>TEXT(Sales_Data[[#This Row],[Date]],"yyyy-mm")</f>
        <v>2025-12</v>
      </c>
    </row>
    <row r="345" spans="1:10" x14ac:dyDescent="0.35">
      <c r="A345" t="s">
        <v>734</v>
      </c>
      <c r="B345" s="3">
        <v>45916</v>
      </c>
      <c r="C345" t="s">
        <v>57</v>
      </c>
      <c r="D345" t="s">
        <v>269</v>
      </c>
      <c r="E345" t="s">
        <v>389</v>
      </c>
      <c r="F345">
        <v>1</v>
      </c>
      <c r="G345" s="6">
        <v>48789</v>
      </c>
      <c r="H345">
        <f>COUNTBLANK(Sales_Data[[#This Row],[Revenue]])</f>
        <v>0</v>
      </c>
      <c r="I345">
        <f>COUNTBLANK(Sales_Data[[#This Row],[Quantity]])</f>
        <v>0</v>
      </c>
      <c r="J345" t="str">
        <f>TEXT(Sales_Data[[#This Row],[Date]],"yyyy-mm")</f>
        <v>2025-09</v>
      </c>
    </row>
    <row r="346" spans="1:10" x14ac:dyDescent="0.35">
      <c r="A346" t="s">
        <v>735</v>
      </c>
      <c r="B346" s="3">
        <v>45927</v>
      </c>
      <c r="C346" t="s">
        <v>31</v>
      </c>
      <c r="D346" t="s">
        <v>139</v>
      </c>
      <c r="E346" t="s">
        <v>394</v>
      </c>
      <c r="F346">
        <v>5</v>
      </c>
      <c r="G346" s="6">
        <v>149830</v>
      </c>
      <c r="H346">
        <f>COUNTBLANK(Sales_Data[[#This Row],[Revenue]])</f>
        <v>0</v>
      </c>
      <c r="I346">
        <f>COUNTBLANK(Sales_Data[[#This Row],[Quantity]])</f>
        <v>0</v>
      </c>
      <c r="J346" t="str">
        <f>TEXT(Sales_Data[[#This Row],[Date]],"yyyy-mm")</f>
        <v>2025-09</v>
      </c>
    </row>
    <row r="347" spans="1:10" x14ac:dyDescent="0.35">
      <c r="A347" t="s">
        <v>736</v>
      </c>
      <c r="B347" s="3">
        <v>45933</v>
      </c>
      <c r="C347" t="s">
        <v>35</v>
      </c>
      <c r="D347" t="s">
        <v>145</v>
      </c>
      <c r="E347" t="s">
        <v>391</v>
      </c>
      <c r="F347">
        <v>10</v>
      </c>
      <c r="G347" s="6">
        <v>494600</v>
      </c>
      <c r="H347">
        <f>COUNTBLANK(Sales_Data[[#This Row],[Revenue]])</f>
        <v>0</v>
      </c>
      <c r="I347">
        <f>COUNTBLANK(Sales_Data[[#This Row],[Quantity]])</f>
        <v>0</v>
      </c>
      <c r="J347" t="str">
        <f>TEXT(Sales_Data[[#This Row],[Date]],"yyyy-mm")</f>
        <v>2025-10</v>
      </c>
    </row>
    <row r="348" spans="1:10" x14ac:dyDescent="0.35">
      <c r="A348" t="s">
        <v>737</v>
      </c>
      <c r="B348" s="3">
        <v>45782</v>
      </c>
      <c r="C348" t="s">
        <v>63</v>
      </c>
      <c r="D348" t="s">
        <v>81</v>
      </c>
      <c r="E348" t="s">
        <v>387</v>
      </c>
      <c r="F348">
        <v>7</v>
      </c>
      <c r="G348" s="6">
        <v>61376</v>
      </c>
      <c r="H348">
        <f>COUNTBLANK(Sales_Data[[#This Row],[Revenue]])</f>
        <v>0</v>
      </c>
      <c r="I348">
        <f>COUNTBLANK(Sales_Data[[#This Row],[Quantity]])</f>
        <v>0</v>
      </c>
      <c r="J348" t="str">
        <f>TEXT(Sales_Data[[#This Row],[Date]],"yyyy-mm")</f>
        <v>2025-05</v>
      </c>
    </row>
    <row r="349" spans="1:10" x14ac:dyDescent="0.35">
      <c r="A349" t="s">
        <v>738</v>
      </c>
      <c r="B349" s="3">
        <v>45686</v>
      </c>
      <c r="C349" t="s">
        <v>19</v>
      </c>
      <c r="D349" t="s">
        <v>319</v>
      </c>
      <c r="E349" t="s">
        <v>387</v>
      </c>
      <c r="F349">
        <v>1</v>
      </c>
      <c r="G349" s="6">
        <v>42159</v>
      </c>
      <c r="H349">
        <f>COUNTBLANK(Sales_Data[[#This Row],[Revenue]])</f>
        <v>0</v>
      </c>
      <c r="I349">
        <f>COUNTBLANK(Sales_Data[[#This Row],[Quantity]])</f>
        <v>0</v>
      </c>
      <c r="J349" t="str">
        <f>TEXT(Sales_Data[[#This Row],[Date]],"yyyy-mm")</f>
        <v>2025-01</v>
      </c>
    </row>
    <row r="350" spans="1:10" x14ac:dyDescent="0.35">
      <c r="A350" t="s">
        <v>739</v>
      </c>
      <c r="B350" s="3">
        <v>45872</v>
      </c>
      <c r="C350" t="s">
        <v>53</v>
      </c>
      <c r="D350" t="s">
        <v>165</v>
      </c>
      <c r="E350" t="s">
        <v>403</v>
      </c>
      <c r="F350">
        <v>6</v>
      </c>
      <c r="G350" s="6">
        <v>25248</v>
      </c>
      <c r="H350">
        <f>COUNTBLANK(Sales_Data[[#This Row],[Revenue]])</f>
        <v>0</v>
      </c>
      <c r="I350">
        <f>COUNTBLANK(Sales_Data[[#This Row],[Quantity]])</f>
        <v>0</v>
      </c>
      <c r="J350" t="str">
        <f>TEXT(Sales_Data[[#This Row],[Date]],"yyyy-mm")</f>
        <v>2025-08</v>
      </c>
    </row>
    <row r="351" spans="1:10" x14ac:dyDescent="0.35">
      <c r="A351" t="s">
        <v>740</v>
      </c>
      <c r="B351" s="3">
        <v>45764</v>
      </c>
      <c r="C351" t="s">
        <v>63</v>
      </c>
      <c r="D351" t="s">
        <v>209</v>
      </c>
      <c r="E351" t="s">
        <v>391</v>
      </c>
      <c r="F351">
        <v>6</v>
      </c>
      <c r="G351" s="6">
        <v>52608</v>
      </c>
      <c r="H351">
        <f>COUNTBLANK(Sales_Data[[#This Row],[Revenue]])</f>
        <v>0</v>
      </c>
      <c r="I351">
        <f>COUNTBLANK(Sales_Data[[#This Row],[Quantity]])</f>
        <v>0</v>
      </c>
      <c r="J351" t="str">
        <f>TEXT(Sales_Data[[#This Row],[Date]],"yyyy-mm")</f>
        <v>2025-04</v>
      </c>
    </row>
    <row r="352" spans="1:10" x14ac:dyDescent="0.35">
      <c r="A352" t="s">
        <v>741</v>
      </c>
      <c r="B352" s="3">
        <v>45956</v>
      </c>
      <c r="C352" t="s">
        <v>23</v>
      </c>
      <c r="D352" t="s">
        <v>91</v>
      </c>
      <c r="E352" t="s">
        <v>391</v>
      </c>
      <c r="F352">
        <v>6</v>
      </c>
      <c r="G352" s="6">
        <v>36414</v>
      </c>
      <c r="H352">
        <f>COUNTBLANK(Sales_Data[[#This Row],[Revenue]])</f>
        <v>0</v>
      </c>
      <c r="I352">
        <f>COUNTBLANK(Sales_Data[[#This Row],[Quantity]])</f>
        <v>0</v>
      </c>
      <c r="J352" t="str">
        <f>TEXT(Sales_Data[[#This Row],[Date]],"yyyy-mm")</f>
        <v>2025-10</v>
      </c>
    </row>
    <row r="353" spans="1:10" x14ac:dyDescent="0.35">
      <c r="A353" t="s">
        <v>742</v>
      </c>
      <c r="B353" s="3">
        <v>45911</v>
      </c>
      <c r="C353" t="s">
        <v>51</v>
      </c>
      <c r="D353" t="s">
        <v>307</v>
      </c>
      <c r="E353" t="s">
        <v>387</v>
      </c>
      <c r="F353">
        <v>4</v>
      </c>
      <c r="G353" s="6">
        <v>125756</v>
      </c>
      <c r="H353">
        <f>COUNTBLANK(Sales_Data[[#This Row],[Revenue]])</f>
        <v>0</v>
      </c>
      <c r="I353">
        <f>COUNTBLANK(Sales_Data[[#This Row],[Quantity]])</f>
        <v>0</v>
      </c>
      <c r="J353" t="str">
        <f>TEXT(Sales_Data[[#This Row],[Date]],"yyyy-mm")</f>
        <v>2025-09</v>
      </c>
    </row>
    <row r="354" spans="1:10" x14ac:dyDescent="0.35">
      <c r="A354" t="s">
        <v>743</v>
      </c>
      <c r="B354" s="3">
        <v>45814</v>
      </c>
      <c r="C354" t="s">
        <v>49</v>
      </c>
      <c r="D354" t="s">
        <v>115</v>
      </c>
      <c r="E354" t="s">
        <v>387</v>
      </c>
      <c r="F354">
        <v>6</v>
      </c>
      <c r="G354" s="6">
        <v>273084</v>
      </c>
      <c r="H354">
        <f>COUNTBLANK(Sales_Data[[#This Row],[Revenue]])</f>
        <v>0</v>
      </c>
      <c r="I354">
        <f>COUNTBLANK(Sales_Data[[#This Row],[Quantity]])</f>
        <v>0</v>
      </c>
      <c r="J354" t="str">
        <f>TEXT(Sales_Data[[#This Row],[Date]],"yyyy-mm")</f>
        <v>2025-06</v>
      </c>
    </row>
    <row r="355" spans="1:10" x14ac:dyDescent="0.35">
      <c r="A355" t="s">
        <v>744</v>
      </c>
      <c r="B355" s="3">
        <v>45784</v>
      </c>
      <c r="C355" t="s">
        <v>19</v>
      </c>
      <c r="D355" t="s">
        <v>329</v>
      </c>
      <c r="E355" t="s">
        <v>391</v>
      </c>
      <c r="F355">
        <v>7</v>
      </c>
      <c r="G355" s="6">
        <v>295113</v>
      </c>
      <c r="H355">
        <f>COUNTBLANK(Sales_Data[[#This Row],[Revenue]])</f>
        <v>0</v>
      </c>
      <c r="I355">
        <f>COUNTBLANK(Sales_Data[[#This Row],[Quantity]])</f>
        <v>0</v>
      </c>
      <c r="J355" t="str">
        <f>TEXT(Sales_Data[[#This Row],[Date]],"yyyy-mm")</f>
        <v>2025-05</v>
      </c>
    </row>
    <row r="356" spans="1:10" x14ac:dyDescent="0.35">
      <c r="A356" t="s">
        <v>745</v>
      </c>
      <c r="B356" s="3">
        <v>45747</v>
      </c>
      <c r="C356" t="s">
        <v>25</v>
      </c>
      <c r="D356" t="s">
        <v>331</v>
      </c>
      <c r="E356" t="s">
        <v>394</v>
      </c>
      <c r="F356">
        <v>9</v>
      </c>
      <c r="G356" s="6">
        <v>164187</v>
      </c>
      <c r="H356">
        <f>COUNTBLANK(Sales_Data[[#This Row],[Revenue]])</f>
        <v>0</v>
      </c>
      <c r="I356">
        <f>COUNTBLANK(Sales_Data[[#This Row],[Quantity]])</f>
        <v>0</v>
      </c>
      <c r="J356" t="str">
        <f>TEXT(Sales_Data[[#This Row],[Date]],"yyyy-mm")</f>
        <v>2025-03</v>
      </c>
    </row>
    <row r="357" spans="1:10" x14ac:dyDescent="0.35">
      <c r="A357" t="s">
        <v>746</v>
      </c>
      <c r="B357" s="3">
        <v>45712</v>
      </c>
      <c r="C357" t="s">
        <v>57</v>
      </c>
      <c r="D357" t="s">
        <v>239</v>
      </c>
      <c r="E357" t="s">
        <v>389</v>
      </c>
      <c r="F357">
        <v>6</v>
      </c>
      <c r="G357" s="6">
        <v>292734</v>
      </c>
      <c r="H357">
        <f>COUNTBLANK(Sales_Data[[#This Row],[Revenue]])</f>
        <v>0</v>
      </c>
      <c r="I357">
        <f>COUNTBLANK(Sales_Data[[#This Row],[Quantity]])</f>
        <v>0</v>
      </c>
      <c r="J357" t="str">
        <f>TEXT(Sales_Data[[#This Row],[Date]],"yyyy-mm")</f>
        <v>2025-02</v>
      </c>
    </row>
    <row r="358" spans="1:10" x14ac:dyDescent="0.35">
      <c r="A358" t="s">
        <v>747</v>
      </c>
      <c r="B358" s="3">
        <v>45835</v>
      </c>
      <c r="C358" t="s">
        <v>31</v>
      </c>
      <c r="D358" t="s">
        <v>141</v>
      </c>
      <c r="E358" t="s">
        <v>403</v>
      </c>
      <c r="F358">
        <v>8</v>
      </c>
      <c r="G358" s="6">
        <v>239728</v>
      </c>
      <c r="H358">
        <f>COUNTBLANK(Sales_Data[[#This Row],[Revenue]])</f>
        <v>0</v>
      </c>
      <c r="I358">
        <f>COUNTBLANK(Sales_Data[[#This Row],[Quantity]])</f>
        <v>0</v>
      </c>
      <c r="J358" t="str">
        <f>TEXT(Sales_Data[[#This Row],[Date]],"yyyy-mm")</f>
        <v>2025-06</v>
      </c>
    </row>
    <row r="359" spans="1:10" x14ac:dyDescent="0.35">
      <c r="A359" t="s">
        <v>748</v>
      </c>
      <c r="B359" s="3">
        <v>45999</v>
      </c>
      <c r="C359" t="s">
        <v>4</v>
      </c>
      <c r="D359" t="s">
        <v>101</v>
      </c>
      <c r="E359" t="s">
        <v>391</v>
      </c>
      <c r="F359">
        <v>7</v>
      </c>
      <c r="G359" s="6">
        <v>82705</v>
      </c>
      <c r="H359">
        <f>COUNTBLANK(Sales_Data[[#This Row],[Revenue]])</f>
        <v>0</v>
      </c>
      <c r="I359">
        <f>COUNTBLANK(Sales_Data[[#This Row],[Quantity]])</f>
        <v>0</v>
      </c>
      <c r="J359" t="str">
        <f>TEXT(Sales_Data[[#This Row],[Date]],"yyyy-mm")</f>
        <v>2025-12</v>
      </c>
    </row>
    <row r="360" spans="1:10" x14ac:dyDescent="0.35">
      <c r="A360" t="s">
        <v>749</v>
      </c>
      <c r="B360" s="3">
        <v>45662</v>
      </c>
      <c r="C360" t="s">
        <v>49</v>
      </c>
      <c r="D360" t="s">
        <v>91</v>
      </c>
      <c r="E360" t="s">
        <v>391</v>
      </c>
      <c r="F360">
        <v>3</v>
      </c>
      <c r="G360" s="6">
        <v>136542</v>
      </c>
      <c r="H360">
        <f>COUNTBLANK(Sales_Data[[#This Row],[Revenue]])</f>
        <v>0</v>
      </c>
      <c r="I360">
        <f>COUNTBLANK(Sales_Data[[#This Row],[Quantity]])</f>
        <v>0</v>
      </c>
      <c r="J360" t="str">
        <f>TEXT(Sales_Data[[#This Row],[Date]],"yyyy-mm")</f>
        <v>2025-01</v>
      </c>
    </row>
    <row r="361" spans="1:10" x14ac:dyDescent="0.35">
      <c r="A361" t="s">
        <v>750</v>
      </c>
      <c r="B361" s="3">
        <v>45660</v>
      </c>
      <c r="C361" t="s">
        <v>47</v>
      </c>
      <c r="D361" t="s">
        <v>279</v>
      </c>
      <c r="E361" t="s">
        <v>387</v>
      </c>
      <c r="F361">
        <v>4</v>
      </c>
      <c r="G361" s="6">
        <v>88248</v>
      </c>
      <c r="H361">
        <f>COUNTBLANK(Sales_Data[[#This Row],[Revenue]])</f>
        <v>0</v>
      </c>
      <c r="I361">
        <f>COUNTBLANK(Sales_Data[[#This Row],[Quantity]])</f>
        <v>0</v>
      </c>
      <c r="J361" t="str">
        <f>TEXT(Sales_Data[[#This Row],[Date]],"yyyy-mm")</f>
        <v>2025-01</v>
      </c>
    </row>
    <row r="362" spans="1:10" x14ac:dyDescent="0.35">
      <c r="A362" t="s">
        <v>751</v>
      </c>
      <c r="B362" s="3">
        <v>45845</v>
      </c>
      <c r="C362" t="s">
        <v>41</v>
      </c>
      <c r="D362" t="s">
        <v>157</v>
      </c>
      <c r="E362" t="s">
        <v>391</v>
      </c>
      <c r="F362">
        <v>3</v>
      </c>
      <c r="G362" s="6">
        <v>63786</v>
      </c>
      <c r="H362">
        <f>COUNTBLANK(Sales_Data[[#This Row],[Revenue]])</f>
        <v>0</v>
      </c>
      <c r="I362">
        <f>COUNTBLANK(Sales_Data[[#This Row],[Quantity]])</f>
        <v>0</v>
      </c>
      <c r="J362" t="str">
        <f>TEXT(Sales_Data[[#This Row],[Date]],"yyyy-mm")</f>
        <v>2025-07</v>
      </c>
    </row>
    <row r="363" spans="1:10" x14ac:dyDescent="0.35">
      <c r="A363" t="s">
        <v>752</v>
      </c>
      <c r="B363" s="3">
        <v>45713</v>
      </c>
      <c r="C363" t="s">
        <v>13</v>
      </c>
      <c r="D363" t="s">
        <v>115</v>
      </c>
      <c r="E363" t="s">
        <v>389</v>
      </c>
      <c r="F363">
        <v>1</v>
      </c>
      <c r="G363" s="6">
        <v>30177</v>
      </c>
      <c r="H363">
        <f>COUNTBLANK(Sales_Data[[#This Row],[Revenue]])</f>
        <v>0</v>
      </c>
      <c r="I363">
        <f>COUNTBLANK(Sales_Data[[#This Row],[Quantity]])</f>
        <v>0</v>
      </c>
      <c r="J363" t="str">
        <f>TEXT(Sales_Data[[#This Row],[Date]],"yyyy-mm")</f>
        <v>2025-02</v>
      </c>
    </row>
    <row r="364" spans="1:10" x14ac:dyDescent="0.35">
      <c r="A364" t="s">
        <v>753</v>
      </c>
      <c r="B364" s="3">
        <v>45876</v>
      </c>
      <c r="C364" t="s">
        <v>63</v>
      </c>
      <c r="D364" t="s">
        <v>193</v>
      </c>
      <c r="E364" t="s">
        <v>403</v>
      </c>
      <c r="F364">
        <v>9</v>
      </c>
      <c r="G364" s="6">
        <v>78912</v>
      </c>
      <c r="H364">
        <f>COUNTBLANK(Sales_Data[[#This Row],[Revenue]])</f>
        <v>0</v>
      </c>
      <c r="I364">
        <f>COUNTBLANK(Sales_Data[[#This Row],[Quantity]])</f>
        <v>0</v>
      </c>
      <c r="J364" t="str">
        <f>TEXT(Sales_Data[[#This Row],[Date]],"yyyy-mm")</f>
        <v>2025-08</v>
      </c>
    </row>
    <row r="365" spans="1:10" x14ac:dyDescent="0.35">
      <c r="A365" t="s">
        <v>754</v>
      </c>
      <c r="B365" s="3">
        <v>45791</v>
      </c>
      <c r="C365" t="s">
        <v>41</v>
      </c>
      <c r="D365" t="s">
        <v>151</v>
      </c>
      <c r="E365" t="s">
        <v>394</v>
      </c>
      <c r="F365">
        <v>8</v>
      </c>
      <c r="G365" s="6">
        <v>170096</v>
      </c>
      <c r="H365">
        <f>COUNTBLANK(Sales_Data[[#This Row],[Revenue]])</f>
        <v>0</v>
      </c>
      <c r="I365">
        <f>COUNTBLANK(Sales_Data[[#This Row],[Quantity]])</f>
        <v>0</v>
      </c>
      <c r="J365" t="str">
        <f>TEXT(Sales_Data[[#This Row],[Date]],"yyyy-mm")</f>
        <v>2025-05</v>
      </c>
    </row>
    <row r="366" spans="1:10" x14ac:dyDescent="0.35">
      <c r="A366" t="s">
        <v>755</v>
      </c>
      <c r="B366" s="3">
        <v>45740</v>
      </c>
      <c r="C366" t="s">
        <v>25</v>
      </c>
      <c r="D366" t="s">
        <v>257</v>
      </c>
      <c r="E366" t="s">
        <v>387</v>
      </c>
      <c r="F366">
        <v>10</v>
      </c>
      <c r="G366" s="6">
        <v>182430</v>
      </c>
      <c r="H366">
        <f>COUNTBLANK(Sales_Data[[#This Row],[Revenue]])</f>
        <v>0</v>
      </c>
      <c r="I366">
        <f>COUNTBLANK(Sales_Data[[#This Row],[Quantity]])</f>
        <v>0</v>
      </c>
      <c r="J366" t="str">
        <f>TEXT(Sales_Data[[#This Row],[Date]],"yyyy-mm")</f>
        <v>2025-03</v>
      </c>
    </row>
    <row r="367" spans="1:10" x14ac:dyDescent="0.35">
      <c r="A367" t="s">
        <v>756</v>
      </c>
      <c r="B367" s="3">
        <v>45835</v>
      </c>
      <c r="C367" t="s">
        <v>25</v>
      </c>
      <c r="D367" t="s">
        <v>343</v>
      </c>
      <c r="E367" t="s">
        <v>403</v>
      </c>
      <c r="F367">
        <v>5</v>
      </c>
      <c r="G367" s="6">
        <v>91215</v>
      </c>
      <c r="H367">
        <f>COUNTBLANK(Sales_Data[[#This Row],[Revenue]])</f>
        <v>0</v>
      </c>
      <c r="I367">
        <f>COUNTBLANK(Sales_Data[[#This Row],[Quantity]])</f>
        <v>0</v>
      </c>
      <c r="J367" t="str">
        <f>TEXT(Sales_Data[[#This Row],[Date]],"yyyy-mm")</f>
        <v>2025-06</v>
      </c>
    </row>
    <row r="368" spans="1:10" x14ac:dyDescent="0.35">
      <c r="A368" t="s">
        <v>757</v>
      </c>
      <c r="B368" s="3">
        <v>45691</v>
      </c>
      <c r="C368" t="s">
        <v>67</v>
      </c>
      <c r="D368" t="s">
        <v>315</v>
      </c>
      <c r="E368" t="s">
        <v>391</v>
      </c>
      <c r="F368">
        <v>4</v>
      </c>
      <c r="G368" s="6">
        <v>86464</v>
      </c>
      <c r="H368">
        <f>COUNTBLANK(Sales_Data[[#This Row],[Revenue]])</f>
        <v>0</v>
      </c>
      <c r="I368">
        <f>COUNTBLANK(Sales_Data[[#This Row],[Quantity]])</f>
        <v>0</v>
      </c>
      <c r="J368" t="str">
        <f>TEXT(Sales_Data[[#This Row],[Date]],"yyyy-mm")</f>
        <v>2025-02</v>
      </c>
    </row>
    <row r="369" spans="1:10" x14ac:dyDescent="0.35">
      <c r="A369" t="s">
        <v>758</v>
      </c>
      <c r="B369" s="3">
        <v>45689</v>
      </c>
      <c r="C369" t="s">
        <v>59</v>
      </c>
      <c r="D369" t="s">
        <v>309</v>
      </c>
      <c r="E369" t="s">
        <v>394</v>
      </c>
      <c r="F369">
        <v>1</v>
      </c>
      <c r="G369" s="6">
        <v>48106</v>
      </c>
      <c r="H369">
        <f>COUNTBLANK(Sales_Data[[#This Row],[Revenue]])</f>
        <v>0</v>
      </c>
      <c r="I369">
        <f>COUNTBLANK(Sales_Data[[#This Row],[Quantity]])</f>
        <v>0</v>
      </c>
      <c r="J369" t="str">
        <f>TEXT(Sales_Data[[#This Row],[Date]],"yyyy-mm")</f>
        <v>2025-02</v>
      </c>
    </row>
    <row r="370" spans="1:10" x14ac:dyDescent="0.35">
      <c r="A370" t="s">
        <v>759</v>
      </c>
      <c r="B370" s="3">
        <v>45791</v>
      </c>
      <c r="C370" t="s">
        <v>43</v>
      </c>
      <c r="D370" t="s">
        <v>74</v>
      </c>
      <c r="E370" t="s">
        <v>403</v>
      </c>
      <c r="F370">
        <v>4</v>
      </c>
      <c r="G370" s="6">
        <v>151300</v>
      </c>
      <c r="H370">
        <f>COUNTBLANK(Sales_Data[[#This Row],[Revenue]])</f>
        <v>0</v>
      </c>
      <c r="I370">
        <f>COUNTBLANK(Sales_Data[[#This Row],[Quantity]])</f>
        <v>0</v>
      </c>
      <c r="J370" t="str">
        <f>TEXT(Sales_Data[[#This Row],[Date]],"yyyy-mm")</f>
        <v>2025-05</v>
      </c>
    </row>
    <row r="371" spans="1:10" x14ac:dyDescent="0.35">
      <c r="A371" t="s">
        <v>760</v>
      </c>
      <c r="B371" s="3">
        <v>45731</v>
      </c>
      <c r="C371" t="s">
        <v>7</v>
      </c>
      <c r="D371" t="s">
        <v>107</v>
      </c>
      <c r="E371" t="s">
        <v>391</v>
      </c>
      <c r="F371">
        <v>8</v>
      </c>
      <c r="G371" s="6">
        <v>209064</v>
      </c>
      <c r="H371">
        <f>COUNTBLANK(Sales_Data[[#This Row],[Revenue]])</f>
        <v>0</v>
      </c>
      <c r="I371">
        <f>COUNTBLANK(Sales_Data[[#This Row],[Quantity]])</f>
        <v>0</v>
      </c>
      <c r="J371" t="str">
        <f>TEXT(Sales_Data[[#This Row],[Date]],"yyyy-mm")</f>
        <v>2025-03</v>
      </c>
    </row>
    <row r="372" spans="1:10" x14ac:dyDescent="0.35">
      <c r="A372" t="s">
        <v>761</v>
      </c>
      <c r="B372" s="3">
        <v>45678</v>
      </c>
      <c r="C372" t="s">
        <v>65</v>
      </c>
      <c r="D372" t="s">
        <v>235</v>
      </c>
      <c r="E372" t="s">
        <v>389</v>
      </c>
      <c r="F372">
        <v>4</v>
      </c>
      <c r="G372" s="6">
        <v>2180</v>
      </c>
      <c r="H372">
        <f>COUNTBLANK(Sales_Data[[#This Row],[Revenue]])</f>
        <v>0</v>
      </c>
      <c r="I372">
        <f>COUNTBLANK(Sales_Data[[#This Row],[Quantity]])</f>
        <v>0</v>
      </c>
      <c r="J372" t="str">
        <f>TEXT(Sales_Data[[#This Row],[Date]],"yyyy-mm")</f>
        <v>2025-01</v>
      </c>
    </row>
    <row r="373" spans="1:10" x14ac:dyDescent="0.35">
      <c r="A373" t="s">
        <v>762</v>
      </c>
      <c r="B373" s="3">
        <v>45756</v>
      </c>
      <c r="C373" t="s">
        <v>53</v>
      </c>
      <c r="D373" t="s">
        <v>361</v>
      </c>
      <c r="E373" t="s">
        <v>389</v>
      </c>
      <c r="F373">
        <v>4</v>
      </c>
      <c r="G373" s="6">
        <v>16832</v>
      </c>
      <c r="H373">
        <f>COUNTBLANK(Sales_Data[[#This Row],[Revenue]])</f>
        <v>0</v>
      </c>
      <c r="I373">
        <f>COUNTBLANK(Sales_Data[[#This Row],[Quantity]])</f>
        <v>0</v>
      </c>
      <c r="J373" t="str">
        <f>TEXT(Sales_Data[[#This Row],[Date]],"yyyy-mm")</f>
        <v>2025-04</v>
      </c>
    </row>
    <row r="374" spans="1:10" x14ac:dyDescent="0.35">
      <c r="A374" t="s">
        <v>763</v>
      </c>
      <c r="B374" s="3">
        <v>45723</v>
      </c>
      <c r="C374" t="s">
        <v>21</v>
      </c>
      <c r="D374" t="s">
        <v>273</v>
      </c>
      <c r="E374" t="s">
        <v>387</v>
      </c>
      <c r="F374">
        <v>10</v>
      </c>
      <c r="G374" s="6">
        <v>152090</v>
      </c>
      <c r="H374">
        <f>COUNTBLANK(Sales_Data[[#This Row],[Revenue]])</f>
        <v>0</v>
      </c>
      <c r="I374">
        <f>COUNTBLANK(Sales_Data[[#This Row],[Quantity]])</f>
        <v>0</v>
      </c>
      <c r="J374" t="str">
        <f>TEXT(Sales_Data[[#This Row],[Date]],"yyyy-mm")</f>
        <v>2025-03</v>
      </c>
    </row>
    <row r="375" spans="1:10" x14ac:dyDescent="0.35">
      <c r="A375" t="s">
        <v>764</v>
      </c>
      <c r="B375" s="3">
        <v>45983</v>
      </c>
      <c r="C375" t="s">
        <v>51</v>
      </c>
      <c r="D375" t="s">
        <v>183</v>
      </c>
      <c r="E375" t="s">
        <v>391</v>
      </c>
      <c r="F375">
        <v>5</v>
      </c>
      <c r="G375" s="6">
        <v>157195</v>
      </c>
      <c r="H375">
        <f>COUNTBLANK(Sales_Data[[#This Row],[Revenue]])</f>
        <v>0</v>
      </c>
      <c r="I375">
        <f>COUNTBLANK(Sales_Data[[#This Row],[Quantity]])</f>
        <v>0</v>
      </c>
      <c r="J375" t="str">
        <f>TEXT(Sales_Data[[#This Row],[Date]],"yyyy-mm")</f>
        <v>2025-11</v>
      </c>
    </row>
    <row r="376" spans="1:10" x14ac:dyDescent="0.35">
      <c r="A376" t="s">
        <v>765</v>
      </c>
      <c r="B376" s="3">
        <v>45939</v>
      </c>
      <c r="C376" t="s">
        <v>23</v>
      </c>
      <c r="D376" t="s">
        <v>251</v>
      </c>
      <c r="E376" t="s">
        <v>391</v>
      </c>
      <c r="F376">
        <v>6</v>
      </c>
      <c r="G376" s="6">
        <v>36414</v>
      </c>
      <c r="H376">
        <f>COUNTBLANK(Sales_Data[[#This Row],[Revenue]])</f>
        <v>0</v>
      </c>
      <c r="I376">
        <f>COUNTBLANK(Sales_Data[[#This Row],[Quantity]])</f>
        <v>0</v>
      </c>
      <c r="J376" t="str">
        <f>TEXT(Sales_Data[[#This Row],[Date]],"yyyy-mm")</f>
        <v>2025-10</v>
      </c>
    </row>
    <row r="377" spans="1:10" x14ac:dyDescent="0.35">
      <c r="A377" t="s">
        <v>766</v>
      </c>
      <c r="B377" s="3">
        <v>45708</v>
      </c>
      <c r="C377" t="s">
        <v>27</v>
      </c>
      <c r="D377" t="s">
        <v>357</v>
      </c>
      <c r="E377" t="s">
        <v>391</v>
      </c>
      <c r="F377">
        <v>1</v>
      </c>
      <c r="G377" s="6">
        <v>37684</v>
      </c>
      <c r="H377">
        <f>COUNTBLANK(Sales_Data[[#This Row],[Revenue]])</f>
        <v>0</v>
      </c>
      <c r="I377">
        <f>COUNTBLANK(Sales_Data[[#This Row],[Quantity]])</f>
        <v>0</v>
      </c>
      <c r="J377" t="str">
        <f>TEXT(Sales_Data[[#This Row],[Date]],"yyyy-mm")</f>
        <v>2025-02</v>
      </c>
    </row>
    <row r="378" spans="1:10" x14ac:dyDescent="0.35">
      <c r="A378" t="s">
        <v>767</v>
      </c>
      <c r="B378" s="3">
        <v>46000</v>
      </c>
      <c r="C378" t="s">
        <v>51</v>
      </c>
      <c r="D378" t="s">
        <v>237</v>
      </c>
      <c r="E378" t="s">
        <v>389</v>
      </c>
      <c r="F378">
        <v>1</v>
      </c>
      <c r="G378" s="6">
        <v>31439</v>
      </c>
      <c r="H378">
        <f>COUNTBLANK(Sales_Data[[#This Row],[Revenue]])</f>
        <v>0</v>
      </c>
      <c r="I378">
        <f>COUNTBLANK(Sales_Data[[#This Row],[Quantity]])</f>
        <v>0</v>
      </c>
      <c r="J378" t="str">
        <f>TEXT(Sales_Data[[#This Row],[Date]],"yyyy-mm")</f>
        <v>2025-12</v>
      </c>
    </row>
    <row r="379" spans="1:10" x14ac:dyDescent="0.35">
      <c r="A379" t="s">
        <v>768</v>
      </c>
      <c r="B379" s="3">
        <v>45897</v>
      </c>
      <c r="C379" t="s">
        <v>7</v>
      </c>
      <c r="D379" t="s">
        <v>343</v>
      </c>
      <c r="E379" t="s">
        <v>394</v>
      </c>
      <c r="F379">
        <v>9</v>
      </c>
      <c r="G379" s="6">
        <v>235197</v>
      </c>
      <c r="H379">
        <f>COUNTBLANK(Sales_Data[[#This Row],[Revenue]])</f>
        <v>0</v>
      </c>
      <c r="I379">
        <f>COUNTBLANK(Sales_Data[[#This Row],[Quantity]])</f>
        <v>0</v>
      </c>
      <c r="J379" t="str">
        <f>TEXT(Sales_Data[[#This Row],[Date]],"yyyy-mm")</f>
        <v>2025-08</v>
      </c>
    </row>
    <row r="380" spans="1:10" x14ac:dyDescent="0.35">
      <c r="A380" t="s">
        <v>769</v>
      </c>
      <c r="B380" s="3">
        <v>45967</v>
      </c>
      <c r="C380" t="s">
        <v>47</v>
      </c>
      <c r="D380" t="s">
        <v>183</v>
      </c>
      <c r="E380" t="s">
        <v>394</v>
      </c>
      <c r="F380">
        <v>4</v>
      </c>
      <c r="G380" s="6">
        <v>88248</v>
      </c>
      <c r="H380">
        <f>COUNTBLANK(Sales_Data[[#This Row],[Revenue]])</f>
        <v>0</v>
      </c>
      <c r="I380">
        <f>COUNTBLANK(Sales_Data[[#This Row],[Quantity]])</f>
        <v>0</v>
      </c>
      <c r="J380" t="str">
        <f>TEXT(Sales_Data[[#This Row],[Date]],"yyyy-mm")</f>
        <v>2025-11</v>
      </c>
    </row>
    <row r="381" spans="1:10" x14ac:dyDescent="0.35">
      <c r="A381" t="s">
        <v>770</v>
      </c>
      <c r="B381" s="3">
        <v>45894</v>
      </c>
      <c r="C381" t="s">
        <v>65</v>
      </c>
      <c r="D381" t="s">
        <v>107</v>
      </c>
      <c r="E381" t="s">
        <v>391</v>
      </c>
      <c r="F381">
        <v>4</v>
      </c>
      <c r="G381" s="6">
        <v>2180</v>
      </c>
      <c r="H381">
        <f>COUNTBLANK(Sales_Data[[#This Row],[Revenue]])</f>
        <v>0</v>
      </c>
      <c r="I381">
        <f>COUNTBLANK(Sales_Data[[#This Row],[Quantity]])</f>
        <v>0</v>
      </c>
      <c r="J381" t="str">
        <f>TEXT(Sales_Data[[#This Row],[Date]],"yyyy-mm")</f>
        <v>2025-08</v>
      </c>
    </row>
    <row r="382" spans="1:10" x14ac:dyDescent="0.35">
      <c r="A382" t="s">
        <v>771</v>
      </c>
      <c r="B382" s="3">
        <v>45850</v>
      </c>
      <c r="C382" t="s">
        <v>33</v>
      </c>
      <c r="D382" t="s">
        <v>323</v>
      </c>
      <c r="E382" t="s">
        <v>391</v>
      </c>
      <c r="F382">
        <v>7</v>
      </c>
      <c r="G382" s="6">
        <v>253771</v>
      </c>
      <c r="H382">
        <f>COUNTBLANK(Sales_Data[[#This Row],[Revenue]])</f>
        <v>0</v>
      </c>
      <c r="I382">
        <f>COUNTBLANK(Sales_Data[[#This Row],[Quantity]])</f>
        <v>0</v>
      </c>
      <c r="J382" t="str">
        <f>TEXT(Sales_Data[[#This Row],[Date]],"yyyy-mm")</f>
        <v>2025-07</v>
      </c>
    </row>
    <row r="383" spans="1:10" x14ac:dyDescent="0.35">
      <c r="A383" t="s">
        <v>772</v>
      </c>
      <c r="B383" s="3">
        <v>45878</v>
      </c>
      <c r="C383" t="s">
        <v>27</v>
      </c>
      <c r="D383" t="s">
        <v>353</v>
      </c>
      <c r="E383" t="s">
        <v>394</v>
      </c>
      <c r="F383">
        <v>9</v>
      </c>
      <c r="G383" s="6">
        <v>339156</v>
      </c>
      <c r="H383">
        <f>COUNTBLANK(Sales_Data[[#This Row],[Revenue]])</f>
        <v>0</v>
      </c>
      <c r="I383">
        <f>COUNTBLANK(Sales_Data[[#This Row],[Quantity]])</f>
        <v>0</v>
      </c>
      <c r="J383" t="str">
        <f>TEXT(Sales_Data[[#This Row],[Date]],"yyyy-mm")</f>
        <v>2025-08</v>
      </c>
    </row>
    <row r="384" spans="1:10" x14ac:dyDescent="0.35">
      <c r="A384" t="s">
        <v>773</v>
      </c>
      <c r="B384" s="3">
        <v>45755</v>
      </c>
      <c r="C384" t="s">
        <v>59</v>
      </c>
      <c r="D384" t="s">
        <v>189</v>
      </c>
      <c r="E384" t="s">
        <v>391</v>
      </c>
      <c r="F384">
        <v>2</v>
      </c>
      <c r="G384" s="6">
        <v>96212</v>
      </c>
      <c r="H384">
        <f>COUNTBLANK(Sales_Data[[#This Row],[Revenue]])</f>
        <v>0</v>
      </c>
      <c r="I384">
        <f>COUNTBLANK(Sales_Data[[#This Row],[Quantity]])</f>
        <v>0</v>
      </c>
      <c r="J384" t="str">
        <f>TEXT(Sales_Data[[#This Row],[Date]],"yyyy-mm")</f>
        <v>2025-04</v>
      </c>
    </row>
    <row r="385" spans="1:10" x14ac:dyDescent="0.35">
      <c r="A385" t="s">
        <v>774</v>
      </c>
      <c r="B385" s="3">
        <v>45816</v>
      </c>
      <c r="C385" t="s">
        <v>33</v>
      </c>
      <c r="D385" t="s">
        <v>173</v>
      </c>
      <c r="E385" t="s">
        <v>387</v>
      </c>
      <c r="F385">
        <v>5</v>
      </c>
      <c r="G385" s="6">
        <v>181265</v>
      </c>
      <c r="H385">
        <f>COUNTBLANK(Sales_Data[[#This Row],[Revenue]])</f>
        <v>0</v>
      </c>
      <c r="I385">
        <f>COUNTBLANK(Sales_Data[[#This Row],[Quantity]])</f>
        <v>0</v>
      </c>
      <c r="J385" t="str">
        <f>TEXT(Sales_Data[[#This Row],[Date]],"yyyy-mm")</f>
        <v>2025-06</v>
      </c>
    </row>
    <row r="386" spans="1:10" x14ac:dyDescent="0.35">
      <c r="A386" t="s">
        <v>775</v>
      </c>
      <c r="B386" s="3">
        <v>45949</v>
      </c>
      <c r="C386" t="s">
        <v>21</v>
      </c>
      <c r="D386" t="s">
        <v>107</v>
      </c>
      <c r="E386" t="s">
        <v>403</v>
      </c>
      <c r="F386">
        <v>9</v>
      </c>
      <c r="G386" s="6">
        <v>136881</v>
      </c>
      <c r="H386">
        <f>COUNTBLANK(Sales_Data[[#This Row],[Revenue]])</f>
        <v>0</v>
      </c>
      <c r="I386">
        <f>COUNTBLANK(Sales_Data[[#This Row],[Quantity]])</f>
        <v>0</v>
      </c>
      <c r="J386" t="str">
        <f>TEXT(Sales_Data[[#This Row],[Date]],"yyyy-mm")</f>
        <v>2025-10</v>
      </c>
    </row>
    <row r="387" spans="1:10" x14ac:dyDescent="0.35">
      <c r="A387" t="s">
        <v>776</v>
      </c>
      <c r="B387" s="3">
        <v>45735</v>
      </c>
      <c r="C387" t="s">
        <v>53</v>
      </c>
      <c r="D387" t="s">
        <v>361</v>
      </c>
      <c r="E387" t="s">
        <v>391</v>
      </c>
      <c r="F387">
        <v>8</v>
      </c>
      <c r="G387" s="6">
        <v>33664</v>
      </c>
      <c r="H387">
        <f>COUNTBLANK(Sales_Data[[#This Row],[Revenue]])</f>
        <v>0</v>
      </c>
      <c r="I387">
        <f>COUNTBLANK(Sales_Data[[#This Row],[Quantity]])</f>
        <v>0</v>
      </c>
      <c r="J387" t="str">
        <f>TEXT(Sales_Data[[#This Row],[Date]],"yyyy-mm")</f>
        <v>2025-03</v>
      </c>
    </row>
    <row r="388" spans="1:10" x14ac:dyDescent="0.35">
      <c r="A388" t="s">
        <v>777</v>
      </c>
      <c r="B388" s="3">
        <v>45688</v>
      </c>
      <c r="C388" t="s">
        <v>23</v>
      </c>
      <c r="D388" t="s">
        <v>213</v>
      </c>
      <c r="E388" t="s">
        <v>391</v>
      </c>
      <c r="F388">
        <v>8</v>
      </c>
      <c r="G388" s="6">
        <v>48552</v>
      </c>
      <c r="H388">
        <f>COUNTBLANK(Sales_Data[[#This Row],[Revenue]])</f>
        <v>0</v>
      </c>
      <c r="I388">
        <f>COUNTBLANK(Sales_Data[[#This Row],[Quantity]])</f>
        <v>0</v>
      </c>
      <c r="J388" t="str">
        <f>TEXT(Sales_Data[[#This Row],[Date]],"yyyy-mm")</f>
        <v>2025-01</v>
      </c>
    </row>
    <row r="389" spans="1:10" x14ac:dyDescent="0.35">
      <c r="A389" t="s">
        <v>778</v>
      </c>
      <c r="B389" s="3">
        <v>45964</v>
      </c>
      <c r="C389" t="s">
        <v>7</v>
      </c>
      <c r="D389" t="s">
        <v>353</v>
      </c>
      <c r="E389" t="s">
        <v>394</v>
      </c>
      <c r="F389">
        <v>4</v>
      </c>
      <c r="G389" s="6">
        <v>104532</v>
      </c>
      <c r="H389">
        <f>COUNTBLANK(Sales_Data[[#This Row],[Revenue]])</f>
        <v>0</v>
      </c>
      <c r="I389">
        <f>COUNTBLANK(Sales_Data[[#This Row],[Quantity]])</f>
        <v>0</v>
      </c>
      <c r="J389" t="str">
        <f>TEXT(Sales_Data[[#This Row],[Date]],"yyyy-mm")</f>
        <v>2025-11</v>
      </c>
    </row>
    <row r="390" spans="1:10" x14ac:dyDescent="0.35">
      <c r="A390" t="s">
        <v>779</v>
      </c>
      <c r="B390" s="3">
        <v>45916</v>
      </c>
      <c r="C390" t="s">
        <v>55</v>
      </c>
      <c r="D390" t="s">
        <v>173</v>
      </c>
      <c r="E390" t="s">
        <v>387</v>
      </c>
      <c r="F390">
        <v>7</v>
      </c>
      <c r="G390" s="6">
        <v>79905</v>
      </c>
      <c r="H390">
        <f>COUNTBLANK(Sales_Data[[#This Row],[Revenue]])</f>
        <v>0</v>
      </c>
      <c r="I390">
        <f>COUNTBLANK(Sales_Data[[#This Row],[Quantity]])</f>
        <v>0</v>
      </c>
      <c r="J390" t="str">
        <f>TEXT(Sales_Data[[#This Row],[Date]],"yyyy-mm")</f>
        <v>2025-09</v>
      </c>
    </row>
    <row r="391" spans="1:10" x14ac:dyDescent="0.35">
      <c r="A391" t="s">
        <v>780</v>
      </c>
      <c r="B391" s="3">
        <v>45897</v>
      </c>
      <c r="C391" t="s">
        <v>41</v>
      </c>
      <c r="D391" t="s">
        <v>311</v>
      </c>
      <c r="E391" t="s">
        <v>391</v>
      </c>
      <c r="F391">
        <v>6</v>
      </c>
      <c r="G391" s="6">
        <v>127572</v>
      </c>
      <c r="H391">
        <f>COUNTBLANK(Sales_Data[[#This Row],[Revenue]])</f>
        <v>0</v>
      </c>
      <c r="I391">
        <f>COUNTBLANK(Sales_Data[[#This Row],[Quantity]])</f>
        <v>0</v>
      </c>
      <c r="J391" t="str">
        <f>TEXT(Sales_Data[[#This Row],[Date]],"yyyy-mm")</f>
        <v>2025-08</v>
      </c>
    </row>
    <row r="392" spans="1:10" x14ac:dyDescent="0.35">
      <c r="A392" t="s">
        <v>781</v>
      </c>
      <c r="B392" s="3">
        <v>46019</v>
      </c>
      <c r="C392" t="s">
        <v>55</v>
      </c>
      <c r="D392" t="s">
        <v>309</v>
      </c>
      <c r="E392" t="s">
        <v>391</v>
      </c>
      <c r="F392">
        <v>4</v>
      </c>
      <c r="G392" s="6">
        <v>45660</v>
      </c>
      <c r="H392">
        <f>COUNTBLANK(Sales_Data[[#This Row],[Revenue]])</f>
        <v>0</v>
      </c>
      <c r="I392">
        <f>COUNTBLANK(Sales_Data[[#This Row],[Quantity]])</f>
        <v>0</v>
      </c>
      <c r="J392" t="str">
        <f>TEXT(Sales_Data[[#This Row],[Date]],"yyyy-mm")</f>
        <v>2025-12</v>
      </c>
    </row>
    <row r="393" spans="1:10" x14ac:dyDescent="0.35">
      <c r="A393" t="s">
        <v>782</v>
      </c>
      <c r="B393" s="3">
        <v>45778</v>
      </c>
      <c r="C393" t="s">
        <v>41</v>
      </c>
      <c r="D393" t="s">
        <v>139</v>
      </c>
      <c r="E393" t="s">
        <v>389</v>
      </c>
      <c r="F393">
        <v>2</v>
      </c>
      <c r="G393" s="6">
        <v>42524</v>
      </c>
      <c r="H393">
        <f>COUNTBLANK(Sales_Data[[#This Row],[Revenue]])</f>
        <v>0</v>
      </c>
      <c r="I393">
        <f>COUNTBLANK(Sales_Data[[#This Row],[Quantity]])</f>
        <v>0</v>
      </c>
      <c r="J393" t="str">
        <f>TEXT(Sales_Data[[#This Row],[Date]],"yyyy-mm")</f>
        <v>2025-05</v>
      </c>
    </row>
    <row r="394" spans="1:10" x14ac:dyDescent="0.35">
      <c r="A394" t="s">
        <v>783</v>
      </c>
      <c r="B394" s="3">
        <v>45802</v>
      </c>
      <c r="C394" t="s">
        <v>23</v>
      </c>
      <c r="D394" t="s">
        <v>367</v>
      </c>
      <c r="E394" t="s">
        <v>394</v>
      </c>
      <c r="F394">
        <v>7</v>
      </c>
      <c r="G394" s="6">
        <v>42483</v>
      </c>
      <c r="H394">
        <f>COUNTBLANK(Sales_Data[[#This Row],[Revenue]])</f>
        <v>0</v>
      </c>
      <c r="I394">
        <f>COUNTBLANK(Sales_Data[[#This Row],[Quantity]])</f>
        <v>0</v>
      </c>
      <c r="J394" t="str">
        <f>TEXT(Sales_Data[[#This Row],[Date]],"yyyy-mm")</f>
        <v>2025-05</v>
      </c>
    </row>
    <row r="395" spans="1:10" x14ac:dyDescent="0.35">
      <c r="A395" t="s">
        <v>784</v>
      </c>
      <c r="B395" s="3">
        <v>45998</v>
      </c>
      <c r="C395" t="s">
        <v>43</v>
      </c>
      <c r="D395" t="s">
        <v>311</v>
      </c>
      <c r="E395" t="s">
        <v>391</v>
      </c>
      <c r="F395">
        <v>9</v>
      </c>
      <c r="G395" s="6">
        <v>340425</v>
      </c>
      <c r="H395">
        <f>COUNTBLANK(Sales_Data[[#This Row],[Revenue]])</f>
        <v>0</v>
      </c>
      <c r="I395">
        <f>COUNTBLANK(Sales_Data[[#This Row],[Quantity]])</f>
        <v>0</v>
      </c>
      <c r="J395" t="str">
        <f>TEXT(Sales_Data[[#This Row],[Date]],"yyyy-mm")</f>
        <v>2025-12</v>
      </c>
    </row>
    <row r="396" spans="1:10" x14ac:dyDescent="0.35">
      <c r="A396" t="s">
        <v>785</v>
      </c>
      <c r="B396" s="3">
        <v>45819</v>
      </c>
      <c r="C396" t="s">
        <v>16</v>
      </c>
      <c r="D396" t="s">
        <v>275</v>
      </c>
      <c r="E396" t="s">
        <v>403</v>
      </c>
      <c r="F396">
        <v>1</v>
      </c>
      <c r="G396" s="6">
        <v>31962</v>
      </c>
      <c r="H396">
        <f>COUNTBLANK(Sales_Data[[#This Row],[Revenue]])</f>
        <v>0</v>
      </c>
      <c r="I396">
        <f>COUNTBLANK(Sales_Data[[#This Row],[Quantity]])</f>
        <v>0</v>
      </c>
      <c r="J396" t="str">
        <f>TEXT(Sales_Data[[#This Row],[Date]],"yyyy-mm")</f>
        <v>2025-06</v>
      </c>
    </row>
    <row r="397" spans="1:10" x14ac:dyDescent="0.35">
      <c r="A397" t="s">
        <v>786</v>
      </c>
      <c r="B397" s="3">
        <v>45754</v>
      </c>
      <c r="C397" t="s">
        <v>21</v>
      </c>
      <c r="D397" t="s">
        <v>227</v>
      </c>
      <c r="E397" t="s">
        <v>391</v>
      </c>
      <c r="F397">
        <v>7</v>
      </c>
      <c r="G397" s="6">
        <v>106463</v>
      </c>
      <c r="H397">
        <f>COUNTBLANK(Sales_Data[[#This Row],[Revenue]])</f>
        <v>0</v>
      </c>
      <c r="I397">
        <f>COUNTBLANK(Sales_Data[[#This Row],[Quantity]])</f>
        <v>0</v>
      </c>
      <c r="J397" t="str">
        <f>TEXT(Sales_Data[[#This Row],[Date]],"yyyy-mm")</f>
        <v>2025-04</v>
      </c>
    </row>
    <row r="398" spans="1:10" x14ac:dyDescent="0.35">
      <c r="A398" t="s">
        <v>787</v>
      </c>
      <c r="B398" s="3">
        <v>45873</v>
      </c>
      <c r="C398" t="s">
        <v>45</v>
      </c>
      <c r="D398" t="s">
        <v>109</v>
      </c>
      <c r="E398" t="s">
        <v>403</v>
      </c>
      <c r="F398">
        <v>9</v>
      </c>
      <c r="G398" s="6">
        <v>70434</v>
      </c>
      <c r="H398">
        <f>COUNTBLANK(Sales_Data[[#This Row],[Revenue]])</f>
        <v>0</v>
      </c>
      <c r="I398">
        <f>COUNTBLANK(Sales_Data[[#This Row],[Quantity]])</f>
        <v>0</v>
      </c>
      <c r="J398" t="str">
        <f>TEXT(Sales_Data[[#This Row],[Date]],"yyyy-mm")</f>
        <v>2025-08</v>
      </c>
    </row>
    <row r="399" spans="1:10" x14ac:dyDescent="0.35">
      <c r="A399" t="s">
        <v>788</v>
      </c>
      <c r="B399" s="3">
        <v>45953</v>
      </c>
      <c r="C399" t="s">
        <v>43</v>
      </c>
      <c r="D399" t="s">
        <v>235</v>
      </c>
      <c r="E399" t="s">
        <v>403</v>
      </c>
      <c r="F399">
        <v>10</v>
      </c>
      <c r="G399" s="6">
        <v>378250</v>
      </c>
      <c r="H399">
        <f>COUNTBLANK(Sales_Data[[#This Row],[Revenue]])</f>
        <v>0</v>
      </c>
      <c r="I399">
        <f>COUNTBLANK(Sales_Data[[#This Row],[Quantity]])</f>
        <v>0</v>
      </c>
      <c r="J399" t="str">
        <f>TEXT(Sales_Data[[#This Row],[Date]],"yyyy-mm")</f>
        <v>2025-10</v>
      </c>
    </row>
    <row r="400" spans="1:10" x14ac:dyDescent="0.35">
      <c r="A400" t="s">
        <v>789</v>
      </c>
      <c r="B400" s="3">
        <v>45747</v>
      </c>
      <c r="C400" t="s">
        <v>41</v>
      </c>
      <c r="D400" t="s">
        <v>111</v>
      </c>
      <c r="E400" t="s">
        <v>394</v>
      </c>
      <c r="F400">
        <v>8</v>
      </c>
      <c r="G400" s="6">
        <v>170096</v>
      </c>
      <c r="H400">
        <f>COUNTBLANK(Sales_Data[[#This Row],[Revenue]])</f>
        <v>0</v>
      </c>
      <c r="I400">
        <f>COUNTBLANK(Sales_Data[[#This Row],[Quantity]])</f>
        <v>0</v>
      </c>
      <c r="J400" t="str">
        <f>TEXT(Sales_Data[[#This Row],[Date]],"yyyy-mm")</f>
        <v>2025-03</v>
      </c>
    </row>
    <row r="401" spans="1:10" x14ac:dyDescent="0.35">
      <c r="A401" t="s">
        <v>790</v>
      </c>
      <c r="B401" s="3">
        <v>45751</v>
      </c>
      <c r="C401" t="s">
        <v>19</v>
      </c>
      <c r="D401" t="s">
        <v>247</v>
      </c>
      <c r="E401" t="s">
        <v>389</v>
      </c>
      <c r="F401">
        <v>6</v>
      </c>
      <c r="G401" s="6">
        <v>252954</v>
      </c>
      <c r="H401">
        <f>COUNTBLANK(Sales_Data[[#This Row],[Revenue]])</f>
        <v>0</v>
      </c>
      <c r="I401">
        <f>COUNTBLANK(Sales_Data[[#This Row],[Quantity]])</f>
        <v>0</v>
      </c>
      <c r="J401" t="str">
        <f>TEXT(Sales_Data[[#This Row],[Date]],"yyyy-mm")</f>
        <v>2025-04</v>
      </c>
    </row>
    <row r="402" spans="1:10" x14ac:dyDescent="0.35">
      <c r="A402" t="s">
        <v>791</v>
      </c>
      <c r="B402" s="3">
        <v>45769</v>
      </c>
      <c r="C402" t="s">
        <v>25</v>
      </c>
      <c r="D402" t="s">
        <v>355</v>
      </c>
      <c r="E402" t="s">
        <v>403</v>
      </c>
      <c r="F402">
        <v>10</v>
      </c>
      <c r="G402" s="6">
        <v>182430</v>
      </c>
      <c r="H402">
        <f>COUNTBLANK(Sales_Data[[#This Row],[Revenue]])</f>
        <v>0</v>
      </c>
      <c r="I402">
        <f>COUNTBLANK(Sales_Data[[#This Row],[Quantity]])</f>
        <v>0</v>
      </c>
      <c r="J402" t="str">
        <f>TEXT(Sales_Data[[#This Row],[Date]],"yyyy-mm")</f>
        <v>2025-04</v>
      </c>
    </row>
    <row r="403" spans="1:10" x14ac:dyDescent="0.35">
      <c r="A403" t="s">
        <v>792</v>
      </c>
      <c r="B403" s="3">
        <v>45670</v>
      </c>
      <c r="C403" t="s">
        <v>16</v>
      </c>
      <c r="D403" t="s">
        <v>321</v>
      </c>
      <c r="E403" t="s">
        <v>394</v>
      </c>
      <c r="F403">
        <v>6</v>
      </c>
      <c r="G403" s="6">
        <v>191772</v>
      </c>
      <c r="H403">
        <f>COUNTBLANK(Sales_Data[[#This Row],[Revenue]])</f>
        <v>0</v>
      </c>
      <c r="I403">
        <f>COUNTBLANK(Sales_Data[[#This Row],[Quantity]])</f>
        <v>0</v>
      </c>
      <c r="J403" t="str">
        <f>TEXT(Sales_Data[[#This Row],[Date]],"yyyy-mm")</f>
        <v>2025-01</v>
      </c>
    </row>
    <row r="404" spans="1:10" x14ac:dyDescent="0.35">
      <c r="A404" t="s">
        <v>793</v>
      </c>
      <c r="B404" s="3">
        <v>45732</v>
      </c>
      <c r="C404" t="s">
        <v>4</v>
      </c>
      <c r="D404" t="s">
        <v>353</v>
      </c>
      <c r="E404" t="s">
        <v>387</v>
      </c>
      <c r="F404">
        <v>10</v>
      </c>
      <c r="G404" s="6">
        <v>118150</v>
      </c>
      <c r="H404">
        <f>COUNTBLANK(Sales_Data[[#This Row],[Revenue]])</f>
        <v>0</v>
      </c>
      <c r="I404">
        <f>COUNTBLANK(Sales_Data[[#This Row],[Quantity]])</f>
        <v>0</v>
      </c>
      <c r="J404" t="str">
        <f>TEXT(Sales_Data[[#This Row],[Date]],"yyyy-mm")</f>
        <v>2025-03</v>
      </c>
    </row>
    <row r="405" spans="1:10" x14ac:dyDescent="0.35">
      <c r="A405" t="s">
        <v>794</v>
      </c>
      <c r="B405" s="3">
        <v>45841</v>
      </c>
      <c r="C405" t="s">
        <v>23</v>
      </c>
      <c r="D405" t="s">
        <v>221</v>
      </c>
      <c r="E405" t="s">
        <v>387</v>
      </c>
      <c r="F405">
        <v>2</v>
      </c>
      <c r="G405" s="6">
        <v>12138</v>
      </c>
      <c r="H405">
        <f>COUNTBLANK(Sales_Data[[#This Row],[Revenue]])</f>
        <v>0</v>
      </c>
      <c r="I405">
        <f>COUNTBLANK(Sales_Data[[#This Row],[Quantity]])</f>
        <v>0</v>
      </c>
      <c r="J405" t="str">
        <f>TEXT(Sales_Data[[#This Row],[Date]],"yyyy-mm")</f>
        <v>2025-07</v>
      </c>
    </row>
    <row r="406" spans="1:10" x14ac:dyDescent="0.35">
      <c r="A406" t="s">
        <v>795</v>
      </c>
      <c r="B406" s="3">
        <v>46022</v>
      </c>
      <c r="C406" t="s">
        <v>55</v>
      </c>
      <c r="D406" t="s">
        <v>271</v>
      </c>
      <c r="E406" t="s">
        <v>389</v>
      </c>
      <c r="F406">
        <v>7</v>
      </c>
      <c r="G406" s="6">
        <v>79905</v>
      </c>
      <c r="H406">
        <f>COUNTBLANK(Sales_Data[[#This Row],[Revenue]])</f>
        <v>0</v>
      </c>
      <c r="I406">
        <f>COUNTBLANK(Sales_Data[[#This Row],[Quantity]])</f>
        <v>0</v>
      </c>
      <c r="J406" t="str">
        <f>TEXT(Sales_Data[[#This Row],[Date]],"yyyy-mm")</f>
        <v>2025-12</v>
      </c>
    </row>
    <row r="407" spans="1:10" x14ac:dyDescent="0.35">
      <c r="A407" t="s">
        <v>796</v>
      </c>
      <c r="B407" s="3">
        <v>45726</v>
      </c>
      <c r="C407" t="s">
        <v>59</v>
      </c>
      <c r="D407" t="s">
        <v>221</v>
      </c>
      <c r="E407" t="s">
        <v>387</v>
      </c>
      <c r="F407">
        <v>3</v>
      </c>
      <c r="G407" s="6">
        <v>144318</v>
      </c>
      <c r="H407">
        <f>COUNTBLANK(Sales_Data[[#This Row],[Revenue]])</f>
        <v>0</v>
      </c>
      <c r="I407">
        <f>COUNTBLANK(Sales_Data[[#This Row],[Quantity]])</f>
        <v>0</v>
      </c>
      <c r="J407" t="str">
        <f>TEXT(Sales_Data[[#This Row],[Date]],"yyyy-mm")</f>
        <v>2025-03</v>
      </c>
    </row>
    <row r="408" spans="1:10" x14ac:dyDescent="0.35">
      <c r="A408" t="s">
        <v>797</v>
      </c>
      <c r="B408" s="3">
        <v>45810</v>
      </c>
      <c r="C408" t="s">
        <v>55</v>
      </c>
      <c r="D408" t="s">
        <v>151</v>
      </c>
      <c r="E408" t="s">
        <v>387</v>
      </c>
      <c r="F408">
        <v>3</v>
      </c>
      <c r="G408" s="6">
        <v>34245</v>
      </c>
      <c r="H408">
        <f>COUNTBLANK(Sales_Data[[#This Row],[Revenue]])</f>
        <v>0</v>
      </c>
      <c r="I408">
        <f>COUNTBLANK(Sales_Data[[#This Row],[Quantity]])</f>
        <v>0</v>
      </c>
      <c r="J408" t="str">
        <f>TEXT(Sales_Data[[#This Row],[Date]],"yyyy-mm")</f>
        <v>2025-06</v>
      </c>
    </row>
    <row r="409" spans="1:10" x14ac:dyDescent="0.35">
      <c r="A409" t="s">
        <v>798</v>
      </c>
      <c r="B409" s="3">
        <v>45763</v>
      </c>
      <c r="C409" t="s">
        <v>41</v>
      </c>
      <c r="D409" t="s">
        <v>101</v>
      </c>
      <c r="E409" t="s">
        <v>391</v>
      </c>
      <c r="F409">
        <v>8</v>
      </c>
      <c r="G409" s="6">
        <v>170096</v>
      </c>
      <c r="H409">
        <f>COUNTBLANK(Sales_Data[[#This Row],[Revenue]])</f>
        <v>0</v>
      </c>
      <c r="I409">
        <f>COUNTBLANK(Sales_Data[[#This Row],[Quantity]])</f>
        <v>0</v>
      </c>
      <c r="J409" t="str">
        <f>TEXT(Sales_Data[[#This Row],[Date]],"yyyy-mm")</f>
        <v>2025-04</v>
      </c>
    </row>
    <row r="410" spans="1:10" x14ac:dyDescent="0.35">
      <c r="A410" t="s">
        <v>799</v>
      </c>
      <c r="B410" s="3">
        <v>45930</v>
      </c>
      <c r="C410" t="s">
        <v>59</v>
      </c>
      <c r="D410" t="s">
        <v>103</v>
      </c>
      <c r="E410" t="s">
        <v>391</v>
      </c>
      <c r="F410">
        <v>5</v>
      </c>
      <c r="G410" s="6">
        <v>240530</v>
      </c>
      <c r="H410">
        <f>COUNTBLANK(Sales_Data[[#This Row],[Revenue]])</f>
        <v>0</v>
      </c>
      <c r="I410">
        <f>COUNTBLANK(Sales_Data[[#This Row],[Quantity]])</f>
        <v>0</v>
      </c>
      <c r="J410" t="str">
        <f>TEXT(Sales_Data[[#This Row],[Date]],"yyyy-mm")</f>
        <v>2025-09</v>
      </c>
    </row>
    <row r="411" spans="1:10" x14ac:dyDescent="0.35">
      <c r="A411" t="s">
        <v>800</v>
      </c>
      <c r="B411" s="3">
        <v>45880</v>
      </c>
      <c r="C411" t="s">
        <v>65</v>
      </c>
      <c r="D411" t="s">
        <v>377</v>
      </c>
      <c r="E411" t="s">
        <v>391</v>
      </c>
      <c r="F411">
        <v>6</v>
      </c>
      <c r="G411" s="6">
        <v>3270</v>
      </c>
      <c r="H411">
        <f>COUNTBLANK(Sales_Data[[#This Row],[Revenue]])</f>
        <v>0</v>
      </c>
      <c r="I411">
        <f>COUNTBLANK(Sales_Data[[#This Row],[Quantity]])</f>
        <v>0</v>
      </c>
      <c r="J411" t="str">
        <f>TEXT(Sales_Data[[#This Row],[Date]],"yyyy-mm")</f>
        <v>2025-08</v>
      </c>
    </row>
    <row r="412" spans="1:10" x14ac:dyDescent="0.35">
      <c r="A412" t="s">
        <v>801</v>
      </c>
      <c r="B412" s="3">
        <v>45714</v>
      </c>
      <c r="C412" t="s">
        <v>45</v>
      </c>
      <c r="D412" t="s">
        <v>133</v>
      </c>
      <c r="E412" t="s">
        <v>389</v>
      </c>
      <c r="F412">
        <v>10</v>
      </c>
      <c r="G412" s="6">
        <v>78260</v>
      </c>
      <c r="H412">
        <f>COUNTBLANK(Sales_Data[[#This Row],[Revenue]])</f>
        <v>0</v>
      </c>
      <c r="I412">
        <f>COUNTBLANK(Sales_Data[[#This Row],[Quantity]])</f>
        <v>0</v>
      </c>
      <c r="J412" t="str">
        <f>TEXT(Sales_Data[[#This Row],[Date]],"yyyy-mm")</f>
        <v>2025-02</v>
      </c>
    </row>
    <row r="413" spans="1:10" x14ac:dyDescent="0.35">
      <c r="A413" t="s">
        <v>802</v>
      </c>
      <c r="B413" s="3">
        <v>45849</v>
      </c>
      <c r="C413" t="s">
        <v>4</v>
      </c>
      <c r="D413" t="s">
        <v>237</v>
      </c>
      <c r="E413" t="s">
        <v>391</v>
      </c>
      <c r="F413">
        <v>8</v>
      </c>
      <c r="G413" s="6">
        <v>94520</v>
      </c>
      <c r="H413">
        <f>COUNTBLANK(Sales_Data[[#This Row],[Revenue]])</f>
        <v>0</v>
      </c>
      <c r="I413">
        <f>COUNTBLANK(Sales_Data[[#This Row],[Quantity]])</f>
        <v>0</v>
      </c>
      <c r="J413" t="str">
        <f>TEXT(Sales_Data[[#This Row],[Date]],"yyyy-mm")</f>
        <v>2025-07</v>
      </c>
    </row>
    <row r="414" spans="1:10" x14ac:dyDescent="0.35">
      <c r="A414" t="s">
        <v>803</v>
      </c>
      <c r="B414" s="3">
        <v>45995</v>
      </c>
      <c r="C414" t="s">
        <v>31</v>
      </c>
      <c r="D414" t="s">
        <v>165</v>
      </c>
      <c r="E414" t="s">
        <v>391</v>
      </c>
      <c r="F414">
        <v>7</v>
      </c>
      <c r="G414" s="6">
        <v>209762</v>
      </c>
      <c r="H414">
        <f>COUNTBLANK(Sales_Data[[#This Row],[Revenue]])</f>
        <v>0</v>
      </c>
      <c r="I414">
        <f>COUNTBLANK(Sales_Data[[#This Row],[Quantity]])</f>
        <v>0</v>
      </c>
      <c r="J414" t="str">
        <f>TEXT(Sales_Data[[#This Row],[Date]],"yyyy-mm")</f>
        <v>2025-12</v>
      </c>
    </row>
    <row r="415" spans="1:10" x14ac:dyDescent="0.35">
      <c r="A415" t="s">
        <v>804</v>
      </c>
      <c r="B415" s="3">
        <v>45726</v>
      </c>
      <c r="C415" t="s">
        <v>45</v>
      </c>
      <c r="D415" t="s">
        <v>101</v>
      </c>
      <c r="E415" t="s">
        <v>389</v>
      </c>
      <c r="F415">
        <v>10</v>
      </c>
      <c r="G415" s="6">
        <v>78260</v>
      </c>
      <c r="H415">
        <f>COUNTBLANK(Sales_Data[[#This Row],[Revenue]])</f>
        <v>0</v>
      </c>
      <c r="I415">
        <f>COUNTBLANK(Sales_Data[[#This Row],[Quantity]])</f>
        <v>0</v>
      </c>
      <c r="J415" t="str">
        <f>TEXT(Sales_Data[[#This Row],[Date]],"yyyy-mm")</f>
        <v>2025-03</v>
      </c>
    </row>
    <row r="416" spans="1:10" x14ac:dyDescent="0.35">
      <c r="A416" t="s">
        <v>805</v>
      </c>
      <c r="B416" s="3">
        <v>45944</v>
      </c>
      <c r="C416" t="s">
        <v>43</v>
      </c>
      <c r="D416" t="s">
        <v>375</v>
      </c>
      <c r="E416" t="s">
        <v>387</v>
      </c>
      <c r="F416">
        <v>6</v>
      </c>
      <c r="G416" s="6">
        <v>226950</v>
      </c>
      <c r="H416">
        <f>COUNTBLANK(Sales_Data[[#This Row],[Revenue]])</f>
        <v>0</v>
      </c>
      <c r="I416">
        <f>COUNTBLANK(Sales_Data[[#This Row],[Quantity]])</f>
        <v>0</v>
      </c>
      <c r="J416" t="str">
        <f>TEXT(Sales_Data[[#This Row],[Date]],"yyyy-mm")</f>
        <v>2025-10</v>
      </c>
    </row>
    <row r="417" spans="1:10" x14ac:dyDescent="0.35">
      <c r="A417" t="s">
        <v>806</v>
      </c>
      <c r="B417" s="3">
        <v>45710</v>
      </c>
      <c r="C417" t="s">
        <v>39</v>
      </c>
      <c r="D417" t="s">
        <v>113</v>
      </c>
      <c r="E417" t="s">
        <v>387</v>
      </c>
      <c r="F417">
        <v>1</v>
      </c>
      <c r="G417" s="6">
        <v>48288</v>
      </c>
      <c r="H417">
        <f>COUNTBLANK(Sales_Data[[#This Row],[Revenue]])</f>
        <v>0</v>
      </c>
      <c r="I417">
        <f>COUNTBLANK(Sales_Data[[#This Row],[Quantity]])</f>
        <v>0</v>
      </c>
      <c r="J417" t="str">
        <f>TEXT(Sales_Data[[#This Row],[Date]],"yyyy-mm")</f>
        <v>2025-02</v>
      </c>
    </row>
    <row r="418" spans="1:10" x14ac:dyDescent="0.35">
      <c r="A418" t="s">
        <v>807</v>
      </c>
      <c r="B418" s="3">
        <v>46018</v>
      </c>
      <c r="C418" t="s">
        <v>33</v>
      </c>
      <c r="D418" t="s">
        <v>245</v>
      </c>
      <c r="E418" t="s">
        <v>387</v>
      </c>
      <c r="F418">
        <v>9</v>
      </c>
      <c r="G418" s="6">
        <v>326277</v>
      </c>
      <c r="H418">
        <f>COUNTBLANK(Sales_Data[[#This Row],[Revenue]])</f>
        <v>0</v>
      </c>
      <c r="I418">
        <f>COUNTBLANK(Sales_Data[[#This Row],[Quantity]])</f>
        <v>0</v>
      </c>
      <c r="J418" t="str">
        <f>TEXT(Sales_Data[[#This Row],[Date]],"yyyy-mm")</f>
        <v>2025-12</v>
      </c>
    </row>
    <row r="419" spans="1:10" x14ac:dyDescent="0.35">
      <c r="A419" t="s">
        <v>808</v>
      </c>
      <c r="B419" s="3">
        <v>45819</v>
      </c>
      <c r="C419" t="s">
        <v>37</v>
      </c>
      <c r="D419" t="s">
        <v>99</v>
      </c>
      <c r="E419" t="s">
        <v>387</v>
      </c>
      <c r="F419">
        <v>6</v>
      </c>
      <c r="G419" s="6">
        <v>11718</v>
      </c>
      <c r="H419">
        <f>COUNTBLANK(Sales_Data[[#This Row],[Revenue]])</f>
        <v>0</v>
      </c>
      <c r="I419">
        <f>COUNTBLANK(Sales_Data[[#This Row],[Quantity]])</f>
        <v>0</v>
      </c>
      <c r="J419" t="str">
        <f>TEXT(Sales_Data[[#This Row],[Date]],"yyyy-mm")</f>
        <v>2025-06</v>
      </c>
    </row>
    <row r="420" spans="1:10" x14ac:dyDescent="0.35">
      <c r="A420" t="s">
        <v>809</v>
      </c>
      <c r="B420" s="3">
        <v>45981</v>
      </c>
      <c r="C420" t="s">
        <v>29</v>
      </c>
      <c r="D420" t="s">
        <v>305</v>
      </c>
      <c r="E420" t="s">
        <v>389</v>
      </c>
      <c r="F420">
        <v>9</v>
      </c>
      <c r="G420" s="6">
        <v>383796</v>
      </c>
      <c r="H420">
        <f>COUNTBLANK(Sales_Data[[#This Row],[Revenue]])</f>
        <v>0</v>
      </c>
      <c r="I420">
        <f>COUNTBLANK(Sales_Data[[#This Row],[Quantity]])</f>
        <v>0</v>
      </c>
      <c r="J420" t="str">
        <f>TEXT(Sales_Data[[#This Row],[Date]],"yyyy-mm")</f>
        <v>2025-11</v>
      </c>
    </row>
    <row r="421" spans="1:10" x14ac:dyDescent="0.35">
      <c r="A421" t="s">
        <v>810</v>
      </c>
      <c r="B421" s="3">
        <v>45900</v>
      </c>
      <c r="C421" t="s">
        <v>63</v>
      </c>
      <c r="D421" t="s">
        <v>277</v>
      </c>
      <c r="E421" t="s">
        <v>403</v>
      </c>
      <c r="F421">
        <v>5</v>
      </c>
      <c r="G421" s="6">
        <v>43840</v>
      </c>
      <c r="H421">
        <f>COUNTBLANK(Sales_Data[[#This Row],[Revenue]])</f>
        <v>0</v>
      </c>
      <c r="I421">
        <f>COUNTBLANK(Sales_Data[[#This Row],[Quantity]])</f>
        <v>0</v>
      </c>
      <c r="J421" t="str">
        <f>TEXT(Sales_Data[[#This Row],[Date]],"yyyy-mm")</f>
        <v>2025-08</v>
      </c>
    </row>
    <row r="422" spans="1:10" x14ac:dyDescent="0.35">
      <c r="A422" t="s">
        <v>811</v>
      </c>
      <c r="B422" s="3">
        <v>45849</v>
      </c>
      <c r="C422" t="s">
        <v>37</v>
      </c>
      <c r="D422" t="s">
        <v>167</v>
      </c>
      <c r="E422" t="s">
        <v>403</v>
      </c>
      <c r="F422">
        <v>1</v>
      </c>
      <c r="G422" s="6">
        <v>1953</v>
      </c>
      <c r="H422">
        <f>COUNTBLANK(Sales_Data[[#This Row],[Revenue]])</f>
        <v>0</v>
      </c>
      <c r="I422">
        <f>COUNTBLANK(Sales_Data[[#This Row],[Quantity]])</f>
        <v>0</v>
      </c>
      <c r="J422" t="str">
        <f>TEXT(Sales_Data[[#This Row],[Date]],"yyyy-mm")</f>
        <v>2025-07</v>
      </c>
    </row>
    <row r="423" spans="1:10" x14ac:dyDescent="0.35">
      <c r="A423" t="s">
        <v>812</v>
      </c>
      <c r="B423" s="3">
        <v>45830</v>
      </c>
      <c r="C423" t="s">
        <v>53</v>
      </c>
      <c r="D423" t="s">
        <v>145</v>
      </c>
      <c r="E423" t="s">
        <v>391</v>
      </c>
      <c r="F423">
        <v>6</v>
      </c>
      <c r="G423" s="6">
        <v>25248</v>
      </c>
      <c r="H423">
        <f>COUNTBLANK(Sales_Data[[#This Row],[Revenue]])</f>
        <v>0</v>
      </c>
      <c r="I423">
        <f>COUNTBLANK(Sales_Data[[#This Row],[Quantity]])</f>
        <v>0</v>
      </c>
      <c r="J423" t="str">
        <f>TEXT(Sales_Data[[#This Row],[Date]],"yyyy-mm")</f>
        <v>2025-06</v>
      </c>
    </row>
    <row r="424" spans="1:10" x14ac:dyDescent="0.35">
      <c r="A424" t="s">
        <v>813</v>
      </c>
      <c r="B424" s="3">
        <v>45886</v>
      </c>
      <c r="C424" t="s">
        <v>31</v>
      </c>
      <c r="D424" t="s">
        <v>307</v>
      </c>
      <c r="E424" t="s">
        <v>387</v>
      </c>
      <c r="F424">
        <v>10</v>
      </c>
      <c r="G424" s="6">
        <v>299660</v>
      </c>
      <c r="H424">
        <f>COUNTBLANK(Sales_Data[[#This Row],[Revenue]])</f>
        <v>0</v>
      </c>
      <c r="I424">
        <f>COUNTBLANK(Sales_Data[[#This Row],[Quantity]])</f>
        <v>0</v>
      </c>
      <c r="J424" t="str">
        <f>TEXT(Sales_Data[[#This Row],[Date]],"yyyy-mm")</f>
        <v>2025-08</v>
      </c>
    </row>
    <row r="425" spans="1:10" x14ac:dyDescent="0.35">
      <c r="A425" t="s">
        <v>814</v>
      </c>
      <c r="B425" s="3">
        <v>45914</v>
      </c>
      <c r="C425" t="s">
        <v>10</v>
      </c>
      <c r="D425" t="s">
        <v>81</v>
      </c>
      <c r="E425" t="s">
        <v>391</v>
      </c>
      <c r="F425">
        <v>8</v>
      </c>
      <c r="G425" s="6">
        <v>36128</v>
      </c>
      <c r="H425">
        <f>COUNTBLANK(Sales_Data[[#This Row],[Revenue]])</f>
        <v>0</v>
      </c>
      <c r="I425">
        <f>COUNTBLANK(Sales_Data[[#This Row],[Quantity]])</f>
        <v>0</v>
      </c>
      <c r="J425" t="str">
        <f>TEXT(Sales_Data[[#This Row],[Date]],"yyyy-mm")</f>
        <v>2025-09</v>
      </c>
    </row>
    <row r="426" spans="1:10" x14ac:dyDescent="0.35">
      <c r="A426" t="s">
        <v>815</v>
      </c>
      <c r="B426" s="3">
        <v>45938</v>
      </c>
      <c r="C426" t="s">
        <v>4</v>
      </c>
      <c r="D426" t="s">
        <v>327</v>
      </c>
      <c r="E426" t="s">
        <v>389</v>
      </c>
      <c r="F426">
        <v>1</v>
      </c>
      <c r="G426" s="6">
        <v>11815</v>
      </c>
      <c r="H426">
        <f>COUNTBLANK(Sales_Data[[#This Row],[Revenue]])</f>
        <v>0</v>
      </c>
      <c r="I426">
        <f>COUNTBLANK(Sales_Data[[#This Row],[Quantity]])</f>
        <v>0</v>
      </c>
      <c r="J426" t="str">
        <f>TEXT(Sales_Data[[#This Row],[Date]],"yyyy-mm")</f>
        <v>2025-10</v>
      </c>
    </row>
    <row r="427" spans="1:10" x14ac:dyDescent="0.35">
      <c r="A427" t="s">
        <v>816</v>
      </c>
      <c r="B427" s="3">
        <v>45739</v>
      </c>
      <c r="C427" t="s">
        <v>49</v>
      </c>
      <c r="D427" t="s">
        <v>78</v>
      </c>
      <c r="E427" t="s">
        <v>389</v>
      </c>
      <c r="F427">
        <v>3</v>
      </c>
      <c r="G427" s="6">
        <v>136542</v>
      </c>
      <c r="H427">
        <f>COUNTBLANK(Sales_Data[[#This Row],[Revenue]])</f>
        <v>0</v>
      </c>
      <c r="I427">
        <f>COUNTBLANK(Sales_Data[[#This Row],[Quantity]])</f>
        <v>0</v>
      </c>
      <c r="J427" t="str">
        <f>TEXT(Sales_Data[[#This Row],[Date]],"yyyy-mm")</f>
        <v>2025-03</v>
      </c>
    </row>
    <row r="428" spans="1:10" x14ac:dyDescent="0.35">
      <c r="A428" t="s">
        <v>817</v>
      </c>
      <c r="B428" s="3">
        <v>45719</v>
      </c>
      <c r="C428" t="s">
        <v>27</v>
      </c>
      <c r="D428" t="s">
        <v>357</v>
      </c>
      <c r="E428" t="s">
        <v>387</v>
      </c>
      <c r="F428">
        <v>2</v>
      </c>
      <c r="G428" s="6">
        <v>75368</v>
      </c>
      <c r="H428">
        <f>COUNTBLANK(Sales_Data[[#This Row],[Revenue]])</f>
        <v>0</v>
      </c>
      <c r="I428">
        <f>COUNTBLANK(Sales_Data[[#This Row],[Quantity]])</f>
        <v>0</v>
      </c>
      <c r="J428" t="str">
        <f>TEXT(Sales_Data[[#This Row],[Date]],"yyyy-mm")</f>
        <v>2025-03</v>
      </c>
    </row>
    <row r="429" spans="1:10" x14ac:dyDescent="0.35">
      <c r="A429" t="s">
        <v>818</v>
      </c>
      <c r="B429" s="3">
        <v>45747</v>
      </c>
      <c r="C429" t="s">
        <v>10</v>
      </c>
      <c r="D429" t="s">
        <v>201</v>
      </c>
      <c r="E429" t="s">
        <v>394</v>
      </c>
      <c r="F429">
        <v>3</v>
      </c>
      <c r="G429" s="6">
        <v>13548</v>
      </c>
      <c r="H429">
        <f>COUNTBLANK(Sales_Data[[#This Row],[Revenue]])</f>
        <v>0</v>
      </c>
      <c r="I429">
        <f>COUNTBLANK(Sales_Data[[#This Row],[Quantity]])</f>
        <v>0</v>
      </c>
      <c r="J429" t="str">
        <f>TEXT(Sales_Data[[#This Row],[Date]],"yyyy-mm")</f>
        <v>2025-03</v>
      </c>
    </row>
    <row r="430" spans="1:10" x14ac:dyDescent="0.35">
      <c r="A430" t="s">
        <v>819</v>
      </c>
      <c r="B430" s="3">
        <v>45952</v>
      </c>
      <c r="C430" t="s">
        <v>16</v>
      </c>
      <c r="D430" t="s">
        <v>329</v>
      </c>
      <c r="E430" t="s">
        <v>387</v>
      </c>
      <c r="F430">
        <v>5</v>
      </c>
      <c r="G430" s="6">
        <v>159810</v>
      </c>
      <c r="H430">
        <f>COUNTBLANK(Sales_Data[[#This Row],[Revenue]])</f>
        <v>0</v>
      </c>
      <c r="I430">
        <f>COUNTBLANK(Sales_Data[[#This Row],[Quantity]])</f>
        <v>0</v>
      </c>
      <c r="J430" t="str">
        <f>TEXT(Sales_Data[[#This Row],[Date]],"yyyy-mm")</f>
        <v>2025-10</v>
      </c>
    </row>
    <row r="431" spans="1:10" x14ac:dyDescent="0.35">
      <c r="A431" t="s">
        <v>820</v>
      </c>
      <c r="B431" s="3">
        <v>45808</v>
      </c>
      <c r="C431" t="s">
        <v>25</v>
      </c>
      <c r="D431" t="s">
        <v>241</v>
      </c>
      <c r="E431" t="s">
        <v>403</v>
      </c>
      <c r="F431">
        <v>2</v>
      </c>
      <c r="G431" s="6">
        <v>36486</v>
      </c>
      <c r="H431">
        <f>COUNTBLANK(Sales_Data[[#This Row],[Revenue]])</f>
        <v>0</v>
      </c>
      <c r="I431">
        <f>COUNTBLANK(Sales_Data[[#This Row],[Quantity]])</f>
        <v>0</v>
      </c>
      <c r="J431" t="str">
        <f>TEXT(Sales_Data[[#This Row],[Date]],"yyyy-mm")</f>
        <v>2025-05</v>
      </c>
    </row>
    <row r="432" spans="1:10" x14ac:dyDescent="0.35">
      <c r="A432" t="s">
        <v>821</v>
      </c>
      <c r="B432" s="3">
        <v>45729</v>
      </c>
      <c r="C432" t="s">
        <v>51</v>
      </c>
      <c r="D432" t="s">
        <v>251</v>
      </c>
      <c r="E432" t="s">
        <v>389</v>
      </c>
      <c r="F432">
        <v>3</v>
      </c>
      <c r="G432" s="6">
        <v>94317</v>
      </c>
      <c r="H432">
        <f>COUNTBLANK(Sales_Data[[#This Row],[Revenue]])</f>
        <v>0</v>
      </c>
      <c r="I432">
        <f>COUNTBLANK(Sales_Data[[#This Row],[Quantity]])</f>
        <v>0</v>
      </c>
      <c r="J432" t="str">
        <f>TEXT(Sales_Data[[#This Row],[Date]],"yyyy-mm")</f>
        <v>2025-03</v>
      </c>
    </row>
    <row r="433" spans="1:10" x14ac:dyDescent="0.35">
      <c r="A433" t="s">
        <v>822</v>
      </c>
      <c r="B433" s="3">
        <v>45930</v>
      </c>
      <c r="C433" t="s">
        <v>23</v>
      </c>
      <c r="D433" t="s">
        <v>323</v>
      </c>
      <c r="E433" t="s">
        <v>391</v>
      </c>
      <c r="F433">
        <v>8</v>
      </c>
      <c r="G433" s="6">
        <v>48552</v>
      </c>
      <c r="H433">
        <f>COUNTBLANK(Sales_Data[[#This Row],[Revenue]])</f>
        <v>0</v>
      </c>
      <c r="I433">
        <f>COUNTBLANK(Sales_Data[[#This Row],[Quantity]])</f>
        <v>0</v>
      </c>
      <c r="J433" t="str">
        <f>TEXT(Sales_Data[[#This Row],[Date]],"yyyy-mm")</f>
        <v>2025-09</v>
      </c>
    </row>
    <row r="434" spans="1:10" x14ac:dyDescent="0.35">
      <c r="A434" t="s">
        <v>823</v>
      </c>
      <c r="B434" s="3">
        <v>45827</v>
      </c>
      <c r="C434" t="s">
        <v>45</v>
      </c>
      <c r="D434" t="s">
        <v>209</v>
      </c>
      <c r="E434" t="s">
        <v>387</v>
      </c>
      <c r="F434">
        <v>1</v>
      </c>
      <c r="G434" s="6">
        <v>7826</v>
      </c>
      <c r="H434">
        <f>COUNTBLANK(Sales_Data[[#This Row],[Revenue]])</f>
        <v>0</v>
      </c>
      <c r="I434">
        <f>COUNTBLANK(Sales_Data[[#This Row],[Quantity]])</f>
        <v>0</v>
      </c>
      <c r="J434" t="str">
        <f>TEXT(Sales_Data[[#This Row],[Date]],"yyyy-mm")</f>
        <v>2025-06</v>
      </c>
    </row>
    <row r="435" spans="1:10" x14ac:dyDescent="0.35">
      <c r="A435" t="s">
        <v>824</v>
      </c>
      <c r="B435" s="3">
        <v>45815</v>
      </c>
      <c r="C435" t="s">
        <v>25</v>
      </c>
      <c r="D435" t="s">
        <v>353</v>
      </c>
      <c r="E435" t="s">
        <v>394</v>
      </c>
      <c r="F435">
        <v>7</v>
      </c>
      <c r="G435" s="6">
        <v>127701</v>
      </c>
      <c r="H435">
        <f>COUNTBLANK(Sales_Data[[#This Row],[Revenue]])</f>
        <v>0</v>
      </c>
      <c r="I435">
        <f>COUNTBLANK(Sales_Data[[#This Row],[Quantity]])</f>
        <v>0</v>
      </c>
      <c r="J435" t="str">
        <f>TEXT(Sales_Data[[#This Row],[Date]],"yyyy-mm")</f>
        <v>2025-06</v>
      </c>
    </row>
    <row r="436" spans="1:10" x14ac:dyDescent="0.35">
      <c r="A436" t="s">
        <v>825</v>
      </c>
      <c r="B436" s="3">
        <v>45807</v>
      </c>
      <c r="C436" t="s">
        <v>13</v>
      </c>
      <c r="D436" t="s">
        <v>373</v>
      </c>
      <c r="E436" t="s">
        <v>394</v>
      </c>
      <c r="F436">
        <v>4</v>
      </c>
      <c r="G436" s="6">
        <v>120708</v>
      </c>
      <c r="H436">
        <f>COUNTBLANK(Sales_Data[[#This Row],[Revenue]])</f>
        <v>0</v>
      </c>
      <c r="I436">
        <f>COUNTBLANK(Sales_Data[[#This Row],[Quantity]])</f>
        <v>0</v>
      </c>
      <c r="J436" t="str">
        <f>TEXT(Sales_Data[[#This Row],[Date]],"yyyy-mm")</f>
        <v>2025-05</v>
      </c>
    </row>
    <row r="437" spans="1:10" x14ac:dyDescent="0.35">
      <c r="A437" t="s">
        <v>826</v>
      </c>
      <c r="B437" s="3">
        <v>45995</v>
      </c>
      <c r="C437" t="s">
        <v>29</v>
      </c>
      <c r="D437" t="s">
        <v>115</v>
      </c>
      <c r="E437" t="s">
        <v>391</v>
      </c>
      <c r="F437">
        <v>4</v>
      </c>
      <c r="G437" s="6">
        <v>170576</v>
      </c>
      <c r="H437">
        <f>COUNTBLANK(Sales_Data[[#This Row],[Revenue]])</f>
        <v>0</v>
      </c>
      <c r="I437">
        <f>COUNTBLANK(Sales_Data[[#This Row],[Quantity]])</f>
        <v>0</v>
      </c>
      <c r="J437" t="str">
        <f>TEXT(Sales_Data[[#This Row],[Date]],"yyyy-mm")</f>
        <v>2025-12</v>
      </c>
    </row>
    <row r="438" spans="1:10" x14ac:dyDescent="0.35">
      <c r="A438" t="s">
        <v>827</v>
      </c>
      <c r="B438" s="3">
        <v>45799</v>
      </c>
      <c r="C438" t="s">
        <v>10</v>
      </c>
      <c r="D438" t="s">
        <v>373</v>
      </c>
      <c r="E438" t="s">
        <v>394</v>
      </c>
      <c r="F438">
        <v>5</v>
      </c>
      <c r="G438" s="6">
        <v>22580</v>
      </c>
      <c r="H438">
        <f>COUNTBLANK(Sales_Data[[#This Row],[Revenue]])</f>
        <v>0</v>
      </c>
      <c r="I438">
        <f>COUNTBLANK(Sales_Data[[#This Row],[Quantity]])</f>
        <v>0</v>
      </c>
      <c r="J438" t="str">
        <f>TEXT(Sales_Data[[#This Row],[Date]],"yyyy-mm")</f>
        <v>2025-05</v>
      </c>
    </row>
    <row r="439" spans="1:10" x14ac:dyDescent="0.35">
      <c r="A439" t="s">
        <v>828</v>
      </c>
      <c r="B439" s="3">
        <v>45666</v>
      </c>
      <c r="C439" t="s">
        <v>45</v>
      </c>
      <c r="D439" t="s">
        <v>379</v>
      </c>
      <c r="E439" t="s">
        <v>387</v>
      </c>
      <c r="F439">
        <v>10</v>
      </c>
      <c r="G439" s="6">
        <v>78260</v>
      </c>
      <c r="H439">
        <f>COUNTBLANK(Sales_Data[[#This Row],[Revenue]])</f>
        <v>0</v>
      </c>
      <c r="I439">
        <f>COUNTBLANK(Sales_Data[[#This Row],[Quantity]])</f>
        <v>0</v>
      </c>
      <c r="J439" t="str">
        <f>TEXT(Sales_Data[[#This Row],[Date]],"yyyy-mm")</f>
        <v>2025-01</v>
      </c>
    </row>
    <row r="440" spans="1:10" x14ac:dyDescent="0.35">
      <c r="A440" t="s">
        <v>829</v>
      </c>
      <c r="B440" s="3">
        <v>45976</v>
      </c>
      <c r="C440" t="s">
        <v>65</v>
      </c>
      <c r="D440" t="s">
        <v>311</v>
      </c>
      <c r="E440" t="s">
        <v>389</v>
      </c>
      <c r="F440">
        <v>10</v>
      </c>
      <c r="G440" s="6">
        <v>5450</v>
      </c>
      <c r="H440">
        <f>COUNTBLANK(Sales_Data[[#This Row],[Revenue]])</f>
        <v>0</v>
      </c>
      <c r="I440">
        <f>COUNTBLANK(Sales_Data[[#This Row],[Quantity]])</f>
        <v>0</v>
      </c>
      <c r="J440" t="str">
        <f>TEXT(Sales_Data[[#This Row],[Date]],"yyyy-mm")</f>
        <v>2025-11</v>
      </c>
    </row>
    <row r="441" spans="1:10" x14ac:dyDescent="0.35">
      <c r="A441" t="s">
        <v>830</v>
      </c>
      <c r="B441" s="3">
        <v>45766</v>
      </c>
      <c r="C441" t="s">
        <v>63</v>
      </c>
      <c r="D441" t="s">
        <v>307</v>
      </c>
      <c r="E441" t="s">
        <v>391</v>
      </c>
      <c r="F441">
        <v>10</v>
      </c>
      <c r="G441" s="6">
        <v>87680</v>
      </c>
      <c r="H441">
        <f>COUNTBLANK(Sales_Data[[#This Row],[Revenue]])</f>
        <v>0</v>
      </c>
      <c r="I441">
        <f>COUNTBLANK(Sales_Data[[#This Row],[Quantity]])</f>
        <v>0</v>
      </c>
      <c r="J441" t="str">
        <f>TEXT(Sales_Data[[#This Row],[Date]],"yyyy-mm")</f>
        <v>2025-04</v>
      </c>
    </row>
    <row r="442" spans="1:10" x14ac:dyDescent="0.35">
      <c r="A442" t="s">
        <v>831</v>
      </c>
      <c r="B442" s="3">
        <v>45794</v>
      </c>
      <c r="C442" t="s">
        <v>27</v>
      </c>
      <c r="D442" t="s">
        <v>365</v>
      </c>
      <c r="E442" t="s">
        <v>394</v>
      </c>
      <c r="F442">
        <v>1</v>
      </c>
      <c r="G442" s="6">
        <v>37684</v>
      </c>
      <c r="H442">
        <f>COUNTBLANK(Sales_Data[[#This Row],[Revenue]])</f>
        <v>0</v>
      </c>
      <c r="I442">
        <f>COUNTBLANK(Sales_Data[[#This Row],[Quantity]])</f>
        <v>0</v>
      </c>
      <c r="J442" t="str">
        <f>TEXT(Sales_Data[[#This Row],[Date]],"yyyy-mm")</f>
        <v>2025-05</v>
      </c>
    </row>
    <row r="443" spans="1:10" x14ac:dyDescent="0.35">
      <c r="A443" t="s">
        <v>832</v>
      </c>
      <c r="B443" s="3">
        <v>45743</v>
      </c>
      <c r="C443" t="s">
        <v>19</v>
      </c>
      <c r="D443" t="s">
        <v>151</v>
      </c>
      <c r="E443" t="s">
        <v>391</v>
      </c>
      <c r="F443">
        <v>10</v>
      </c>
      <c r="G443" s="6">
        <v>421590</v>
      </c>
      <c r="H443">
        <f>COUNTBLANK(Sales_Data[[#This Row],[Revenue]])</f>
        <v>0</v>
      </c>
      <c r="I443">
        <f>COUNTBLANK(Sales_Data[[#This Row],[Quantity]])</f>
        <v>0</v>
      </c>
      <c r="J443" t="str">
        <f>TEXT(Sales_Data[[#This Row],[Date]],"yyyy-mm")</f>
        <v>2025-03</v>
      </c>
    </row>
    <row r="444" spans="1:10" x14ac:dyDescent="0.35">
      <c r="A444" t="s">
        <v>833</v>
      </c>
      <c r="B444" s="3">
        <v>45953</v>
      </c>
      <c r="C444" t="s">
        <v>49</v>
      </c>
      <c r="D444" t="s">
        <v>319</v>
      </c>
      <c r="E444" t="s">
        <v>391</v>
      </c>
      <c r="F444">
        <v>4</v>
      </c>
      <c r="G444" s="6">
        <v>182056</v>
      </c>
      <c r="H444">
        <f>COUNTBLANK(Sales_Data[[#This Row],[Revenue]])</f>
        <v>0</v>
      </c>
      <c r="I444">
        <f>COUNTBLANK(Sales_Data[[#This Row],[Quantity]])</f>
        <v>0</v>
      </c>
      <c r="J444" t="str">
        <f>TEXT(Sales_Data[[#This Row],[Date]],"yyyy-mm")</f>
        <v>2025-10</v>
      </c>
    </row>
    <row r="445" spans="1:10" x14ac:dyDescent="0.35">
      <c r="A445" t="s">
        <v>834</v>
      </c>
      <c r="B445" s="3">
        <v>45677</v>
      </c>
      <c r="C445" t="s">
        <v>53</v>
      </c>
      <c r="D445" t="s">
        <v>239</v>
      </c>
      <c r="E445" t="s">
        <v>387</v>
      </c>
      <c r="F445">
        <v>2</v>
      </c>
      <c r="G445" s="6">
        <v>8416</v>
      </c>
      <c r="H445">
        <f>COUNTBLANK(Sales_Data[[#This Row],[Revenue]])</f>
        <v>0</v>
      </c>
      <c r="I445">
        <f>COUNTBLANK(Sales_Data[[#This Row],[Quantity]])</f>
        <v>0</v>
      </c>
      <c r="J445" t="str">
        <f>TEXT(Sales_Data[[#This Row],[Date]],"yyyy-mm")</f>
        <v>2025-01</v>
      </c>
    </row>
    <row r="446" spans="1:10" x14ac:dyDescent="0.35">
      <c r="A446" t="s">
        <v>835</v>
      </c>
      <c r="B446" s="3">
        <v>45890</v>
      </c>
      <c r="C446" t="s">
        <v>63</v>
      </c>
      <c r="D446" t="s">
        <v>159</v>
      </c>
      <c r="E446" t="s">
        <v>391</v>
      </c>
      <c r="F446">
        <v>9</v>
      </c>
      <c r="G446" s="6">
        <v>78912</v>
      </c>
      <c r="H446">
        <f>COUNTBLANK(Sales_Data[[#This Row],[Revenue]])</f>
        <v>0</v>
      </c>
      <c r="I446">
        <f>COUNTBLANK(Sales_Data[[#This Row],[Quantity]])</f>
        <v>0</v>
      </c>
      <c r="J446" t="str">
        <f>TEXT(Sales_Data[[#This Row],[Date]],"yyyy-mm")</f>
        <v>2025-08</v>
      </c>
    </row>
    <row r="447" spans="1:10" x14ac:dyDescent="0.35">
      <c r="A447" t="s">
        <v>836</v>
      </c>
      <c r="B447" s="3">
        <v>45753</v>
      </c>
      <c r="C447" t="s">
        <v>33</v>
      </c>
      <c r="D447" t="s">
        <v>171</v>
      </c>
      <c r="E447" t="s">
        <v>403</v>
      </c>
      <c r="F447">
        <v>10</v>
      </c>
      <c r="G447" s="6">
        <v>362530</v>
      </c>
      <c r="H447">
        <f>COUNTBLANK(Sales_Data[[#This Row],[Revenue]])</f>
        <v>0</v>
      </c>
      <c r="I447">
        <f>COUNTBLANK(Sales_Data[[#This Row],[Quantity]])</f>
        <v>0</v>
      </c>
      <c r="J447" t="str">
        <f>TEXT(Sales_Data[[#This Row],[Date]],"yyyy-mm")</f>
        <v>2025-04</v>
      </c>
    </row>
    <row r="448" spans="1:10" x14ac:dyDescent="0.35">
      <c r="A448" t="s">
        <v>837</v>
      </c>
      <c r="B448" s="3">
        <v>45701</v>
      </c>
      <c r="C448" t="s">
        <v>13</v>
      </c>
      <c r="D448" t="s">
        <v>349</v>
      </c>
      <c r="E448" t="s">
        <v>387</v>
      </c>
      <c r="F448">
        <v>9</v>
      </c>
      <c r="G448" s="6">
        <v>271593</v>
      </c>
      <c r="H448">
        <f>COUNTBLANK(Sales_Data[[#This Row],[Revenue]])</f>
        <v>0</v>
      </c>
      <c r="I448">
        <f>COUNTBLANK(Sales_Data[[#This Row],[Quantity]])</f>
        <v>0</v>
      </c>
      <c r="J448" t="str">
        <f>TEXT(Sales_Data[[#This Row],[Date]],"yyyy-mm")</f>
        <v>2025-02</v>
      </c>
    </row>
    <row r="449" spans="1:10" x14ac:dyDescent="0.35">
      <c r="A449" t="s">
        <v>838</v>
      </c>
      <c r="B449" s="3">
        <v>45700</v>
      </c>
      <c r="C449" t="s">
        <v>33</v>
      </c>
      <c r="D449" t="s">
        <v>325</v>
      </c>
      <c r="E449" t="s">
        <v>387</v>
      </c>
      <c r="F449">
        <v>2</v>
      </c>
      <c r="G449" s="6">
        <v>72506</v>
      </c>
      <c r="H449">
        <f>COUNTBLANK(Sales_Data[[#This Row],[Revenue]])</f>
        <v>0</v>
      </c>
      <c r="I449">
        <f>COUNTBLANK(Sales_Data[[#This Row],[Quantity]])</f>
        <v>0</v>
      </c>
      <c r="J449" t="str">
        <f>TEXT(Sales_Data[[#This Row],[Date]],"yyyy-mm")</f>
        <v>2025-02</v>
      </c>
    </row>
    <row r="450" spans="1:10" x14ac:dyDescent="0.35">
      <c r="A450" t="s">
        <v>839</v>
      </c>
      <c r="B450" s="3">
        <v>45837</v>
      </c>
      <c r="C450" t="s">
        <v>49</v>
      </c>
      <c r="D450" t="s">
        <v>167</v>
      </c>
      <c r="E450" t="s">
        <v>403</v>
      </c>
      <c r="F450">
        <v>9</v>
      </c>
      <c r="G450" s="6">
        <v>409626</v>
      </c>
      <c r="H450">
        <f>COUNTBLANK(Sales_Data[[#This Row],[Revenue]])</f>
        <v>0</v>
      </c>
      <c r="I450">
        <f>COUNTBLANK(Sales_Data[[#This Row],[Quantity]])</f>
        <v>0</v>
      </c>
      <c r="J450" t="str">
        <f>TEXT(Sales_Data[[#This Row],[Date]],"yyyy-mm")</f>
        <v>2025-06</v>
      </c>
    </row>
    <row r="451" spans="1:10" x14ac:dyDescent="0.35">
      <c r="A451" t="s">
        <v>840</v>
      </c>
      <c r="B451" s="3">
        <v>46010</v>
      </c>
      <c r="C451" t="s">
        <v>37</v>
      </c>
      <c r="D451" t="s">
        <v>361</v>
      </c>
      <c r="E451" t="s">
        <v>391</v>
      </c>
      <c r="F451">
        <v>5</v>
      </c>
      <c r="G451" s="6">
        <v>9765</v>
      </c>
      <c r="H451">
        <f>COUNTBLANK(Sales_Data[[#This Row],[Revenue]])</f>
        <v>0</v>
      </c>
      <c r="I451">
        <f>COUNTBLANK(Sales_Data[[#This Row],[Quantity]])</f>
        <v>0</v>
      </c>
      <c r="J451" t="str">
        <f>TEXT(Sales_Data[[#This Row],[Date]],"yyyy-mm")</f>
        <v>2025-12</v>
      </c>
    </row>
    <row r="452" spans="1:10" x14ac:dyDescent="0.35">
      <c r="A452" t="s">
        <v>841</v>
      </c>
      <c r="B452" s="3">
        <v>45908</v>
      </c>
      <c r="C452" t="s">
        <v>51</v>
      </c>
      <c r="D452" t="s">
        <v>291</v>
      </c>
      <c r="E452" t="s">
        <v>389</v>
      </c>
      <c r="F452">
        <v>7</v>
      </c>
      <c r="G452" s="6">
        <v>220073</v>
      </c>
      <c r="H452">
        <f>COUNTBLANK(Sales_Data[[#This Row],[Revenue]])</f>
        <v>0</v>
      </c>
      <c r="I452">
        <f>COUNTBLANK(Sales_Data[[#This Row],[Quantity]])</f>
        <v>0</v>
      </c>
      <c r="J452" t="str">
        <f>TEXT(Sales_Data[[#This Row],[Date]],"yyyy-mm")</f>
        <v>2025-09</v>
      </c>
    </row>
    <row r="453" spans="1:10" x14ac:dyDescent="0.35">
      <c r="A453" t="s">
        <v>842</v>
      </c>
      <c r="B453" s="3">
        <v>45973</v>
      </c>
      <c r="C453" t="s">
        <v>39</v>
      </c>
      <c r="D453" t="s">
        <v>91</v>
      </c>
      <c r="E453" t="s">
        <v>394</v>
      </c>
      <c r="F453">
        <v>6</v>
      </c>
      <c r="G453" s="6">
        <v>289728</v>
      </c>
      <c r="H453">
        <f>COUNTBLANK(Sales_Data[[#This Row],[Revenue]])</f>
        <v>0</v>
      </c>
      <c r="I453">
        <f>COUNTBLANK(Sales_Data[[#This Row],[Quantity]])</f>
        <v>0</v>
      </c>
      <c r="J453" t="str">
        <f>TEXT(Sales_Data[[#This Row],[Date]],"yyyy-mm")</f>
        <v>2025-11</v>
      </c>
    </row>
    <row r="454" spans="1:10" x14ac:dyDescent="0.35">
      <c r="A454" t="s">
        <v>843</v>
      </c>
      <c r="B454" s="3">
        <v>45895</v>
      </c>
      <c r="C454" t="s">
        <v>47</v>
      </c>
      <c r="D454" t="s">
        <v>171</v>
      </c>
      <c r="E454" t="s">
        <v>394</v>
      </c>
      <c r="F454">
        <v>5</v>
      </c>
      <c r="G454" s="6">
        <v>110310</v>
      </c>
      <c r="H454">
        <f>COUNTBLANK(Sales_Data[[#This Row],[Revenue]])</f>
        <v>0</v>
      </c>
      <c r="I454">
        <f>COUNTBLANK(Sales_Data[[#This Row],[Quantity]])</f>
        <v>0</v>
      </c>
      <c r="J454" t="str">
        <f>TEXT(Sales_Data[[#This Row],[Date]],"yyyy-mm")</f>
        <v>2025-08</v>
      </c>
    </row>
    <row r="455" spans="1:10" x14ac:dyDescent="0.35">
      <c r="A455" t="s">
        <v>844</v>
      </c>
      <c r="B455" s="3">
        <v>45863</v>
      </c>
      <c r="C455" t="s">
        <v>55</v>
      </c>
      <c r="D455" t="s">
        <v>161</v>
      </c>
      <c r="E455" t="s">
        <v>389</v>
      </c>
      <c r="F455">
        <v>4</v>
      </c>
      <c r="G455" s="6">
        <v>45660</v>
      </c>
      <c r="H455">
        <f>COUNTBLANK(Sales_Data[[#This Row],[Revenue]])</f>
        <v>0</v>
      </c>
      <c r="I455">
        <f>COUNTBLANK(Sales_Data[[#This Row],[Quantity]])</f>
        <v>0</v>
      </c>
      <c r="J455" t="str">
        <f>TEXT(Sales_Data[[#This Row],[Date]],"yyyy-mm")</f>
        <v>2025-07</v>
      </c>
    </row>
    <row r="456" spans="1:10" x14ac:dyDescent="0.35">
      <c r="A456" t="s">
        <v>845</v>
      </c>
      <c r="B456" s="3">
        <v>46017</v>
      </c>
      <c r="C456" t="s">
        <v>21</v>
      </c>
      <c r="D456" t="s">
        <v>317</v>
      </c>
      <c r="E456" t="s">
        <v>394</v>
      </c>
      <c r="F456">
        <v>7</v>
      </c>
      <c r="G456" s="6">
        <v>106463</v>
      </c>
      <c r="H456">
        <f>COUNTBLANK(Sales_Data[[#This Row],[Revenue]])</f>
        <v>0</v>
      </c>
      <c r="I456">
        <f>COUNTBLANK(Sales_Data[[#This Row],[Quantity]])</f>
        <v>0</v>
      </c>
      <c r="J456" t="str">
        <f>TEXT(Sales_Data[[#This Row],[Date]],"yyyy-mm")</f>
        <v>2025-12</v>
      </c>
    </row>
    <row r="457" spans="1:10" x14ac:dyDescent="0.35">
      <c r="A457" t="s">
        <v>846</v>
      </c>
      <c r="B457" s="3">
        <v>45838</v>
      </c>
      <c r="C457" t="s">
        <v>21</v>
      </c>
      <c r="D457" t="s">
        <v>195</v>
      </c>
      <c r="E457" t="s">
        <v>394</v>
      </c>
      <c r="F457">
        <v>4</v>
      </c>
      <c r="G457" s="6">
        <v>60836</v>
      </c>
      <c r="H457">
        <f>COUNTBLANK(Sales_Data[[#This Row],[Revenue]])</f>
        <v>0</v>
      </c>
      <c r="I457">
        <f>COUNTBLANK(Sales_Data[[#This Row],[Quantity]])</f>
        <v>0</v>
      </c>
      <c r="J457" t="str">
        <f>TEXT(Sales_Data[[#This Row],[Date]],"yyyy-mm")</f>
        <v>2025-06</v>
      </c>
    </row>
    <row r="458" spans="1:10" x14ac:dyDescent="0.35">
      <c r="A458" t="s">
        <v>847</v>
      </c>
      <c r="B458" s="3">
        <v>45813</v>
      </c>
      <c r="C458" t="s">
        <v>51</v>
      </c>
      <c r="D458" t="s">
        <v>233</v>
      </c>
      <c r="E458" t="s">
        <v>389</v>
      </c>
      <c r="F458">
        <v>6</v>
      </c>
      <c r="G458" s="6">
        <v>188634</v>
      </c>
      <c r="H458">
        <f>COUNTBLANK(Sales_Data[[#This Row],[Revenue]])</f>
        <v>0</v>
      </c>
      <c r="I458">
        <f>COUNTBLANK(Sales_Data[[#This Row],[Quantity]])</f>
        <v>0</v>
      </c>
      <c r="J458" t="str">
        <f>TEXT(Sales_Data[[#This Row],[Date]],"yyyy-mm")</f>
        <v>2025-06</v>
      </c>
    </row>
    <row r="459" spans="1:10" x14ac:dyDescent="0.35">
      <c r="A459" t="s">
        <v>848</v>
      </c>
      <c r="B459" s="3">
        <v>45943</v>
      </c>
      <c r="C459" t="s">
        <v>39</v>
      </c>
      <c r="D459" t="s">
        <v>229</v>
      </c>
      <c r="E459" t="s">
        <v>391</v>
      </c>
      <c r="F459">
        <v>4</v>
      </c>
      <c r="G459" s="6">
        <v>193152</v>
      </c>
      <c r="H459">
        <f>COUNTBLANK(Sales_Data[[#This Row],[Revenue]])</f>
        <v>0</v>
      </c>
      <c r="I459">
        <f>COUNTBLANK(Sales_Data[[#This Row],[Quantity]])</f>
        <v>0</v>
      </c>
      <c r="J459" t="str">
        <f>TEXT(Sales_Data[[#This Row],[Date]],"yyyy-mm")</f>
        <v>2025-10</v>
      </c>
    </row>
    <row r="460" spans="1:10" x14ac:dyDescent="0.35">
      <c r="A460" t="s">
        <v>849</v>
      </c>
      <c r="B460" s="3">
        <v>45689</v>
      </c>
      <c r="C460" t="s">
        <v>43</v>
      </c>
      <c r="D460" t="s">
        <v>199</v>
      </c>
      <c r="E460" t="s">
        <v>403</v>
      </c>
      <c r="F460">
        <v>2</v>
      </c>
      <c r="G460" s="6">
        <v>75650</v>
      </c>
      <c r="H460">
        <f>COUNTBLANK(Sales_Data[[#This Row],[Revenue]])</f>
        <v>0</v>
      </c>
      <c r="I460">
        <f>COUNTBLANK(Sales_Data[[#This Row],[Quantity]])</f>
        <v>0</v>
      </c>
      <c r="J460" t="str">
        <f>TEXT(Sales_Data[[#This Row],[Date]],"yyyy-mm")</f>
        <v>2025-02</v>
      </c>
    </row>
    <row r="461" spans="1:10" x14ac:dyDescent="0.35">
      <c r="A461" t="s">
        <v>850</v>
      </c>
      <c r="B461" s="3">
        <v>45791</v>
      </c>
      <c r="C461" t="s">
        <v>57</v>
      </c>
      <c r="D461" t="s">
        <v>165</v>
      </c>
      <c r="E461" t="s">
        <v>389</v>
      </c>
      <c r="F461">
        <v>1</v>
      </c>
      <c r="G461" s="6">
        <v>48789</v>
      </c>
      <c r="H461">
        <f>COUNTBLANK(Sales_Data[[#This Row],[Revenue]])</f>
        <v>0</v>
      </c>
      <c r="I461">
        <f>COUNTBLANK(Sales_Data[[#This Row],[Quantity]])</f>
        <v>0</v>
      </c>
      <c r="J461" t="str">
        <f>TEXT(Sales_Data[[#This Row],[Date]],"yyyy-mm")</f>
        <v>2025-05</v>
      </c>
    </row>
    <row r="462" spans="1:10" x14ac:dyDescent="0.35">
      <c r="A462" t="s">
        <v>851</v>
      </c>
      <c r="B462" s="3">
        <v>45907</v>
      </c>
      <c r="C462" t="s">
        <v>43</v>
      </c>
      <c r="D462" t="s">
        <v>311</v>
      </c>
      <c r="E462" t="s">
        <v>387</v>
      </c>
      <c r="F462">
        <v>4</v>
      </c>
      <c r="G462" s="6">
        <v>151300</v>
      </c>
      <c r="H462">
        <f>COUNTBLANK(Sales_Data[[#This Row],[Revenue]])</f>
        <v>0</v>
      </c>
      <c r="I462">
        <f>COUNTBLANK(Sales_Data[[#This Row],[Quantity]])</f>
        <v>0</v>
      </c>
      <c r="J462" t="str">
        <f>TEXT(Sales_Data[[#This Row],[Date]],"yyyy-mm")</f>
        <v>2025-09</v>
      </c>
    </row>
    <row r="463" spans="1:10" x14ac:dyDescent="0.35">
      <c r="A463" t="s">
        <v>852</v>
      </c>
      <c r="B463" s="3">
        <v>45828</v>
      </c>
      <c r="C463" t="s">
        <v>35</v>
      </c>
      <c r="D463" t="s">
        <v>127</v>
      </c>
      <c r="E463" t="s">
        <v>389</v>
      </c>
      <c r="F463">
        <v>4</v>
      </c>
      <c r="G463" s="6">
        <v>197840</v>
      </c>
      <c r="H463">
        <f>COUNTBLANK(Sales_Data[[#This Row],[Revenue]])</f>
        <v>0</v>
      </c>
      <c r="I463">
        <f>COUNTBLANK(Sales_Data[[#This Row],[Quantity]])</f>
        <v>0</v>
      </c>
      <c r="J463" t="str">
        <f>TEXT(Sales_Data[[#This Row],[Date]],"yyyy-mm")</f>
        <v>2025-06</v>
      </c>
    </row>
    <row r="464" spans="1:10" x14ac:dyDescent="0.35">
      <c r="A464" t="s">
        <v>853</v>
      </c>
      <c r="B464" s="3">
        <v>45667</v>
      </c>
      <c r="C464" t="s">
        <v>51</v>
      </c>
      <c r="D464" t="s">
        <v>377</v>
      </c>
      <c r="E464" t="s">
        <v>387</v>
      </c>
      <c r="F464">
        <v>3</v>
      </c>
      <c r="G464" s="6">
        <v>94317</v>
      </c>
      <c r="H464">
        <f>COUNTBLANK(Sales_Data[[#This Row],[Revenue]])</f>
        <v>0</v>
      </c>
      <c r="I464">
        <f>COUNTBLANK(Sales_Data[[#This Row],[Quantity]])</f>
        <v>0</v>
      </c>
      <c r="J464" t="str">
        <f>TEXT(Sales_Data[[#This Row],[Date]],"yyyy-mm")</f>
        <v>2025-01</v>
      </c>
    </row>
    <row r="465" spans="1:10" x14ac:dyDescent="0.35">
      <c r="A465" t="s">
        <v>854</v>
      </c>
      <c r="B465" s="3">
        <v>45927</v>
      </c>
      <c r="C465" t="s">
        <v>47</v>
      </c>
      <c r="D465" t="s">
        <v>129</v>
      </c>
      <c r="E465" t="s">
        <v>394</v>
      </c>
      <c r="F465">
        <v>7</v>
      </c>
      <c r="G465" s="6">
        <v>154434</v>
      </c>
      <c r="H465">
        <f>COUNTBLANK(Sales_Data[[#This Row],[Revenue]])</f>
        <v>0</v>
      </c>
      <c r="I465">
        <f>COUNTBLANK(Sales_Data[[#This Row],[Quantity]])</f>
        <v>0</v>
      </c>
      <c r="J465" t="str">
        <f>TEXT(Sales_Data[[#This Row],[Date]],"yyyy-mm")</f>
        <v>2025-09</v>
      </c>
    </row>
    <row r="466" spans="1:10" x14ac:dyDescent="0.35">
      <c r="A466" t="s">
        <v>855</v>
      </c>
      <c r="B466" s="3">
        <v>45830</v>
      </c>
      <c r="C466" t="s">
        <v>41</v>
      </c>
      <c r="D466" t="s">
        <v>103</v>
      </c>
      <c r="E466" t="s">
        <v>403</v>
      </c>
      <c r="F466">
        <v>10</v>
      </c>
      <c r="G466" s="6">
        <v>212620</v>
      </c>
      <c r="H466">
        <f>COUNTBLANK(Sales_Data[[#This Row],[Revenue]])</f>
        <v>0</v>
      </c>
      <c r="I466">
        <f>COUNTBLANK(Sales_Data[[#This Row],[Quantity]])</f>
        <v>0</v>
      </c>
      <c r="J466" t="str">
        <f>TEXT(Sales_Data[[#This Row],[Date]],"yyyy-mm")</f>
        <v>2025-06</v>
      </c>
    </row>
    <row r="467" spans="1:10" x14ac:dyDescent="0.35">
      <c r="A467" t="s">
        <v>856</v>
      </c>
      <c r="B467" s="3">
        <v>45915</v>
      </c>
      <c r="C467" t="s">
        <v>19</v>
      </c>
      <c r="D467" t="s">
        <v>103</v>
      </c>
      <c r="E467" t="s">
        <v>394</v>
      </c>
      <c r="F467">
        <v>8</v>
      </c>
      <c r="G467" s="6">
        <v>337272</v>
      </c>
      <c r="H467">
        <f>COUNTBLANK(Sales_Data[[#This Row],[Revenue]])</f>
        <v>0</v>
      </c>
      <c r="I467">
        <f>COUNTBLANK(Sales_Data[[#This Row],[Quantity]])</f>
        <v>0</v>
      </c>
      <c r="J467" t="str">
        <f>TEXT(Sales_Data[[#This Row],[Date]],"yyyy-mm")</f>
        <v>2025-09</v>
      </c>
    </row>
    <row r="468" spans="1:10" x14ac:dyDescent="0.35">
      <c r="A468" t="s">
        <v>857</v>
      </c>
      <c r="B468" s="3">
        <v>45922</v>
      </c>
      <c r="C468" t="s">
        <v>45</v>
      </c>
      <c r="D468" t="s">
        <v>123</v>
      </c>
      <c r="E468" t="s">
        <v>394</v>
      </c>
      <c r="F468">
        <v>4</v>
      </c>
      <c r="G468" s="6">
        <v>31304</v>
      </c>
      <c r="H468">
        <f>COUNTBLANK(Sales_Data[[#This Row],[Revenue]])</f>
        <v>0</v>
      </c>
      <c r="I468">
        <f>COUNTBLANK(Sales_Data[[#This Row],[Quantity]])</f>
        <v>0</v>
      </c>
      <c r="J468" t="str">
        <f>TEXT(Sales_Data[[#This Row],[Date]],"yyyy-mm")</f>
        <v>2025-09</v>
      </c>
    </row>
    <row r="469" spans="1:10" x14ac:dyDescent="0.35">
      <c r="A469" t="s">
        <v>858</v>
      </c>
      <c r="B469" s="3">
        <v>45851</v>
      </c>
      <c r="C469" t="s">
        <v>19</v>
      </c>
      <c r="D469" t="s">
        <v>251</v>
      </c>
      <c r="E469" t="s">
        <v>403</v>
      </c>
      <c r="F469">
        <v>8</v>
      </c>
      <c r="G469" s="6">
        <v>337272</v>
      </c>
      <c r="H469">
        <f>COUNTBLANK(Sales_Data[[#This Row],[Revenue]])</f>
        <v>0</v>
      </c>
      <c r="I469">
        <f>COUNTBLANK(Sales_Data[[#This Row],[Quantity]])</f>
        <v>0</v>
      </c>
      <c r="J469" t="str">
        <f>TEXT(Sales_Data[[#This Row],[Date]],"yyyy-mm")</f>
        <v>2025-07</v>
      </c>
    </row>
    <row r="470" spans="1:10" x14ac:dyDescent="0.35">
      <c r="A470" t="s">
        <v>859</v>
      </c>
      <c r="B470" s="3">
        <v>45850</v>
      </c>
      <c r="C470" t="s">
        <v>7</v>
      </c>
      <c r="D470" t="s">
        <v>135</v>
      </c>
      <c r="E470" t="s">
        <v>394</v>
      </c>
      <c r="F470">
        <v>8</v>
      </c>
      <c r="G470" s="6">
        <v>209064</v>
      </c>
      <c r="H470">
        <f>COUNTBLANK(Sales_Data[[#This Row],[Revenue]])</f>
        <v>0</v>
      </c>
      <c r="I470">
        <f>COUNTBLANK(Sales_Data[[#This Row],[Quantity]])</f>
        <v>0</v>
      </c>
      <c r="J470" t="str">
        <f>TEXT(Sales_Data[[#This Row],[Date]],"yyyy-mm")</f>
        <v>2025-07</v>
      </c>
    </row>
    <row r="471" spans="1:10" x14ac:dyDescent="0.35">
      <c r="A471" t="s">
        <v>860</v>
      </c>
      <c r="B471" s="3">
        <v>45753</v>
      </c>
      <c r="C471" t="s">
        <v>65</v>
      </c>
      <c r="D471" t="s">
        <v>193</v>
      </c>
      <c r="E471" t="s">
        <v>391</v>
      </c>
      <c r="F471">
        <v>10</v>
      </c>
      <c r="G471" s="6">
        <v>5450</v>
      </c>
      <c r="H471">
        <f>COUNTBLANK(Sales_Data[[#This Row],[Revenue]])</f>
        <v>0</v>
      </c>
      <c r="I471">
        <f>COUNTBLANK(Sales_Data[[#This Row],[Quantity]])</f>
        <v>0</v>
      </c>
      <c r="J471" t="str">
        <f>TEXT(Sales_Data[[#This Row],[Date]],"yyyy-mm")</f>
        <v>2025-04</v>
      </c>
    </row>
    <row r="472" spans="1:10" x14ac:dyDescent="0.35">
      <c r="A472" t="s">
        <v>861</v>
      </c>
      <c r="B472" s="3">
        <v>45744</v>
      </c>
      <c r="C472" t="s">
        <v>27</v>
      </c>
      <c r="D472" t="s">
        <v>365</v>
      </c>
      <c r="E472" t="s">
        <v>394</v>
      </c>
      <c r="F472">
        <v>5</v>
      </c>
      <c r="G472" s="6">
        <v>188420</v>
      </c>
      <c r="H472">
        <f>COUNTBLANK(Sales_Data[[#This Row],[Revenue]])</f>
        <v>0</v>
      </c>
      <c r="I472">
        <f>COUNTBLANK(Sales_Data[[#This Row],[Quantity]])</f>
        <v>0</v>
      </c>
      <c r="J472" t="str">
        <f>TEXT(Sales_Data[[#This Row],[Date]],"yyyy-mm")</f>
        <v>2025-03</v>
      </c>
    </row>
    <row r="473" spans="1:10" x14ac:dyDescent="0.35">
      <c r="A473" t="s">
        <v>862</v>
      </c>
      <c r="B473" s="3">
        <v>45881</v>
      </c>
      <c r="C473" t="s">
        <v>55</v>
      </c>
      <c r="D473" t="s">
        <v>191</v>
      </c>
      <c r="E473" t="s">
        <v>387</v>
      </c>
      <c r="F473">
        <v>9</v>
      </c>
      <c r="G473" s="6">
        <v>102735</v>
      </c>
      <c r="H473">
        <f>COUNTBLANK(Sales_Data[[#This Row],[Revenue]])</f>
        <v>0</v>
      </c>
      <c r="I473">
        <f>COUNTBLANK(Sales_Data[[#This Row],[Quantity]])</f>
        <v>0</v>
      </c>
      <c r="J473" t="str">
        <f>TEXT(Sales_Data[[#This Row],[Date]],"yyyy-mm")</f>
        <v>2025-08</v>
      </c>
    </row>
    <row r="474" spans="1:10" x14ac:dyDescent="0.35">
      <c r="A474" t="s">
        <v>863</v>
      </c>
      <c r="B474" s="3">
        <v>45685</v>
      </c>
      <c r="C474" t="s">
        <v>31</v>
      </c>
      <c r="D474" t="s">
        <v>361</v>
      </c>
      <c r="E474" t="s">
        <v>391</v>
      </c>
      <c r="F474">
        <v>2</v>
      </c>
      <c r="G474" s="6">
        <v>59932</v>
      </c>
      <c r="H474">
        <f>COUNTBLANK(Sales_Data[[#This Row],[Revenue]])</f>
        <v>0</v>
      </c>
      <c r="I474">
        <f>COUNTBLANK(Sales_Data[[#This Row],[Quantity]])</f>
        <v>0</v>
      </c>
      <c r="J474" t="str">
        <f>TEXT(Sales_Data[[#This Row],[Date]],"yyyy-mm")</f>
        <v>2025-01</v>
      </c>
    </row>
    <row r="475" spans="1:10" x14ac:dyDescent="0.35">
      <c r="A475" t="s">
        <v>864</v>
      </c>
      <c r="B475" s="3">
        <v>45680</v>
      </c>
      <c r="C475" t="s">
        <v>45</v>
      </c>
      <c r="D475" t="s">
        <v>173</v>
      </c>
      <c r="E475" t="s">
        <v>387</v>
      </c>
      <c r="F475">
        <v>8</v>
      </c>
      <c r="G475" s="6">
        <v>62608</v>
      </c>
      <c r="H475">
        <f>COUNTBLANK(Sales_Data[[#This Row],[Revenue]])</f>
        <v>0</v>
      </c>
      <c r="I475">
        <f>COUNTBLANK(Sales_Data[[#This Row],[Quantity]])</f>
        <v>0</v>
      </c>
      <c r="J475" t="str">
        <f>TEXT(Sales_Data[[#This Row],[Date]],"yyyy-mm")</f>
        <v>2025-01</v>
      </c>
    </row>
    <row r="476" spans="1:10" x14ac:dyDescent="0.35">
      <c r="A476" t="s">
        <v>865</v>
      </c>
      <c r="B476" s="3">
        <v>45981</v>
      </c>
      <c r="C476" t="s">
        <v>35</v>
      </c>
      <c r="D476" t="s">
        <v>297</v>
      </c>
      <c r="E476" t="s">
        <v>403</v>
      </c>
      <c r="F476">
        <v>9</v>
      </c>
      <c r="G476" s="6">
        <v>445140</v>
      </c>
      <c r="H476">
        <f>COUNTBLANK(Sales_Data[[#This Row],[Revenue]])</f>
        <v>0</v>
      </c>
      <c r="I476">
        <f>COUNTBLANK(Sales_Data[[#This Row],[Quantity]])</f>
        <v>0</v>
      </c>
      <c r="J476" t="str">
        <f>TEXT(Sales_Data[[#This Row],[Date]],"yyyy-mm")</f>
        <v>2025-11</v>
      </c>
    </row>
    <row r="477" spans="1:10" x14ac:dyDescent="0.35">
      <c r="A477" t="s">
        <v>866</v>
      </c>
      <c r="B477" s="3">
        <v>45691</v>
      </c>
      <c r="C477" t="s">
        <v>31</v>
      </c>
      <c r="D477" t="s">
        <v>241</v>
      </c>
      <c r="E477" t="s">
        <v>387</v>
      </c>
      <c r="F477">
        <v>7</v>
      </c>
      <c r="G477" s="6">
        <v>209762</v>
      </c>
      <c r="H477">
        <f>COUNTBLANK(Sales_Data[[#This Row],[Revenue]])</f>
        <v>0</v>
      </c>
      <c r="I477">
        <f>COUNTBLANK(Sales_Data[[#This Row],[Quantity]])</f>
        <v>0</v>
      </c>
      <c r="J477" t="str">
        <f>TEXT(Sales_Data[[#This Row],[Date]],"yyyy-mm")</f>
        <v>2025-02</v>
      </c>
    </row>
    <row r="478" spans="1:10" x14ac:dyDescent="0.35">
      <c r="A478" t="s">
        <v>867</v>
      </c>
      <c r="B478" s="3">
        <v>45679</v>
      </c>
      <c r="C478" t="s">
        <v>35</v>
      </c>
      <c r="D478" t="s">
        <v>88</v>
      </c>
      <c r="E478" t="s">
        <v>391</v>
      </c>
      <c r="F478">
        <v>6</v>
      </c>
      <c r="G478" s="6">
        <v>296760</v>
      </c>
      <c r="H478">
        <f>COUNTBLANK(Sales_Data[[#This Row],[Revenue]])</f>
        <v>0</v>
      </c>
      <c r="I478">
        <f>COUNTBLANK(Sales_Data[[#This Row],[Quantity]])</f>
        <v>0</v>
      </c>
      <c r="J478" t="str">
        <f>TEXT(Sales_Data[[#This Row],[Date]],"yyyy-mm")</f>
        <v>2025-01</v>
      </c>
    </row>
    <row r="479" spans="1:10" x14ac:dyDescent="0.35">
      <c r="A479" t="s">
        <v>868</v>
      </c>
      <c r="B479" s="3">
        <v>45711</v>
      </c>
      <c r="C479" t="s">
        <v>59</v>
      </c>
      <c r="D479" t="s">
        <v>273</v>
      </c>
      <c r="E479" t="s">
        <v>391</v>
      </c>
      <c r="F479">
        <v>1</v>
      </c>
      <c r="G479" s="6">
        <v>48106</v>
      </c>
      <c r="H479">
        <f>COUNTBLANK(Sales_Data[[#This Row],[Revenue]])</f>
        <v>0</v>
      </c>
      <c r="I479">
        <f>COUNTBLANK(Sales_Data[[#This Row],[Quantity]])</f>
        <v>0</v>
      </c>
      <c r="J479" t="str">
        <f>TEXT(Sales_Data[[#This Row],[Date]],"yyyy-mm")</f>
        <v>2025-02</v>
      </c>
    </row>
    <row r="480" spans="1:10" x14ac:dyDescent="0.35">
      <c r="A480" t="s">
        <v>869</v>
      </c>
      <c r="B480" s="3">
        <v>45875</v>
      </c>
      <c r="C480" t="s">
        <v>31</v>
      </c>
      <c r="D480" t="s">
        <v>91</v>
      </c>
      <c r="E480" t="s">
        <v>387</v>
      </c>
      <c r="F480">
        <v>2</v>
      </c>
      <c r="G480" s="6">
        <v>59932</v>
      </c>
      <c r="H480">
        <f>COUNTBLANK(Sales_Data[[#This Row],[Revenue]])</f>
        <v>0</v>
      </c>
      <c r="I480">
        <f>COUNTBLANK(Sales_Data[[#This Row],[Quantity]])</f>
        <v>0</v>
      </c>
      <c r="J480" t="str">
        <f>TEXT(Sales_Data[[#This Row],[Date]],"yyyy-mm")</f>
        <v>2025-08</v>
      </c>
    </row>
    <row r="481" spans="1:10" x14ac:dyDescent="0.35">
      <c r="A481" t="s">
        <v>870</v>
      </c>
      <c r="B481" s="3">
        <v>45897</v>
      </c>
      <c r="C481" t="s">
        <v>61</v>
      </c>
      <c r="D481" t="s">
        <v>261</v>
      </c>
      <c r="E481" t="s">
        <v>387</v>
      </c>
      <c r="F481">
        <v>3</v>
      </c>
      <c r="G481" s="6">
        <v>75048</v>
      </c>
      <c r="H481">
        <f>COUNTBLANK(Sales_Data[[#This Row],[Revenue]])</f>
        <v>0</v>
      </c>
      <c r="I481">
        <f>COUNTBLANK(Sales_Data[[#This Row],[Quantity]])</f>
        <v>0</v>
      </c>
      <c r="J481" t="str">
        <f>TEXT(Sales_Data[[#This Row],[Date]],"yyyy-mm")</f>
        <v>2025-08</v>
      </c>
    </row>
    <row r="482" spans="1:10" x14ac:dyDescent="0.35">
      <c r="A482" t="s">
        <v>871</v>
      </c>
      <c r="B482" s="3">
        <v>45834</v>
      </c>
      <c r="C482" t="s">
        <v>35</v>
      </c>
      <c r="D482" t="s">
        <v>287</v>
      </c>
      <c r="E482" t="s">
        <v>391</v>
      </c>
      <c r="F482">
        <v>2</v>
      </c>
      <c r="G482" s="6">
        <v>98920</v>
      </c>
      <c r="H482">
        <f>COUNTBLANK(Sales_Data[[#This Row],[Revenue]])</f>
        <v>0</v>
      </c>
      <c r="I482">
        <f>COUNTBLANK(Sales_Data[[#This Row],[Quantity]])</f>
        <v>0</v>
      </c>
      <c r="J482" t="str">
        <f>TEXT(Sales_Data[[#This Row],[Date]],"yyyy-mm")</f>
        <v>2025-06</v>
      </c>
    </row>
    <row r="483" spans="1:10" x14ac:dyDescent="0.35">
      <c r="A483" t="s">
        <v>872</v>
      </c>
      <c r="B483" s="3">
        <v>45945</v>
      </c>
      <c r="C483" t="s">
        <v>7</v>
      </c>
      <c r="D483" t="s">
        <v>161</v>
      </c>
      <c r="E483" t="s">
        <v>394</v>
      </c>
      <c r="F483">
        <v>10</v>
      </c>
      <c r="G483" s="6">
        <v>261330</v>
      </c>
      <c r="H483">
        <f>COUNTBLANK(Sales_Data[[#This Row],[Revenue]])</f>
        <v>0</v>
      </c>
      <c r="I483">
        <f>COUNTBLANK(Sales_Data[[#This Row],[Quantity]])</f>
        <v>0</v>
      </c>
      <c r="J483" t="str">
        <f>TEXT(Sales_Data[[#This Row],[Date]],"yyyy-mm")</f>
        <v>2025-10</v>
      </c>
    </row>
    <row r="484" spans="1:10" x14ac:dyDescent="0.35">
      <c r="A484" t="s">
        <v>873</v>
      </c>
      <c r="B484" s="3">
        <v>45941</v>
      </c>
      <c r="C484" t="s">
        <v>29</v>
      </c>
      <c r="D484" t="s">
        <v>213</v>
      </c>
      <c r="E484" t="s">
        <v>389</v>
      </c>
      <c r="F484">
        <v>9</v>
      </c>
      <c r="G484" s="6">
        <v>383796</v>
      </c>
      <c r="H484">
        <f>COUNTBLANK(Sales_Data[[#This Row],[Revenue]])</f>
        <v>0</v>
      </c>
      <c r="I484">
        <f>COUNTBLANK(Sales_Data[[#This Row],[Quantity]])</f>
        <v>0</v>
      </c>
      <c r="J484" t="str">
        <f>TEXT(Sales_Data[[#This Row],[Date]],"yyyy-mm")</f>
        <v>2025-10</v>
      </c>
    </row>
    <row r="485" spans="1:10" x14ac:dyDescent="0.35">
      <c r="A485" t="s">
        <v>874</v>
      </c>
      <c r="B485" s="3">
        <v>45794</v>
      </c>
      <c r="C485" t="s">
        <v>25</v>
      </c>
      <c r="D485" t="s">
        <v>281</v>
      </c>
      <c r="E485" t="s">
        <v>391</v>
      </c>
      <c r="F485">
        <v>3</v>
      </c>
      <c r="G485" s="6">
        <v>54729</v>
      </c>
      <c r="H485">
        <f>COUNTBLANK(Sales_Data[[#This Row],[Revenue]])</f>
        <v>0</v>
      </c>
      <c r="I485">
        <f>COUNTBLANK(Sales_Data[[#This Row],[Quantity]])</f>
        <v>0</v>
      </c>
      <c r="J485" t="str">
        <f>TEXT(Sales_Data[[#This Row],[Date]],"yyyy-mm")</f>
        <v>2025-05</v>
      </c>
    </row>
    <row r="486" spans="1:10" x14ac:dyDescent="0.35">
      <c r="A486" t="s">
        <v>875</v>
      </c>
      <c r="B486" s="3">
        <v>45920</v>
      </c>
      <c r="C486" t="s">
        <v>13</v>
      </c>
      <c r="D486" t="s">
        <v>129</v>
      </c>
      <c r="E486" t="s">
        <v>389</v>
      </c>
      <c r="F486">
        <v>3</v>
      </c>
      <c r="G486" s="6">
        <v>90531</v>
      </c>
      <c r="H486">
        <f>COUNTBLANK(Sales_Data[[#This Row],[Revenue]])</f>
        <v>0</v>
      </c>
      <c r="I486">
        <f>COUNTBLANK(Sales_Data[[#This Row],[Quantity]])</f>
        <v>0</v>
      </c>
      <c r="J486" t="str">
        <f>TEXT(Sales_Data[[#This Row],[Date]],"yyyy-mm")</f>
        <v>2025-09</v>
      </c>
    </row>
    <row r="487" spans="1:10" x14ac:dyDescent="0.35">
      <c r="A487" t="s">
        <v>876</v>
      </c>
      <c r="B487" s="3">
        <v>45907</v>
      </c>
      <c r="C487" t="s">
        <v>55</v>
      </c>
      <c r="D487" t="s">
        <v>267</v>
      </c>
      <c r="E487" t="s">
        <v>403</v>
      </c>
      <c r="F487">
        <v>4</v>
      </c>
      <c r="G487" s="6">
        <v>45660</v>
      </c>
      <c r="H487">
        <f>COUNTBLANK(Sales_Data[[#This Row],[Revenue]])</f>
        <v>0</v>
      </c>
      <c r="I487">
        <f>COUNTBLANK(Sales_Data[[#This Row],[Quantity]])</f>
        <v>0</v>
      </c>
      <c r="J487" t="str">
        <f>TEXT(Sales_Data[[#This Row],[Date]],"yyyy-mm")</f>
        <v>2025-09</v>
      </c>
    </row>
    <row r="488" spans="1:10" x14ac:dyDescent="0.35">
      <c r="A488" t="s">
        <v>877</v>
      </c>
      <c r="B488" s="3">
        <v>45907</v>
      </c>
      <c r="C488" t="s">
        <v>41</v>
      </c>
      <c r="D488" t="s">
        <v>323</v>
      </c>
      <c r="E488" t="s">
        <v>391</v>
      </c>
      <c r="F488">
        <v>7</v>
      </c>
      <c r="G488" s="6">
        <v>148834</v>
      </c>
      <c r="H488">
        <f>COUNTBLANK(Sales_Data[[#This Row],[Revenue]])</f>
        <v>0</v>
      </c>
      <c r="I488">
        <f>COUNTBLANK(Sales_Data[[#This Row],[Quantity]])</f>
        <v>0</v>
      </c>
      <c r="J488" t="str">
        <f>TEXT(Sales_Data[[#This Row],[Date]],"yyyy-mm")</f>
        <v>2025-09</v>
      </c>
    </row>
    <row r="489" spans="1:10" x14ac:dyDescent="0.35">
      <c r="A489" t="s">
        <v>878</v>
      </c>
      <c r="B489" s="3">
        <v>45908</v>
      </c>
      <c r="C489" t="s">
        <v>65</v>
      </c>
      <c r="D489" t="s">
        <v>377</v>
      </c>
      <c r="E489" t="s">
        <v>403</v>
      </c>
      <c r="F489">
        <v>10</v>
      </c>
      <c r="G489" s="6">
        <v>5450</v>
      </c>
      <c r="H489">
        <f>COUNTBLANK(Sales_Data[[#This Row],[Revenue]])</f>
        <v>0</v>
      </c>
      <c r="I489">
        <f>COUNTBLANK(Sales_Data[[#This Row],[Quantity]])</f>
        <v>0</v>
      </c>
      <c r="J489" t="str">
        <f>TEXT(Sales_Data[[#This Row],[Date]],"yyyy-mm")</f>
        <v>2025-09</v>
      </c>
    </row>
    <row r="490" spans="1:10" x14ac:dyDescent="0.35">
      <c r="A490" t="s">
        <v>879</v>
      </c>
      <c r="B490" s="3">
        <v>45689</v>
      </c>
      <c r="C490" t="s">
        <v>29</v>
      </c>
      <c r="D490" t="s">
        <v>239</v>
      </c>
      <c r="E490" t="s">
        <v>389</v>
      </c>
      <c r="F490">
        <v>7</v>
      </c>
      <c r="G490" s="6">
        <v>298508</v>
      </c>
      <c r="H490">
        <f>COUNTBLANK(Sales_Data[[#This Row],[Revenue]])</f>
        <v>0</v>
      </c>
      <c r="I490">
        <f>COUNTBLANK(Sales_Data[[#This Row],[Quantity]])</f>
        <v>0</v>
      </c>
      <c r="J490" t="str">
        <f>TEXT(Sales_Data[[#This Row],[Date]],"yyyy-mm")</f>
        <v>2025-02</v>
      </c>
    </row>
    <row r="491" spans="1:10" x14ac:dyDescent="0.35">
      <c r="A491" t="s">
        <v>880</v>
      </c>
      <c r="B491" s="3">
        <v>45876</v>
      </c>
      <c r="C491" t="s">
        <v>23</v>
      </c>
      <c r="D491" t="s">
        <v>359</v>
      </c>
      <c r="E491" t="s">
        <v>391</v>
      </c>
      <c r="F491">
        <v>2</v>
      </c>
      <c r="G491" s="6">
        <v>12138</v>
      </c>
      <c r="H491">
        <f>COUNTBLANK(Sales_Data[[#This Row],[Revenue]])</f>
        <v>0</v>
      </c>
      <c r="I491">
        <f>COUNTBLANK(Sales_Data[[#This Row],[Quantity]])</f>
        <v>0</v>
      </c>
      <c r="J491" t="str">
        <f>TEXT(Sales_Data[[#This Row],[Date]],"yyyy-mm")</f>
        <v>2025-08</v>
      </c>
    </row>
    <row r="492" spans="1:10" x14ac:dyDescent="0.35">
      <c r="A492" t="s">
        <v>881</v>
      </c>
      <c r="B492" s="3">
        <v>45783</v>
      </c>
      <c r="C492" t="s">
        <v>10</v>
      </c>
      <c r="D492" t="s">
        <v>223</v>
      </c>
      <c r="E492" t="s">
        <v>394</v>
      </c>
      <c r="F492">
        <v>7</v>
      </c>
      <c r="G492" s="6">
        <v>31612</v>
      </c>
      <c r="H492">
        <f>COUNTBLANK(Sales_Data[[#This Row],[Revenue]])</f>
        <v>0</v>
      </c>
      <c r="I492">
        <f>COUNTBLANK(Sales_Data[[#This Row],[Quantity]])</f>
        <v>0</v>
      </c>
      <c r="J492" t="str">
        <f>TEXT(Sales_Data[[#This Row],[Date]],"yyyy-mm")</f>
        <v>2025-05</v>
      </c>
    </row>
    <row r="493" spans="1:10" x14ac:dyDescent="0.35">
      <c r="A493" t="s">
        <v>882</v>
      </c>
      <c r="B493" s="3">
        <v>45995</v>
      </c>
      <c r="C493" t="s">
        <v>67</v>
      </c>
      <c r="D493" t="s">
        <v>225</v>
      </c>
      <c r="E493" t="s">
        <v>394</v>
      </c>
      <c r="F493">
        <v>7</v>
      </c>
      <c r="G493" s="6">
        <v>151312</v>
      </c>
      <c r="H493">
        <f>COUNTBLANK(Sales_Data[[#This Row],[Revenue]])</f>
        <v>0</v>
      </c>
      <c r="I493">
        <f>COUNTBLANK(Sales_Data[[#This Row],[Quantity]])</f>
        <v>0</v>
      </c>
      <c r="J493" t="str">
        <f>TEXT(Sales_Data[[#This Row],[Date]],"yyyy-mm")</f>
        <v>2025-12</v>
      </c>
    </row>
    <row r="494" spans="1:10" x14ac:dyDescent="0.35">
      <c r="A494" t="s">
        <v>883</v>
      </c>
      <c r="B494" s="3">
        <v>45775</v>
      </c>
      <c r="C494" t="s">
        <v>19</v>
      </c>
      <c r="D494" t="s">
        <v>78</v>
      </c>
      <c r="E494" t="s">
        <v>387</v>
      </c>
      <c r="F494">
        <v>8</v>
      </c>
      <c r="G494" s="6">
        <v>337272</v>
      </c>
      <c r="H494">
        <f>COUNTBLANK(Sales_Data[[#This Row],[Revenue]])</f>
        <v>0</v>
      </c>
      <c r="I494">
        <f>COUNTBLANK(Sales_Data[[#This Row],[Quantity]])</f>
        <v>0</v>
      </c>
      <c r="J494" t="str">
        <f>TEXT(Sales_Data[[#This Row],[Date]],"yyyy-mm")</f>
        <v>2025-04</v>
      </c>
    </row>
    <row r="495" spans="1:10" x14ac:dyDescent="0.35">
      <c r="A495" t="s">
        <v>884</v>
      </c>
      <c r="B495" s="3">
        <v>45834</v>
      </c>
      <c r="C495" t="s">
        <v>55</v>
      </c>
      <c r="D495" t="s">
        <v>367</v>
      </c>
      <c r="E495" t="s">
        <v>387</v>
      </c>
      <c r="F495">
        <v>3</v>
      </c>
      <c r="G495" s="6">
        <v>34245</v>
      </c>
      <c r="H495">
        <f>COUNTBLANK(Sales_Data[[#This Row],[Revenue]])</f>
        <v>0</v>
      </c>
      <c r="I495">
        <f>COUNTBLANK(Sales_Data[[#This Row],[Quantity]])</f>
        <v>0</v>
      </c>
      <c r="J495" t="str">
        <f>TEXT(Sales_Data[[#This Row],[Date]],"yyyy-mm")</f>
        <v>2025-06</v>
      </c>
    </row>
    <row r="496" spans="1:10" x14ac:dyDescent="0.35">
      <c r="A496" t="s">
        <v>885</v>
      </c>
      <c r="B496" s="3">
        <v>45909</v>
      </c>
      <c r="C496" t="s">
        <v>55</v>
      </c>
      <c r="D496" t="s">
        <v>321</v>
      </c>
      <c r="E496" t="s">
        <v>391</v>
      </c>
      <c r="F496">
        <v>1</v>
      </c>
      <c r="G496" s="6">
        <v>11415</v>
      </c>
      <c r="H496">
        <f>COUNTBLANK(Sales_Data[[#This Row],[Revenue]])</f>
        <v>0</v>
      </c>
      <c r="I496">
        <f>COUNTBLANK(Sales_Data[[#This Row],[Quantity]])</f>
        <v>0</v>
      </c>
      <c r="J496" t="str">
        <f>TEXT(Sales_Data[[#This Row],[Date]],"yyyy-mm")</f>
        <v>2025-09</v>
      </c>
    </row>
    <row r="497" spans="1:10" x14ac:dyDescent="0.35">
      <c r="A497" t="s">
        <v>886</v>
      </c>
      <c r="B497" s="3">
        <v>45722</v>
      </c>
      <c r="C497" t="s">
        <v>37</v>
      </c>
      <c r="D497" t="s">
        <v>329</v>
      </c>
      <c r="E497" t="s">
        <v>403</v>
      </c>
      <c r="F497">
        <v>5</v>
      </c>
      <c r="G497" s="6">
        <v>9765</v>
      </c>
      <c r="H497">
        <f>COUNTBLANK(Sales_Data[[#This Row],[Revenue]])</f>
        <v>0</v>
      </c>
      <c r="I497">
        <f>COUNTBLANK(Sales_Data[[#This Row],[Quantity]])</f>
        <v>0</v>
      </c>
      <c r="J497" t="str">
        <f>TEXT(Sales_Data[[#This Row],[Date]],"yyyy-mm")</f>
        <v>2025-03</v>
      </c>
    </row>
    <row r="498" spans="1:10" x14ac:dyDescent="0.35">
      <c r="A498" t="s">
        <v>887</v>
      </c>
      <c r="B498" s="3">
        <v>46021</v>
      </c>
      <c r="C498" t="s">
        <v>19</v>
      </c>
      <c r="D498" t="s">
        <v>125</v>
      </c>
      <c r="E498" t="s">
        <v>387</v>
      </c>
      <c r="F498">
        <v>9</v>
      </c>
      <c r="G498" s="6">
        <v>379431</v>
      </c>
      <c r="H498">
        <f>COUNTBLANK(Sales_Data[[#This Row],[Revenue]])</f>
        <v>0</v>
      </c>
      <c r="I498">
        <f>COUNTBLANK(Sales_Data[[#This Row],[Quantity]])</f>
        <v>0</v>
      </c>
      <c r="J498" t="str">
        <f>TEXT(Sales_Data[[#This Row],[Date]],"yyyy-mm")</f>
        <v>2025-12</v>
      </c>
    </row>
    <row r="499" spans="1:10" x14ac:dyDescent="0.35">
      <c r="A499" t="s">
        <v>888</v>
      </c>
      <c r="B499" s="3">
        <v>45775</v>
      </c>
      <c r="C499" t="s">
        <v>41</v>
      </c>
      <c r="D499" t="s">
        <v>137</v>
      </c>
      <c r="E499" t="s">
        <v>387</v>
      </c>
      <c r="F499">
        <v>3</v>
      </c>
      <c r="G499" s="6">
        <v>63786</v>
      </c>
      <c r="H499">
        <f>COUNTBLANK(Sales_Data[[#This Row],[Revenue]])</f>
        <v>0</v>
      </c>
      <c r="I499">
        <f>COUNTBLANK(Sales_Data[[#This Row],[Quantity]])</f>
        <v>0</v>
      </c>
      <c r="J499" t="str">
        <f>TEXT(Sales_Data[[#This Row],[Date]],"yyyy-mm")</f>
        <v>2025-04</v>
      </c>
    </row>
    <row r="500" spans="1:10" x14ac:dyDescent="0.35">
      <c r="A500" t="s">
        <v>889</v>
      </c>
      <c r="B500" s="3">
        <v>45880</v>
      </c>
      <c r="C500" t="s">
        <v>61</v>
      </c>
      <c r="D500" t="s">
        <v>189</v>
      </c>
      <c r="E500" t="s">
        <v>387</v>
      </c>
      <c r="F500">
        <v>6</v>
      </c>
      <c r="G500" s="6">
        <v>150096</v>
      </c>
      <c r="H500">
        <f>COUNTBLANK(Sales_Data[[#This Row],[Revenue]])</f>
        <v>0</v>
      </c>
      <c r="I500">
        <f>COUNTBLANK(Sales_Data[[#This Row],[Quantity]])</f>
        <v>0</v>
      </c>
      <c r="J500" t="str">
        <f>TEXT(Sales_Data[[#This Row],[Date]],"yyyy-mm")</f>
        <v>2025-08</v>
      </c>
    </row>
    <row r="501" spans="1:10" x14ac:dyDescent="0.35">
      <c r="A501" t="s">
        <v>890</v>
      </c>
      <c r="B501" s="3">
        <v>45941</v>
      </c>
      <c r="C501" t="s">
        <v>39</v>
      </c>
      <c r="D501" t="s">
        <v>273</v>
      </c>
      <c r="E501" t="s">
        <v>403</v>
      </c>
      <c r="F501">
        <v>9</v>
      </c>
      <c r="G501" s="6">
        <v>434592</v>
      </c>
      <c r="H501">
        <f>COUNTBLANK(Sales_Data[[#This Row],[Revenue]])</f>
        <v>0</v>
      </c>
      <c r="I501">
        <f>COUNTBLANK(Sales_Data[[#This Row],[Quantity]])</f>
        <v>0</v>
      </c>
      <c r="J501" t="str">
        <f>TEXT(Sales_Data[[#This Row],[Date]],"yyyy-mm")</f>
        <v>2025-10</v>
      </c>
    </row>
    <row r="502" spans="1:10" x14ac:dyDescent="0.35">
      <c r="A502" t="s">
        <v>891</v>
      </c>
      <c r="B502" s="3">
        <v>45951</v>
      </c>
      <c r="C502" t="s">
        <v>49</v>
      </c>
      <c r="D502" t="s">
        <v>155</v>
      </c>
      <c r="E502" t="s">
        <v>391</v>
      </c>
      <c r="F502">
        <v>10</v>
      </c>
      <c r="G502" s="6">
        <v>455140</v>
      </c>
      <c r="H502">
        <f>COUNTBLANK(Sales_Data[[#This Row],[Revenue]])</f>
        <v>0</v>
      </c>
      <c r="I502">
        <f>COUNTBLANK(Sales_Data[[#This Row],[Quantity]])</f>
        <v>0</v>
      </c>
      <c r="J502" t="str">
        <f>TEXT(Sales_Data[[#This Row],[Date]],"yyyy-mm")</f>
        <v>2025-10</v>
      </c>
    </row>
    <row r="503" spans="1:10" x14ac:dyDescent="0.35">
      <c r="A503" t="s">
        <v>892</v>
      </c>
      <c r="B503" s="3">
        <v>45684</v>
      </c>
      <c r="C503" t="s">
        <v>41</v>
      </c>
      <c r="D503" t="s">
        <v>355</v>
      </c>
      <c r="E503" t="s">
        <v>394</v>
      </c>
      <c r="F503">
        <v>4</v>
      </c>
      <c r="G503" s="6">
        <v>85048</v>
      </c>
      <c r="H503">
        <f>COUNTBLANK(Sales_Data[[#This Row],[Revenue]])</f>
        <v>0</v>
      </c>
      <c r="I503">
        <f>COUNTBLANK(Sales_Data[[#This Row],[Quantity]])</f>
        <v>0</v>
      </c>
      <c r="J503" t="str">
        <f>TEXT(Sales_Data[[#This Row],[Date]],"yyyy-mm")</f>
        <v>2025-01</v>
      </c>
    </row>
    <row r="504" spans="1:10" x14ac:dyDescent="0.35">
      <c r="A504" t="s">
        <v>893</v>
      </c>
      <c r="B504" s="3">
        <v>45811</v>
      </c>
      <c r="C504" t="s">
        <v>51</v>
      </c>
      <c r="D504" t="s">
        <v>159</v>
      </c>
      <c r="E504" t="s">
        <v>391</v>
      </c>
      <c r="F504">
        <v>3</v>
      </c>
      <c r="G504" s="6">
        <v>94317</v>
      </c>
      <c r="H504">
        <f>COUNTBLANK(Sales_Data[[#This Row],[Revenue]])</f>
        <v>0</v>
      </c>
      <c r="I504">
        <f>COUNTBLANK(Sales_Data[[#This Row],[Quantity]])</f>
        <v>0</v>
      </c>
      <c r="J504" t="str">
        <f>TEXT(Sales_Data[[#This Row],[Date]],"yyyy-mm")</f>
        <v>2025-06</v>
      </c>
    </row>
    <row r="505" spans="1:10" x14ac:dyDescent="0.35">
      <c r="A505" t="s">
        <v>894</v>
      </c>
      <c r="B505" s="3">
        <v>45948</v>
      </c>
      <c r="C505" t="s">
        <v>29</v>
      </c>
      <c r="D505" t="s">
        <v>297</v>
      </c>
      <c r="E505" t="s">
        <v>387</v>
      </c>
      <c r="F505">
        <v>3</v>
      </c>
      <c r="G505" s="6">
        <v>127932</v>
      </c>
      <c r="H505">
        <f>COUNTBLANK(Sales_Data[[#This Row],[Revenue]])</f>
        <v>0</v>
      </c>
      <c r="I505">
        <f>COUNTBLANK(Sales_Data[[#This Row],[Quantity]])</f>
        <v>0</v>
      </c>
      <c r="J505" t="str">
        <f>TEXT(Sales_Data[[#This Row],[Date]],"yyyy-mm")</f>
        <v>2025-10</v>
      </c>
    </row>
    <row r="506" spans="1:10" x14ac:dyDescent="0.35">
      <c r="A506" t="s">
        <v>895</v>
      </c>
      <c r="B506" s="3">
        <v>45736</v>
      </c>
      <c r="C506" t="s">
        <v>53</v>
      </c>
      <c r="D506" t="s">
        <v>159</v>
      </c>
      <c r="E506" t="s">
        <v>391</v>
      </c>
      <c r="F506">
        <v>2</v>
      </c>
      <c r="G506" s="6">
        <v>8416</v>
      </c>
      <c r="H506">
        <f>COUNTBLANK(Sales_Data[[#This Row],[Revenue]])</f>
        <v>0</v>
      </c>
      <c r="I506">
        <f>COUNTBLANK(Sales_Data[[#This Row],[Quantity]])</f>
        <v>0</v>
      </c>
      <c r="J506" t="str">
        <f>TEXT(Sales_Data[[#This Row],[Date]],"yyyy-mm")</f>
        <v>2025-03</v>
      </c>
    </row>
    <row r="507" spans="1:10" x14ac:dyDescent="0.35">
      <c r="A507" t="s">
        <v>896</v>
      </c>
      <c r="B507" s="3">
        <v>45920</v>
      </c>
      <c r="C507" t="s">
        <v>57</v>
      </c>
      <c r="D507" t="s">
        <v>141</v>
      </c>
      <c r="E507" t="s">
        <v>394</v>
      </c>
      <c r="F507">
        <v>6</v>
      </c>
      <c r="G507" s="6">
        <v>292734</v>
      </c>
      <c r="H507">
        <f>COUNTBLANK(Sales_Data[[#This Row],[Revenue]])</f>
        <v>0</v>
      </c>
      <c r="I507">
        <f>COUNTBLANK(Sales_Data[[#This Row],[Quantity]])</f>
        <v>0</v>
      </c>
      <c r="J507" t="str">
        <f>TEXT(Sales_Data[[#This Row],[Date]],"yyyy-mm")</f>
        <v>2025-09</v>
      </c>
    </row>
    <row r="508" spans="1:10" x14ac:dyDescent="0.35">
      <c r="A508" t="s">
        <v>897</v>
      </c>
      <c r="B508" s="3">
        <v>45971</v>
      </c>
      <c r="C508" t="s">
        <v>67</v>
      </c>
      <c r="D508" t="s">
        <v>217</v>
      </c>
      <c r="E508" t="s">
        <v>389</v>
      </c>
      <c r="F508">
        <v>5</v>
      </c>
      <c r="G508" s="6">
        <v>108080</v>
      </c>
      <c r="H508">
        <f>COUNTBLANK(Sales_Data[[#This Row],[Revenue]])</f>
        <v>0</v>
      </c>
      <c r="I508">
        <f>COUNTBLANK(Sales_Data[[#This Row],[Quantity]])</f>
        <v>0</v>
      </c>
      <c r="J508" t="str">
        <f>TEXT(Sales_Data[[#This Row],[Date]],"yyyy-mm")</f>
        <v>2025-11</v>
      </c>
    </row>
    <row r="509" spans="1:10" x14ac:dyDescent="0.35">
      <c r="A509" t="s">
        <v>898</v>
      </c>
      <c r="B509" s="3">
        <v>45779</v>
      </c>
      <c r="C509" t="s">
        <v>37</v>
      </c>
      <c r="D509" t="s">
        <v>303</v>
      </c>
      <c r="E509" t="s">
        <v>391</v>
      </c>
      <c r="F509">
        <v>4</v>
      </c>
      <c r="G509" s="6">
        <v>7812</v>
      </c>
      <c r="H509">
        <f>COUNTBLANK(Sales_Data[[#This Row],[Revenue]])</f>
        <v>0</v>
      </c>
      <c r="I509">
        <f>COUNTBLANK(Sales_Data[[#This Row],[Quantity]])</f>
        <v>0</v>
      </c>
      <c r="J509" t="str">
        <f>TEXT(Sales_Data[[#This Row],[Date]],"yyyy-mm")</f>
        <v>2025-05</v>
      </c>
    </row>
    <row r="510" spans="1:10" x14ac:dyDescent="0.35">
      <c r="A510" t="s">
        <v>899</v>
      </c>
      <c r="B510" s="3">
        <v>45979</v>
      </c>
      <c r="C510" t="s">
        <v>57</v>
      </c>
      <c r="D510" t="s">
        <v>227</v>
      </c>
      <c r="E510" t="s">
        <v>394</v>
      </c>
      <c r="F510">
        <v>1</v>
      </c>
      <c r="G510" s="6">
        <v>48789</v>
      </c>
      <c r="H510">
        <f>COUNTBLANK(Sales_Data[[#This Row],[Revenue]])</f>
        <v>0</v>
      </c>
      <c r="I510">
        <f>COUNTBLANK(Sales_Data[[#This Row],[Quantity]])</f>
        <v>0</v>
      </c>
      <c r="J510" t="str">
        <f>TEXT(Sales_Data[[#This Row],[Date]],"yyyy-mm")</f>
        <v>2025-11</v>
      </c>
    </row>
    <row r="511" spans="1:10" x14ac:dyDescent="0.35">
      <c r="A511" t="s">
        <v>900</v>
      </c>
      <c r="B511" s="3">
        <v>45947</v>
      </c>
      <c r="C511" t="s">
        <v>47</v>
      </c>
      <c r="D511" t="s">
        <v>227</v>
      </c>
      <c r="E511" t="s">
        <v>389</v>
      </c>
      <c r="F511">
        <v>5</v>
      </c>
      <c r="G511" s="6">
        <v>110310</v>
      </c>
      <c r="H511">
        <f>COUNTBLANK(Sales_Data[[#This Row],[Revenue]])</f>
        <v>0</v>
      </c>
      <c r="I511">
        <f>COUNTBLANK(Sales_Data[[#This Row],[Quantity]])</f>
        <v>0</v>
      </c>
      <c r="J511" t="str">
        <f>TEXT(Sales_Data[[#This Row],[Date]],"yyyy-mm")</f>
        <v>2025-10</v>
      </c>
    </row>
    <row r="512" spans="1:10" x14ac:dyDescent="0.35">
      <c r="A512" t="s">
        <v>901</v>
      </c>
      <c r="B512" s="3">
        <v>45836</v>
      </c>
      <c r="C512" t="s">
        <v>43</v>
      </c>
      <c r="D512" t="s">
        <v>297</v>
      </c>
      <c r="E512" t="s">
        <v>389</v>
      </c>
      <c r="F512">
        <v>7</v>
      </c>
      <c r="G512" s="6">
        <v>264775</v>
      </c>
      <c r="H512">
        <f>COUNTBLANK(Sales_Data[[#This Row],[Revenue]])</f>
        <v>0</v>
      </c>
      <c r="I512">
        <f>COUNTBLANK(Sales_Data[[#This Row],[Quantity]])</f>
        <v>0</v>
      </c>
      <c r="J512" t="str">
        <f>TEXT(Sales_Data[[#This Row],[Date]],"yyyy-mm")</f>
        <v>2025-06</v>
      </c>
    </row>
    <row r="513" spans="1:10" x14ac:dyDescent="0.35">
      <c r="A513" t="s">
        <v>902</v>
      </c>
      <c r="B513" s="3">
        <v>45754</v>
      </c>
      <c r="C513" t="s">
        <v>59</v>
      </c>
      <c r="D513" t="s">
        <v>111</v>
      </c>
      <c r="E513" t="s">
        <v>391</v>
      </c>
      <c r="F513">
        <v>5</v>
      </c>
      <c r="G513" s="6">
        <v>240530</v>
      </c>
      <c r="H513">
        <f>COUNTBLANK(Sales_Data[[#This Row],[Revenue]])</f>
        <v>0</v>
      </c>
      <c r="I513">
        <f>COUNTBLANK(Sales_Data[[#This Row],[Quantity]])</f>
        <v>0</v>
      </c>
      <c r="J513" t="str">
        <f>TEXT(Sales_Data[[#This Row],[Date]],"yyyy-mm")</f>
        <v>2025-04</v>
      </c>
    </row>
    <row r="514" spans="1:10" x14ac:dyDescent="0.35">
      <c r="A514" t="s">
        <v>903</v>
      </c>
      <c r="B514" s="3">
        <v>45824</v>
      </c>
      <c r="C514" t="s">
        <v>21</v>
      </c>
      <c r="D514" t="s">
        <v>97</v>
      </c>
      <c r="E514" t="s">
        <v>389</v>
      </c>
      <c r="F514">
        <v>1</v>
      </c>
      <c r="G514" s="6">
        <v>15209</v>
      </c>
      <c r="H514">
        <f>COUNTBLANK(Sales_Data[[#This Row],[Revenue]])</f>
        <v>0</v>
      </c>
      <c r="I514">
        <f>COUNTBLANK(Sales_Data[[#This Row],[Quantity]])</f>
        <v>0</v>
      </c>
      <c r="J514" t="str">
        <f>TEXT(Sales_Data[[#This Row],[Date]],"yyyy-mm")</f>
        <v>2025-06</v>
      </c>
    </row>
    <row r="515" spans="1:10" x14ac:dyDescent="0.35">
      <c r="A515" t="s">
        <v>904</v>
      </c>
      <c r="B515" s="3">
        <v>45871</v>
      </c>
      <c r="C515" t="s">
        <v>55</v>
      </c>
      <c r="D515" t="s">
        <v>249</v>
      </c>
      <c r="E515" t="s">
        <v>403</v>
      </c>
      <c r="F515">
        <v>9</v>
      </c>
      <c r="G515" s="6">
        <v>102735</v>
      </c>
      <c r="H515">
        <f>COUNTBLANK(Sales_Data[[#This Row],[Revenue]])</f>
        <v>0</v>
      </c>
      <c r="I515">
        <f>COUNTBLANK(Sales_Data[[#This Row],[Quantity]])</f>
        <v>0</v>
      </c>
      <c r="J515" t="str">
        <f>TEXT(Sales_Data[[#This Row],[Date]],"yyyy-mm")</f>
        <v>2025-08</v>
      </c>
    </row>
    <row r="516" spans="1:10" x14ac:dyDescent="0.35">
      <c r="A516" t="s">
        <v>905</v>
      </c>
      <c r="B516" s="3">
        <v>45848</v>
      </c>
      <c r="C516" t="s">
        <v>21</v>
      </c>
      <c r="D516" t="s">
        <v>143</v>
      </c>
      <c r="E516" t="s">
        <v>389</v>
      </c>
      <c r="F516">
        <v>6</v>
      </c>
      <c r="G516" s="6">
        <v>91254</v>
      </c>
      <c r="H516">
        <f>COUNTBLANK(Sales_Data[[#This Row],[Revenue]])</f>
        <v>0</v>
      </c>
      <c r="I516">
        <f>COUNTBLANK(Sales_Data[[#This Row],[Quantity]])</f>
        <v>0</v>
      </c>
      <c r="J516" t="str">
        <f>TEXT(Sales_Data[[#This Row],[Date]],"yyyy-mm")</f>
        <v>2025-07</v>
      </c>
    </row>
    <row r="517" spans="1:10" x14ac:dyDescent="0.35">
      <c r="A517" t="s">
        <v>906</v>
      </c>
      <c r="B517" s="3">
        <v>45758</v>
      </c>
      <c r="C517" t="s">
        <v>16</v>
      </c>
      <c r="D517" t="s">
        <v>121</v>
      </c>
      <c r="E517" t="s">
        <v>394</v>
      </c>
      <c r="F517">
        <v>5</v>
      </c>
      <c r="G517" s="6">
        <v>159810</v>
      </c>
      <c r="H517">
        <f>COUNTBLANK(Sales_Data[[#This Row],[Revenue]])</f>
        <v>0</v>
      </c>
      <c r="I517">
        <f>COUNTBLANK(Sales_Data[[#This Row],[Quantity]])</f>
        <v>0</v>
      </c>
      <c r="J517" t="str">
        <f>TEXT(Sales_Data[[#This Row],[Date]],"yyyy-mm")</f>
        <v>2025-04</v>
      </c>
    </row>
    <row r="518" spans="1:10" x14ac:dyDescent="0.35">
      <c r="A518" t="s">
        <v>907</v>
      </c>
      <c r="B518" s="3">
        <v>45784</v>
      </c>
      <c r="C518" t="s">
        <v>35</v>
      </c>
      <c r="D518" t="s">
        <v>189</v>
      </c>
      <c r="E518" t="s">
        <v>394</v>
      </c>
      <c r="F518">
        <v>3</v>
      </c>
      <c r="G518" s="6">
        <v>148380</v>
      </c>
      <c r="H518">
        <f>COUNTBLANK(Sales_Data[[#This Row],[Revenue]])</f>
        <v>0</v>
      </c>
      <c r="I518">
        <f>COUNTBLANK(Sales_Data[[#This Row],[Quantity]])</f>
        <v>0</v>
      </c>
      <c r="J518" t="str">
        <f>TEXT(Sales_Data[[#This Row],[Date]],"yyyy-mm")</f>
        <v>2025-05</v>
      </c>
    </row>
    <row r="519" spans="1:10" x14ac:dyDescent="0.35">
      <c r="A519" t="s">
        <v>908</v>
      </c>
      <c r="B519" s="3">
        <v>45665</v>
      </c>
      <c r="C519" t="s">
        <v>35</v>
      </c>
      <c r="D519" t="s">
        <v>181</v>
      </c>
      <c r="E519" t="s">
        <v>387</v>
      </c>
      <c r="F519">
        <v>7</v>
      </c>
      <c r="G519" s="6">
        <v>346220</v>
      </c>
      <c r="H519">
        <f>COUNTBLANK(Sales_Data[[#This Row],[Revenue]])</f>
        <v>0</v>
      </c>
      <c r="I519">
        <f>COUNTBLANK(Sales_Data[[#This Row],[Quantity]])</f>
        <v>0</v>
      </c>
      <c r="J519" t="str">
        <f>TEXT(Sales_Data[[#This Row],[Date]],"yyyy-mm")</f>
        <v>2025-01</v>
      </c>
    </row>
    <row r="520" spans="1:10" x14ac:dyDescent="0.35">
      <c r="A520" t="s">
        <v>909</v>
      </c>
      <c r="B520" s="3">
        <v>45779</v>
      </c>
      <c r="C520" t="s">
        <v>43</v>
      </c>
      <c r="D520" t="s">
        <v>125</v>
      </c>
      <c r="E520" t="s">
        <v>389</v>
      </c>
      <c r="F520">
        <v>8</v>
      </c>
      <c r="G520" s="6">
        <v>302600</v>
      </c>
      <c r="H520">
        <f>COUNTBLANK(Sales_Data[[#This Row],[Revenue]])</f>
        <v>0</v>
      </c>
      <c r="I520">
        <f>COUNTBLANK(Sales_Data[[#This Row],[Quantity]])</f>
        <v>0</v>
      </c>
      <c r="J520" t="str">
        <f>TEXT(Sales_Data[[#This Row],[Date]],"yyyy-mm")</f>
        <v>2025-05</v>
      </c>
    </row>
    <row r="521" spans="1:10" x14ac:dyDescent="0.35">
      <c r="A521" t="s">
        <v>910</v>
      </c>
      <c r="B521" s="3">
        <v>45857</v>
      </c>
      <c r="C521" t="s">
        <v>51</v>
      </c>
      <c r="D521" t="s">
        <v>321</v>
      </c>
      <c r="E521" t="s">
        <v>389</v>
      </c>
      <c r="F521">
        <v>9</v>
      </c>
      <c r="G521" s="6">
        <v>282951</v>
      </c>
      <c r="H521">
        <f>COUNTBLANK(Sales_Data[[#This Row],[Revenue]])</f>
        <v>0</v>
      </c>
      <c r="I521">
        <f>COUNTBLANK(Sales_Data[[#This Row],[Quantity]])</f>
        <v>0</v>
      </c>
      <c r="J521" t="str">
        <f>TEXT(Sales_Data[[#This Row],[Date]],"yyyy-mm")</f>
        <v>2025-07</v>
      </c>
    </row>
    <row r="522" spans="1:10" x14ac:dyDescent="0.35">
      <c r="A522" t="s">
        <v>911</v>
      </c>
      <c r="B522" s="3">
        <v>45716</v>
      </c>
      <c r="C522" t="s">
        <v>55</v>
      </c>
      <c r="D522" t="s">
        <v>111</v>
      </c>
      <c r="E522" t="s">
        <v>403</v>
      </c>
      <c r="F522">
        <v>7</v>
      </c>
      <c r="G522" s="6">
        <v>79905</v>
      </c>
      <c r="H522">
        <f>COUNTBLANK(Sales_Data[[#This Row],[Revenue]])</f>
        <v>0</v>
      </c>
      <c r="I522">
        <f>COUNTBLANK(Sales_Data[[#This Row],[Quantity]])</f>
        <v>0</v>
      </c>
      <c r="J522" t="str">
        <f>TEXT(Sales_Data[[#This Row],[Date]],"yyyy-mm")</f>
        <v>2025-02</v>
      </c>
    </row>
    <row r="523" spans="1:10" x14ac:dyDescent="0.35">
      <c r="A523" t="s">
        <v>912</v>
      </c>
      <c r="B523" s="3">
        <v>45830</v>
      </c>
      <c r="C523" t="s">
        <v>45</v>
      </c>
      <c r="D523" t="s">
        <v>377</v>
      </c>
      <c r="E523" t="s">
        <v>391</v>
      </c>
      <c r="F523">
        <v>3</v>
      </c>
      <c r="G523" s="6">
        <v>23478</v>
      </c>
      <c r="H523">
        <f>COUNTBLANK(Sales_Data[[#This Row],[Revenue]])</f>
        <v>0</v>
      </c>
      <c r="I523">
        <f>COUNTBLANK(Sales_Data[[#This Row],[Quantity]])</f>
        <v>0</v>
      </c>
      <c r="J523" t="str">
        <f>TEXT(Sales_Data[[#This Row],[Date]],"yyyy-mm")</f>
        <v>2025-06</v>
      </c>
    </row>
    <row r="524" spans="1:10" x14ac:dyDescent="0.35">
      <c r="A524" t="s">
        <v>913</v>
      </c>
      <c r="B524" s="3">
        <v>45674</v>
      </c>
      <c r="C524" t="s">
        <v>4</v>
      </c>
      <c r="D524" t="s">
        <v>161</v>
      </c>
      <c r="E524" t="s">
        <v>391</v>
      </c>
      <c r="F524">
        <v>4</v>
      </c>
      <c r="G524" s="6">
        <v>47260</v>
      </c>
      <c r="H524">
        <f>COUNTBLANK(Sales_Data[[#This Row],[Revenue]])</f>
        <v>0</v>
      </c>
      <c r="I524">
        <f>COUNTBLANK(Sales_Data[[#This Row],[Quantity]])</f>
        <v>0</v>
      </c>
      <c r="J524" t="str">
        <f>TEXT(Sales_Data[[#This Row],[Date]],"yyyy-mm")</f>
        <v>2025-01</v>
      </c>
    </row>
    <row r="525" spans="1:10" x14ac:dyDescent="0.35">
      <c r="A525" t="s">
        <v>914</v>
      </c>
      <c r="B525" s="3">
        <v>45737</v>
      </c>
      <c r="C525" t="s">
        <v>21</v>
      </c>
      <c r="D525" t="s">
        <v>377</v>
      </c>
      <c r="E525" t="s">
        <v>391</v>
      </c>
      <c r="F525">
        <v>1</v>
      </c>
      <c r="G525" s="6">
        <v>15209</v>
      </c>
      <c r="H525">
        <f>COUNTBLANK(Sales_Data[[#This Row],[Revenue]])</f>
        <v>0</v>
      </c>
      <c r="I525">
        <f>COUNTBLANK(Sales_Data[[#This Row],[Quantity]])</f>
        <v>0</v>
      </c>
      <c r="J525" t="str">
        <f>TEXT(Sales_Data[[#This Row],[Date]],"yyyy-mm")</f>
        <v>2025-03</v>
      </c>
    </row>
    <row r="526" spans="1:10" x14ac:dyDescent="0.35">
      <c r="A526" t="s">
        <v>915</v>
      </c>
      <c r="B526" s="3">
        <v>45766</v>
      </c>
      <c r="C526" t="s">
        <v>43</v>
      </c>
      <c r="D526" t="s">
        <v>139</v>
      </c>
      <c r="E526" t="s">
        <v>403</v>
      </c>
      <c r="F526">
        <v>2</v>
      </c>
      <c r="G526" s="6">
        <v>75650</v>
      </c>
      <c r="H526">
        <f>COUNTBLANK(Sales_Data[[#This Row],[Revenue]])</f>
        <v>0</v>
      </c>
      <c r="I526">
        <f>COUNTBLANK(Sales_Data[[#This Row],[Quantity]])</f>
        <v>0</v>
      </c>
      <c r="J526" t="str">
        <f>TEXT(Sales_Data[[#This Row],[Date]],"yyyy-mm")</f>
        <v>2025-04</v>
      </c>
    </row>
    <row r="527" spans="1:10" x14ac:dyDescent="0.35">
      <c r="A527" t="s">
        <v>916</v>
      </c>
      <c r="B527" s="3">
        <v>45735</v>
      </c>
      <c r="C527" t="s">
        <v>19</v>
      </c>
      <c r="D527" t="s">
        <v>81</v>
      </c>
      <c r="E527" t="s">
        <v>394</v>
      </c>
      <c r="F527">
        <v>7</v>
      </c>
      <c r="G527" s="6">
        <v>295113</v>
      </c>
      <c r="H527">
        <f>COUNTBLANK(Sales_Data[[#This Row],[Revenue]])</f>
        <v>0</v>
      </c>
      <c r="I527">
        <f>COUNTBLANK(Sales_Data[[#This Row],[Quantity]])</f>
        <v>0</v>
      </c>
      <c r="J527" t="str">
        <f>TEXT(Sales_Data[[#This Row],[Date]],"yyyy-mm")</f>
        <v>2025-03</v>
      </c>
    </row>
    <row r="528" spans="1:10" x14ac:dyDescent="0.35">
      <c r="A528" t="s">
        <v>917</v>
      </c>
      <c r="B528" s="3">
        <v>45866</v>
      </c>
      <c r="C528" t="s">
        <v>49</v>
      </c>
      <c r="D528" t="s">
        <v>153</v>
      </c>
      <c r="E528" t="s">
        <v>387</v>
      </c>
      <c r="F528">
        <v>6</v>
      </c>
      <c r="G528" s="6">
        <v>273084</v>
      </c>
      <c r="H528">
        <f>COUNTBLANK(Sales_Data[[#This Row],[Revenue]])</f>
        <v>0</v>
      </c>
      <c r="I528">
        <f>COUNTBLANK(Sales_Data[[#This Row],[Quantity]])</f>
        <v>0</v>
      </c>
      <c r="J528" t="str">
        <f>TEXT(Sales_Data[[#This Row],[Date]],"yyyy-mm")</f>
        <v>2025-07</v>
      </c>
    </row>
    <row r="529" spans="1:10" x14ac:dyDescent="0.35">
      <c r="A529" t="s">
        <v>918</v>
      </c>
      <c r="B529" s="3">
        <v>45821</v>
      </c>
      <c r="C529" t="s">
        <v>63</v>
      </c>
      <c r="D529" t="s">
        <v>175</v>
      </c>
      <c r="E529" t="s">
        <v>387</v>
      </c>
      <c r="F529">
        <v>1</v>
      </c>
      <c r="G529" s="6">
        <v>8768</v>
      </c>
      <c r="H529">
        <f>COUNTBLANK(Sales_Data[[#This Row],[Revenue]])</f>
        <v>0</v>
      </c>
      <c r="I529">
        <f>COUNTBLANK(Sales_Data[[#This Row],[Quantity]])</f>
        <v>0</v>
      </c>
      <c r="J529" t="str">
        <f>TEXT(Sales_Data[[#This Row],[Date]],"yyyy-mm")</f>
        <v>2025-06</v>
      </c>
    </row>
    <row r="530" spans="1:10" x14ac:dyDescent="0.35">
      <c r="A530" t="s">
        <v>919</v>
      </c>
      <c r="B530" s="3">
        <v>45919</v>
      </c>
      <c r="C530" t="s">
        <v>51</v>
      </c>
      <c r="D530" t="s">
        <v>299</v>
      </c>
      <c r="E530" t="s">
        <v>391</v>
      </c>
      <c r="F530">
        <v>5</v>
      </c>
      <c r="G530" s="6">
        <v>157195</v>
      </c>
      <c r="H530">
        <f>COUNTBLANK(Sales_Data[[#This Row],[Revenue]])</f>
        <v>0</v>
      </c>
      <c r="I530">
        <f>COUNTBLANK(Sales_Data[[#This Row],[Quantity]])</f>
        <v>0</v>
      </c>
      <c r="J530" t="str">
        <f>TEXT(Sales_Data[[#This Row],[Date]],"yyyy-mm")</f>
        <v>2025-09</v>
      </c>
    </row>
    <row r="531" spans="1:10" x14ac:dyDescent="0.35">
      <c r="A531" t="s">
        <v>920</v>
      </c>
      <c r="B531" s="3">
        <v>45864</v>
      </c>
      <c r="C531" t="s">
        <v>7</v>
      </c>
      <c r="D531" t="s">
        <v>195</v>
      </c>
      <c r="E531" t="s">
        <v>389</v>
      </c>
      <c r="F531">
        <v>5</v>
      </c>
      <c r="G531" s="6">
        <v>130665</v>
      </c>
      <c r="H531">
        <f>COUNTBLANK(Sales_Data[[#This Row],[Revenue]])</f>
        <v>0</v>
      </c>
      <c r="I531">
        <f>COUNTBLANK(Sales_Data[[#This Row],[Quantity]])</f>
        <v>0</v>
      </c>
      <c r="J531" t="str">
        <f>TEXT(Sales_Data[[#This Row],[Date]],"yyyy-mm")</f>
        <v>2025-07</v>
      </c>
    </row>
    <row r="532" spans="1:10" x14ac:dyDescent="0.35">
      <c r="A532" t="s">
        <v>921</v>
      </c>
      <c r="B532" s="3">
        <v>45847</v>
      </c>
      <c r="C532" t="s">
        <v>27</v>
      </c>
      <c r="D532" t="s">
        <v>97</v>
      </c>
      <c r="E532" t="s">
        <v>403</v>
      </c>
      <c r="F532">
        <v>7</v>
      </c>
      <c r="G532" s="6">
        <v>263788</v>
      </c>
      <c r="H532">
        <f>COUNTBLANK(Sales_Data[[#This Row],[Revenue]])</f>
        <v>0</v>
      </c>
      <c r="I532">
        <f>COUNTBLANK(Sales_Data[[#This Row],[Quantity]])</f>
        <v>0</v>
      </c>
      <c r="J532" t="str">
        <f>TEXT(Sales_Data[[#This Row],[Date]],"yyyy-mm")</f>
        <v>2025-07</v>
      </c>
    </row>
    <row r="533" spans="1:10" x14ac:dyDescent="0.35">
      <c r="A533" t="s">
        <v>922</v>
      </c>
      <c r="B533" s="3">
        <v>46019</v>
      </c>
      <c r="C533" t="s">
        <v>13</v>
      </c>
      <c r="D533" t="s">
        <v>125</v>
      </c>
      <c r="E533" t="s">
        <v>403</v>
      </c>
      <c r="F533">
        <v>2</v>
      </c>
      <c r="G533" s="6">
        <v>60354</v>
      </c>
      <c r="H533">
        <f>COUNTBLANK(Sales_Data[[#This Row],[Revenue]])</f>
        <v>0</v>
      </c>
      <c r="I533">
        <f>COUNTBLANK(Sales_Data[[#This Row],[Quantity]])</f>
        <v>0</v>
      </c>
      <c r="J533" t="str">
        <f>TEXT(Sales_Data[[#This Row],[Date]],"yyyy-mm")</f>
        <v>2025-12</v>
      </c>
    </row>
    <row r="534" spans="1:10" x14ac:dyDescent="0.35">
      <c r="A534" t="s">
        <v>923</v>
      </c>
      <c r="B534" s="3">
        <v>45955</v>
      </c>
      <c r="C534" t="s">
        <v>21</v>
      </c>
      <c r="D534" t="s">
        <v>347</v>
      </c>
      <c r="E534" t="s">
        <v>391</v>
      </c>
      <c r="F534">
        <v>2</v>
      </c>
      <c r="G534" s="6">
        <v>30418</v>
      </c>
      <c r="H534">
        <f>COUNTBLANK(Sales_Data[[#This Row],[Revenue]])</f>
        <v>0</v>
      </c>
      <c r="I534">
        <f>COUNTBLANK(Sales_Data[[#This Row],[Quantity]])</f>
        <v>0</v>
      </c>
      <c r="J534" t="str">
        <f>TEXT(Sales_Data[[#This Row],[Date]],"yyyy-mm")</f>
        <v>2025-10</v>
      </c>
    </row>
    <row r="535" spans="1:10" x14ac:dyDescent="0.35">
      <c r="A535" t="s">
        <v>924</v>
      </c>
      <c r="B535" s="3">
        <v>45966</v>
      </c>
      <c r="C535" t="s">
        <v>25</v>
      </c>
      <c r="D535" t="s">
        <v>305</v>
      </c>
      <c r="E535" t="s">
        <v>394</v>
      </c>
      <c r="F535">
        <v>4</v>
      </c>
      <c r="G535" s="6">
        <v>72972</v>
      </c>
      <c r="H535">
        <f>COUNTBLANK(Sales_Data[[#This Row],[Revenue]])</f>
        <v>0</v>
      </c>
      <c r="I535">
        <f>COUNTBLANK(Sales_Data[[#This Row],[Quantity]])</f>
        <v>0</v>
      </c>
      <c r="J535" t="str">
        <f>TEXT(Sales_Data[[#This Row],[Date]],"yyyy-mm")</f>
        <v>2025-11</v>
      </c>
    </row>
    <row r="536" spans="1:10" x14ac:dyDescent="0.35">
      <c r="A536" t="s">
        <v>925</v>
      </c>
      <c r="B536" s="3">
        <v>45677</v>
      </c>
      <c r="C536" t="s">
        <v>37</v>
      </c>
      <c r="D536" t="s">
        <v>375</v>
      </c>
      <c r="E536" t="s">
        <v>389</v>
      </c>
      <c r="F536">
        <v>8</v>
      </c>
      <c r="G536" s="6">
        <v>15624</v>
      </c>
      <c r="H536">
        <f>COUNTBLANK(Sales_Data[[#This Row],[Revenue]])</f>
        <v>0</v>
      </c>
      <c r="I536">
        <f>COUNTBLANK(Sales_Data[[#This Row],[Quantity]])</f>
        <v>0</v>
      </c>
      <c r="J536" t="str">
        <f>TEXT(Sales_Data[[#This Row],[Date]],"yyyy-mm")</f>
        <v>2025-01</v>
      </c>
    </row>
    <row r="537" spans="1:10" x14ac:dyDescent="0.35">
      <c r="A537" t="s">
        <v>926</v>
      </c>
      <c r="B537" s="3">
        <v>45666</v>
      </c>
      <c r="C537" t="s">
        <v>37</v>
      </c>
      <c r="D537" t="s">
        <v>159</v>
      </c>
      <c r="E537" t="s">
        <v>389</v>
      </c>
      <c r="F537">
        <v>1</v>
      </c>
      <c r="G537" s="6">
        <v>1953</v>
      </c>
      <c r="H537">
        <f>COUNTBLANK(Sales_Data[[#This Row],[Revenue]])</f>
        <v>0</v>
      </c>
      <c r="I537">
        <f>COUNTBLANK(Sales_Data[[#This Row],[Quantity]])</f>
        <v>0</v>
      </c>
      <c r="J537" t="str">
        <f>TEXT(Sales_Data[[#This Row],[Date]],"yyyy-mm")</f>
        <v>2025-01</v>
      </c>
    </row>
    <row r="538" spans="1:10" x14ac:dyDescent="0.35">
      <c r="A538" t="s">
        <v>927</v>
      </c>
      <c r="B538" s="3">
        <v>45765</v>
      </c>
      <c r="C538" t="s">
        <v>25</v>
      </c>
      <c r="D538" t="s">
        <v>347</v>
      </c>
      <c r="E538" t="s">
        <v>394</v>
      </c>
      <c r="F538">
        <v>2</v>
      </c>
      <c r="G538" s="6">
        <v>36486</v>
      </c>
      <c r="H538">
        <f>COUNTBLANK(Sales_Data[[#This Row],[Revenue]])</f>
        <v>0</v>
      </c>
      <c r="I538">
        <f>COUNTBLANK(Sales_Data[[#This Row],[Quantity]])</f>
        <v>0</v>
      </c>
      <c r="J538" t="str">
        <f>TEXT(Sales_Data[[#This Row],[Date]],"yyyy-mm")</f>
        <v>2025-04</v>
      </c>
    </row>
    <row r="539" spans="1:10" x14ac:dyDescent="0.35">
      <c r="A539" t="s">
        <v>928</v>
      </c>
      <c r="B539" s="3">
        <v>46007</v>
      </c>
      <c r="C539" t="s">
        <v>23</v>
      </c>
      <c r="D539" t="s">
        <v>221</v>
      </c>
      <c r="E539" t="s">
        <v>389</v>
      </c>
      <c r="F539">
        <v>8</v>
      </c>
      <c r="G539" s="6">
        <v>48552</v>
      </c>
      <c r="H539">
        <f>COUNTBLANK(Sales_Data[[#This Row],[Revenue]])</f>
        <v>0</v>
      </c>
      <c r="I539">
        <f>COUNTBLANK(Sales_Data[[#This Row],[Quantity]])</f>
        <v>0</v>
      </c>
      <c r="J539" t="str">
        <f>TEXT(Sales_Data[[#This Row],[Date]],"yyyy-mm")</f>
        <v>2025-12</v>
      </c>
    </row>
    <row r="540" spans="1:10" x14ac:dyDescent="0.35">
      <c r="A540" t="s">
        <v>929</v>
      </c>
      <c r="B540" s="3">
        <v>45688</v>
      </c>
      <c r="C540" t="s">
        <v>43</v>
      </c>
      <c r="D540" t="s">
        <v>101</v>
      </c>
      <c r="E540" t="s">
        <v>394</v>
      </c>
      <c r="F540">
        <v>1</v>
      </c>
      <c r="G540" s="6">
        <v>37825</v>
      </c>
      <c r="H540">
        <f>COUNTBLANK(Sales_Data[[#This Row],[Revenue]])</f>
        <v>0</v>
      </c>
      <c r="I540">
        <f>COUNTBLANK(Sales_Data[[#This Row],[Quantity]])</f>
        <v>0</v>
      </c>
      <c r="J540" t="str">
        <f>TEXT(Sales_Data[[#This Row],[Date]],"yyyy-mm")</f>
        <v>2025-01</v>
      </c>
    </row>
    <row r="541" spans="1:10" x14ac:dyDescent="0.35">
      <c r="A541" t="s">
        <v>930</v>
      </c>
      <c r="B541" s="3">
        <v>45908</v>
      </c>
      <c r="C541" t="s">
        <v>57</v>
      </c>
      <c r="D541" t="s">
        <v>357</v>
      </c>
      <c r="E541" t="s">
        <v>403</v>
      </c>
      <c r="F541">
        <v>8</v>
      </c>
      <c r="G541" s="6">
        <v>390312</v>
      </c>
      <c r="H541">
        <f>COUNTBLANK(Sales_Data[[#This Row],[Revenue]])</f>
        <v>0</v>
      </c>
      <c r="I541">
        <f>COUNTBLANK(Sales_Data[[#This Row],[Quantity]])</f>
        <v>0</v>
      </c>
      <c r="J541" t="str">
        <f>TEXT(Sales_Data[[#This Row],[Date]],"yyyy-mm")</f>
        <v>2025-09</v>
      </c>
    </row>
    <row r="542" spans="1:10" x14ac:dyDescent="0.35">
      <c r="A542" t="s">
        <v>931</v>
      </c>
      <c r="B542" s="3">
        <v>45737</v>
      </c>
      <c r="C542" t="s">
        <v>45</v>
      </c>
      <c r="D542" t="s">
        <v>123</v>
      </c>
      <c r="E542" t="s">
        <v>389</v>
      </c>
      <c r="F542">
        <v>9</v>
      </c>
      <c r="G542" s="6">
        <v>70434</v>
      </c>
      <c r="H542">
        <f>COUNTBLANK(Sales_Data[[#This Row],[Revenue]])</f>
        <v>0</v>
      </c>
      <c r="I542">
        <f>COUNTBLANK(Sales_Data[[#This Row],[Quantity]])</f>
        <v>0</v>
      </c>
      <c r="J542" t="str">
        <f>TEXT(Sales_Data[[#This Row],[Date]],"yyyy-mm")</f>
        <v>2025-03</v>
      </c>
    </row>
    <row r="543" spans="1:10" x14ac:dyDescent="0.35">
      <c r="A543" t="s">
        <v>932</v>
      </c>
      <c r="B543" s="3">
        <v>45715</v>
      </c>
      <c r="C543" t="s">
        <v>27</v>
      </c>
      <c r="D543" t="s">
        <v>375</v>
      </c>
      <c r="E543" t="s">
        <v>391</v>
      </c>
      <c r="F543">
        <v>3</v>
      </c>
      <c r="G543" s="6">
        <v>113052</v>
      </c>
      <c r="H543">
        <f>COUNTBLANK(Sales_Data[[#This Row],[Revenue]])</f>
        <v>0</v>
      </c>
      <c r="I543">
        <f>COUNTBLANK(Sales_Data[[#This Row],[Quantity]])</f>
        <v>0</v>
      </c>
      <c r="J543" t="str">
        <f>TEXT(Sales_Data[[#This Row],[Date]],"yyyy-mm")</f>
        <v>2025-02</v>
      </c>
    </row>
    <row r="544" spans="1:10" x14ac:dyDescent="0.35">
      <c r="A544" t="s">
        <v>933</v>
      </c>
      <c r="B544" s="3">
        <v>45939</v>
      </c>
      <c r="C544" t="s">
        <v>45</v>
      </c>
      <c r="D544" t="s">
        <v>293</v>
      </c>
      <c r="E544" t="s">
        <v>389</v>
      </c>
      <c r="F544">
        <v>10</v>
      </c>
      <c r="G544" s="6">
        <v>78260</v>
      </c>
      <c r="H544">
        <f>COUNTBLANK(Sales_Data[[#This Row],[Revenue]])</f>
        <v>0</v>
      </c>
      <c r="I544">
        <f>COUNTBLANK(Sales_Data[[#This Row],[Quantity]])</f>
        <v>0</v>
      </c>
      <c r="J544" t="str">
        <f>TEXT(Sales_Data[[#This Row],[Date]],"yyyy-mm")</f>
        <v>2025-10</v>
      </c>
    </row>
    <row r="545" spans="1:10" x14ac:dyDescent="0.35">
      <c r="A545" t="s">
        <v>934</v>
      </c>
      <c r="B545" s="3">
        <v>45974</v>
      </c>
      <c r="C545" t="s">
        <v>41</v>
      </c>
      <c r="D545" t="s">
        <v>239</v>
      </c>
      <c r="E545" t="s">
        <v>387</v>
      </c>
      <c r="F545">
        <v>9</v>
      </c>
      <c r="G545" s="6">
        <v>191358</v>
      </c>
      <c r="H545">
        <f>COUNTBLANK(Sales_Data[[#This Row],[Revenue]])</f>
        <v>0</v>
      </c>
      <c r="I545">
        <f>COUNTBLANK(Sales_Data[[#This Row],[Quantity]])</f>
        <v>0</v>
      </c>
      <c r="J545" t="str">
        <f>TEXT(Sales_Data[[#This Row],[Date]],"yyyy-mm")</f>
        <v>2025-11</v>
      </c>
    </row>
    <row r="546" spans="1:10" x14ac:dyDescent="0.35">
      <c r="A546" t="s">
        <v>935</v>
      </c>
      <c r="B546" s="3">
        <v>45684</v>
      </c>
      <c r="C546" t="s">
        <v>31</v>
      </c>
      <c r="D546" t="s">
        <v>309</v>
      </c>
      <c r="E546" t="s">
        <v>389</v>
      </c>
      <c r="F546">
        <v>5</v>
      </c>
      <c r="G546" s="6">
        <v>149830</v>
      </c>
      <c r="H546">
        <f>COUNTBLANK(Sales_Data[[#This Row],[Revenue]])</f>
        <v>0</v>
      </c>
      <c r="I546">
        <f>COUNTBLANK(Sales_Data[[#This Row],[Quantity]])</f>
        <v>0</v>
      </c>
      <c r="J546" t="str">
        <f>TEXT(Sales_Data[[#This Row],[Date]],"yyyy-mm")</f>
        <v>2025-01</v>
      </c>
    </row>
    <row r="547" spans="1:10" x14ac:dyDescent="0.35">
      <c r="A547" t="s">
        <v>936</v>
      </c>
      <c r="B547" s="3">
        <v>45908</v>
      </c>
      <c r="C547" t="s">
        <v>16</v>
      </c>
      <c r="D547" t="s">
        <v>137</v>
      </c>
      <c r="E547" t="s">
        <v>387</v>
      </c>
      <c r="F547">
        <v>4</v>
      </c>
      <c r="G547" s="6">
        <v>127848</v>
      </c>
      <c r="H547">
        <f>COUNTBLANK(Sales_Data[[#This Row],[Revenue]])</f>
        <v>0</v>
      </c>
      <c r="I547">
        <f>COUNTBLANK(Sales_Data[[#This Row],[Quantity]])</f>
        <v>0</v>
      </c>
      <c r="J547" t="str">
        <f>TEXT(Sales_Data[[#This Row],[Date]],"yyyy-mm")</f>
        <v>2025-09</v>
      </c>
    </row>
    <row r="548" spans="1:10" x14ac:dyDescent="0.35">
      <c r="A548" t="s">
        <v>937</v>
      </c>
      <c r="B548" s="3">
        <v>45790</v>
      </c>
      <c r="C548" t="s">
        <v>57</v>
      </c>
      <c r="D548" t="s">
        <v>319</v>
      </c>
      <c r="E548" t="s">
        <v>387</v>
      </c>
      <c r="F548">
        <v>4</v>
      </c>
      <c r="G548" s="6">
        <v>195156</v>
      </c>
      <c r="H548">
        <f>COUNTBLANK(Sales_Data[[#This Row],[Revenue]])</f>
        <v>0</v>
      </c>
      <c r="I548">
        <f>COUNTBLANK(Sales_Data[[#This Row],[Quantity]])</f>
        <v>0</v>
      </c>
      <c r="J548" t="str">
        <f>TEXT(Sales_Data[[#This Row],[Date]],"yyyy-mm")</f>
        <v>2025-05</v>
      </c>
    </row>
    <row r="549" spans="1:10" x14ac:dyDescent="0.35">
      <c r="A549" t="s">
        <v>938</v>
      </c>
      <c r="B549" s="3">
        <v>45987</v>
      </c>
      <c r="C549" t="s">
        <v>43</v>
      </c>
      <c r="D549" t="s">
        <v>311</v>
      </c>
      <c r="E549" t="s">
        <v>389</v>
      </c>
      <c r="F549">
        <v>7</v>
      </c>
      <c r="G549" s="6">
        <v>264775</v>
      </c>
      <c r="H549">
        <f>COUNTBLANK(Sales_Data[[#This Row],[Revenue]])</f>
        <v>0</v>
      </c>
      <c r="I549">
        <f>COUNTBLANK(Sales_Data[[#This Row],[Quantity]])</f>
        <v>0</v>
      </c>
      <c r="J549" t="str">
        <f>TEXT(Sales_Data[[#This Row],[Date]],"yyyy-mm")</f>
        <v>2025-11</v>
      </c>
    </row>
    <row r="550" spans="1:10" x14ac:dyDescent="0.35">
      <c r="A550" t="s">
        <v>939</v>
      </c>
      <c r="B550" s="3">
        <v>45960</v>
      </c>
      <c r="C550" t="s">
        <v>61</v>
      </c>
      <c r="D550" t="s">
        <v>345</v>
      </c>
      <c r="E550" t="s">
        <v>387</v>
      </c>
      <c r="F550">
        <v>1</v>
      </c>
      <c r="G550" s="6">
        <v>25016</v>
      </c>
      <c r="H550">
        <f>COUNTBLANK(Sales_Data[[#This Row],[Revenue]])</f>
        <v>0</v>
      </c>
      <c r="I550">
        <f>COUNTBLANK(Sales_Data[[#This Row],[Quantity]])</f>
        <v>0</v>
      </c>
      <c r="J550" t="str">
        <f>TEXT(Sales_Data[[#This Row],[Date]],"yyyy-mm")</f>
        <v>2025-10</v>
      </c>
    </row>
    <row r="551" spans="1:10" x14ac:dyDescent="0.35">
      <c r="A551" t="s">
        <v>940</v>
      </c>
      <c r="B551" s="3">
        <v>45814</v>
      </c>
      <c r="C551" t="s">
        <v>13</v>
      </c>
      <c r="D551" t="s">
        <v>307</v>
      </c>
      <c r="E551" t="s">
        <v>394</v>
      </c>
      <c r="F551">
        <v>6</v>
      </c>
      <c r="G551" s="6">
        <v>181062</v>
      </c>
      <c r="H551">
        <f>COUNTBLANK(Sales_Data[[#This Row],[Revenue]])</f>
        <v>0</v>
      </c>
      <c r="I551">
        <f>COUNTBLANK(Sales_Data[[#This Row],[Quantity]])</f>
        <v>0</v>
      </c>
      <c r="J551" t="str">
        <f>TEXT(Sales_Data[[#This Row],[Date]],"yyyy-mm")</f>
        <v>2025-06</v>
      </c>
    </row>
    <row r="552" spans="1:10" x14ac:dyDescent="0.35">
      <c r="A552" t="s">
        <v>941</v>
      </c>
      <c r="B552" s="3">
        <v>45958</v>
      </c>
      <c r="C552" t="s">
        <v>13</v>
      </c>
      <c r="D552" t="s">
        <v>153</v>
      </c>
      <c r="E552" t="s">
        <v>403</v>
      </c>
      <c r="F552">
        <v>4</v>
      </c>
      <c r="G552" s="6">
        <v>120708</v>
      </c>
      <c r="H552">
        <f>COUNTBLANK(Sales_Data[[#This Row],[Revenue]])</f>
        <v>0</v>
      </c>
      <c r="I552">
        <f>COUNTBLANK(Sales_Data[[#This Row],[Quantity]])</f>
        <v>0</v>
      </c>
      <c r="J552" t="str">
        <f>TEXT(Sales_Data[[#This Row],[Date]],"yyyy-mm")</f>
        <v>2025-10</v>
      </c>
    </row>
    <row r="553" spans="1:10" x14ac:dyDescent="0.35">
      <c r="A553" t="s">
        <v>942</v>
      </c>
      <c r="B553" s="3">
        <v>45689</v>
      </c>
      <c r="C553" t="s">
        <v>23</v>
      </c>
      <c r="D553" t="s">
        <v>301</v>
      </c>
      <c r="E553" t="s">
        <v>403</v>
      </c>
      <c r="F553">
        <v>3</v>
      </c>
      <c r="G553" s="6">
        <v>18207</v>
      </c>
      <c r="H553">
        <f>COUNTBLANK(Sales_Data[[#This Row],[Revenue]])</f>
        <v>0</v>
      </c>
      <c r="I553">
        <f>COUNTBLANK(Sales_Data[[#This Row],[Quantity]])</f>
        <v>0</v>
      </c>
      <c r="J553" t="str">
        <f>TEXT(Sales_Data[[#This Row],[Date]],"yyyy-mm")</f>
        <v>2025-02</v>
      </c>
    </row>
    <row r="554" spans="1:10" x14ac:dyDescent="0.35">
      <c r="A554" t="s">
        <v>943</v>
      </c>
      <c r="B554" s="3">
        <v>45771</v>
      </c>
      <c r="C554" t="s">
        <v>10</v>
      </c>
      <c r="D554" t="s">
        <v>341</v>
      </c>
      <c r="E554" t="s">
        <v>391</v>
      </c>
      <c r="F554">
        <v>7</v>
      </c>
      <c r="G554" s="6">
        <v>31612</v>
      </c>
      <c r="H554">
        <f>COUNTBLANK(Sales_Data[[#This Row],[Revenue]])</f>
        <v>0</v>
      </c>
      <c r="I554">
        <f>COUNTBLANK(Sales_Data[[#This Row],[Quantity]])</f>
        <v>0</v>
      </c>
      <c r="J554" t="str">
        <f>TEXT(Sales_Data[[#This Row],[Date]],"yyyy-mm")</f>
        <v>2025-04</v>
      </c>
    </row>
    <row r="555" spans="1:10" x14ac:dyDescent="0.35">
      <c r="A555" t="s">
        <v>944</v>
      </c>
      <c r="B555" s="3">
        <v>45944</v>
      </c>
      <c r="C555" t="s">
        <v>10</v>
      </c>
      <c r="D555" t="s">
        <v>317</v>
      </c>
      <c r="E555" t="s">
        <v>391</v>
      </c>
      <c r="F555">
        <v>6</v>
      </c>
      <c r="G555" s="6">
        <v>27096</v>
      </c>
      <c r="H555">
        <f>COUNTBLANK(Sales_Data[[#This Row],[Revenue]])</f>
        <v>0</v>
      </c>
      <c r="I555">
        <f>COUNTBLANK(Sales_Data[[#This Row],[Quantity]])</f>
        <v>0</v>
      </c>
      <c r="J555" t="str">
        <f>TEXT(Sales_Data[[#This Row],[Date]],"yyyy-mm")</f>
        <v>2025-10</v>
      </c>
    </row>
    <row r="556" spans="1:10" x14ac:dyDescent="0.35">
      <c r="A556" t="s">
        <v>945</v>
      </c>
      <c r="B556" s="3">
        <v>45705</v>
      </c>
      <c r="C556" t="s">
        <v>67</v>
      </c>
      <c r="D556" t="s">
        <v>117</v>
      </c>
      <c r="E556" t="s">
        <v>389</v>
      </c>
      <c r="F556">
        <v>7</v>
      </c>
      <c r="G556" s="6">
        <v>151312</v>
      </c>
      <c r="H556">
        <f>COUNTBLANK(Sales_Data[[#This Row],[Revenue]])</f>
        <v>0</v>
      </c>
      <c r="I556">
        <f>COUNTBLANK(Sales_Data[[#This Row],[Quantity]])</f>
        <v>0</v>
      </c>
      <c r="J556" t="str">
        <f>TEXT(Sales_Data[[#This Row],[Date]],"yyyy-mm")</f>
        <v>2025-02</v>
      </c>
    </row>
    <row r="557" spans="1:10" x14ac:dyDescent="0.35">
      <c r="A557" t="s">
        <v>946</v>
      </c>
      <c r="B557" s="3">
        <v>45665</v>
      </c>
      <c r="C557" t="s">
        <v>27</v>
      </c>
      <c r="D557" t="s">
        <v>197</v>
      </c>
      <c r="E557" t="s">
        <v>387</v>
      </c>
      <c r="F557">
        <v>2</v>
      </c>
      <c r="G557" s="6">
        <v>75368</v>
      </c>
      <c r="H557">
        <f>COUNTBLANK(Sales_Data[[#This Row],[Revenue]])</f>
        <v>0</v>
      </c>
      <c r="I557">
        <f>COUNTBLANK(Sales_Data[[#This Row],[Quantity]])</f>
        <v>0</v>
      </c>
      <c r="J557" t="str">
        <f>TEXT(Sales_Data[[#This Row],[Date]],"yyyy-mm")</f>
        <v>2025-01</v>
      </c>
    </row>
    <row r="558" spans="1:10" x14ac:dyDescent="0.35">
      <c r="A558" t="s">
        <v>947</v>
      </c>
      <c r="B558" s="3">
        <v>45684</v>
      </c>
      <c r="C558" t="s">
        <v>10</v>
      </c>
      <c r="D558" t="s">
        <v>81</v>
      </c>
      <c r="E558" t="s">
        <v>387</v>
      </c>
      <c r="F558">
        <v>6</v>
      </c>
      <c r="G558" s="6">
        <v>27096</v>
      </c>
      <c r="H558">
        <f>COUNTBLANK(Sales_Data[[#This Row],[Revenue]])</f>
        <v>0</v>
      </c>
      <c r="I558">
        <f>COUNTBLANK(Sales_Data[[#This Row],[Quantity]])</f>
        <v>0</v>
      </c>
      <c r="J558" t="str">
        <f>TEXT(Sales_Data[[#This Row],[Date]],"yyyy-mm")</f>
        <v>2025-01</v>
      </c>
    </row>
    <row r="559" spans="1:10" x14ac:dyDescent="0.35">
      <c r="A559" t="s">
        <v>948</v>
      </c>
      <c r="B559" s="3">
        <v>45840</v>
      </c>
      <c r="C559" t="s">
        <v>51</v>
      </c>
      <c r="D559" t="s">
        <v>97</v>
      </c>
      <c r="E559" t="s">
        <v>391</v>
      </c>
      <c r="F559">
        <v>9</v>
      </c>
      <c r="G559" s="6">
        <v>282951</v>
      </c>
      <c r="H559">
        <f>COUNTBLANK(Sales_Data[[#This Row],[Revenue]])</f>
        <v>0</v>
      </c>
      <c r="I559">
        <f>COUNTBLANK(Sales_Data[[#This Row],[Quantity]])</f>
        <v>0</v>
      </c>
      <c r="J559" t="str">
        <f>TEXT(Sales_Data[[#This Row],[Date]],"yyyy-mm")</f>
        <v>2025-07</v>
      </c>
    </row>
    <row r="560" spans="1:10" x14ac:dyDescent="0.35">
      <c r="A560" t="s">
        <v>949</v>
      </c>
      <c r="B560" s="3">
        <v>46014</v>
      </c>
      <c r="C560" t="s">
        <v>37</v>
      </c>
      <c r="D560" t="s">
        <v>255</v>
      </c>
      <c r="E560" t="s">
        <v>391</v>
      </c>
      <c r="F560">
        <v>9</v>
      </c>
      <c r="G560" s="6">
        <v>17577</v>
      </c>
      <c r="H560">
        <f>COUNTBLANK(Sales_Data[[#This Row],[Revenue]])</f>
        <v>0</v>
      </c>
      <c r="I560">
        <f>COUNTBLANK(Sales_Data[[#This Row],[Quantity]])</f>
        <v>0</v>
      </c>
      <c r="J560" t="str">
        <f>TEXT(Sales_Data[[#This Row],[Date]],"yyyy-mm")</f>
        <v>2025-12</v>
      </c>
    </row>
    <row r="561" spans="1:10" x14ac:dyDescent="0.35">
      <c r="A561" t="s">
        <v>950</v>
      </c>
      <c r="B561" s="3">
        <v>45951</v>
      </c>
      <c r="C561" t="s">
        <v>33</v>
      </c>
      <c r="D561" t="s">
        <v>137</v>
      </c>
      <c r="E561" t="s">
        <v>389</v>
      </c>
      <c r="F561">
        <v>4</v>
      </c>
      <c r="G561" s="6">
        <v>145012</v>
      </c>
      <c r="H561">
        <f>COUNTBLANK(Sales_Data[[#This Row],[Revenue]])</f>
        <v>0</v>
      </c>
      <c r="I561">
        <f>COUNTBLANK(Sales_Data[[#This Row],[Quantity]])</f>
        <v>0</v>
      </c>
      <c r="J561" t="str">
        <f>TEXT(Sales_Data[[#This Row],[Date]],"yyyy-mm")</f>
        <v>2025-10</v>
      </c>
    </row>
    <row r="562" spans="1:10" x14ac:dyDescent="0.35">
      <c r="A562" t="s">
        <v>951</v>
      </c>
      <c r="B562" s="3">
        <v>45934</v>
      </c>
      <c r="C562" t="s">
        <v>65</v>
      </c>
      <c r="D562" t="s">
        <v>335</v>
      </c>
      <c r="E562" t="s">
        <v>403</v>
      </c>
      <c r="F562">
        <v>10</v>
      </c>
      <c r="G562" s="6">
        <v>5450</v>
      </c>
      <c r="H562">
        <f>COUNTBLANK(Sales_Data[[#This Row],[Revenue]])</f>
        <v>0</v>
      </c>
      <c r="I562">
        <f>COUNTBLANK(Sales_Data[[#This Row],[Quantity]])</f>
        <v>0</v>
      </c>
      <c r="J562" t="str">
        <f>TEXT(Sales_Data[[#This Row],[Date]],"yyyy-mm")</f>
        <v>2025-10</v>
      </c>
    </row>
    <row r="563" spans="1:10" x14ac:dyDescent="0.35">
      <c r="A563" t="s">
        <v>952</v>
      </c>
      <c r="B563" s="3">
        <v>45676</v>
      </c>
      <c r="C563" t="s">
        <v>49</v>
      </c>
      <c r="D563" t="s">
        <v>101</v>
      </c>
      <c r="E563" t="s">
        <v>387</v>
      </c>
      <c r="F563">
        <v>6</v>
      </c>
      <c r="G563" s="6">
        <v>273084</v>
      </c>
      <c r="H563">
        <f>COUNTBLANK(Sales_Data[[#This Row],[Revenue]])</f>
        <v>0</v>
      </c>
      <c r="I563">
        <f>COUNTBLANK(Sales_Data[[#This Row],[Quantity]])</f>
        <v>0</v>
      </c>
      <c r="J563" t="str">
        <f>TEXT(Sales_Data[[#This Row],[Date]],"yyyy-mm")</f>
        <v>2025-01</v>
      </c>
    </row>
    <row r="564" spans="1:10" x14ac:dyDescent="0.35">
      <c r="A564" t="s">
        <v>953</v>
      </c>
      <c r="B564" s="3">
        <v>45690</v>
      </c>
      <c r="C564" t="s">
        <v>35</v>
      </c>
      <c r="D564" t="s">
        <v>251</v>
      </c>
      <c r="E564" t="s">
        <v>389</v>
      </c>
      <c r="F564">
        <v>2</v>
      </c>
      <c r="G564" s="6">
        <v>98920</v>
      </c>
      <c r="H564">
        <f>COUNTBLANK(Sales_Data[[#This Row],[Revenue]])</f>
        <v>0</v>
      </c>
      <c r="I564">
        <f>COUNTBLANK(Sales_Data[[#This Row],[Quantity]])</f>
        <v>0</v>
      </c>
      <c r="J564" t="str">
        <f>TEXT(Sales_Data[[#This Row],[Date]],"yyyy-mm")</f>
        <v>2025-02</v>
      </c>
    </row>
    <row r="565" spans="1:10" x14ac:dyDescent="0.35">
      <c r="A565" t="s">
        <v>954</v>
      </c>
      <c r="B565" s="3">
        <v>45842</v>
      </c>
      <c r="C565" t="s">
        <v>47</v>
      </c>
      <c r="D565" t="s">
        <v>119</v>
      </c>
      <c r="E565" t="s">
        <v>387</v>
      </c>
      <c r="F565">
        <v>2</v>
      </c>
      <c r="G565" s="6">
        <v>44124</v>
      </c>
      <c r="H565">
        <f>COUNTBLANK(Sales_Data[[#This Row],[Revenue]])</f>
        <v>0</v>
      </c>
      <c r="I565">
        <f>COUNTBLANK(Sales_Data[[#This Row],[Quantity]])</f>
        <v>0</v>
      </c>
      <c r="J565" t="str">
        <f>TEXT(Sales_Data[[#This Row],[Date]],"yyyy-mm")</f>
        <v>2025-07</v>
      </c>
    </row>
    <row r="566" spans="1:10" x14ac:dyDescent="0.35">
      <c r="A566" t="s">
        <v>955</v>
      </c>
      <c r="B566" s="3">
        <v>45797</v>
      </c>
      <c r="C566" t="s">
        <v>63</v>
      </c>
      <c r="D566" t="s">
        <v>207</v>
      </c>
      <c r="E566" t="s">
        <v>391</v>
      </c>
      <c r="F566">
        <v>4</v>
      </c>
      <c r="G566" s="6">
        <v>35072</v>
      </c>
      <c r="H566">
        <f>COUNTBLANK(Sales_Data[[#This Row],[Revenue]])</f>
        <v>0</v>
      </c>
      <c r="I566">
        <f>COUNTBLANK(Sales_Data[[#This Row],[Quantity]])</f>
        <v>0</v>
      </c>
      <c r="J566" t="str">
        <f>TEXT(Sales_Data[[#This Row],[Date]],"yyyy-mm")</f>
        <v>2025-05</v>
      </c>
    </row>
    <row r="567" spans="1:10" x14ac:dyDescent="0.35">
      <c r="A567" t="s">
        <v>956</v>
      </c>
      <c r="B567" s="3">
        <v>45668</v>
      </c>
      <c r="C567" t="s">
        <v>25</v>
      </c>
      <c r="D567" t="s">
        <v>357</v>
      </c>
      <c r="E567" t="s">
        <v>389</v>
      </c>
      <c r="F567">
        <v>7</v>
      </c>
      <c r="G567" s="6">
        <v>127701</v>
      </c>
      <c r="H567">
        <f>COUNTBLANK(Sales_Data[[#This Row],[Revenue]])</f>
        <v>0</v>
      </c>
      <c r="I567">
        <f>COUNTBLANK(Sales_Data[[#This Row],[Quantity]])</f>
        <v>0</v>
      </c>
      <c r="J567" t="str">
        <f>TEXT(Sales_Data[[#This Row],[Date]],"yyyy-mm")</f>
        <v>2025-01</v>
      </c>
    </row>
    <row r="568" spans="1:10" x14ac:dyDescent="0.35">
      <c r="A568" t="s">
        <v>957</v>
      </c>
      <c r="B568" s="3">
        <v>45806</v>
      </c>
      <c r="C568" t="s">
        <v>51</v>
      </c>
      <c r="D568" t="s">
        <v>205</v>
      </c>
      <c r="E568" t="s">
        <v>394</v>
      </c>
      <c r="F568">
        <v>2</v>
      </c>
      <c r="G568" s="6">
        <v>62878</v>
      </c>
      <c r="H568">
        <f>COUNTBLANK(Sales_Data[[#This Row],[Revenue]])</f>
        <v>0</v>
      </c>
      <c r="I568">
        <f>COUNTBLANK(Sales_Data[[#This Row],[Quantity]])</f>
        <v>0</v>
      </c>
      <c r="J568" t="str">
        <f>TEXT(Sales_Data[[#This Row],[Date]],"yyyy-mm")</f>
        <v>2025-05</v>
      </c>
    </row>
    <row r="569" spans="1:10" x14ac:dyDescent="0.35">
      <c r="A569" t="s">
        <v>958</v>
      </c>
      <c r="B569" s="3">
        <v>45781</v>
      </c>
      <c r="C569" t="s">
        <v>21</v>
      </c>
      <c r="D569" t="s">
        <v>289</v>
      </c>
      <c r="E569" t="s">
        <v>387</v>
      </c>
      <c r="F569">
        <v>9</v>
      </c>
      <c r="G569" s="6">
        <v>136881</v>
      </c>
      <c r="H569">
        <f>COUNTBLANK(Sales_Data[[#This Row],[Revenue]])</f>
        <v>0</v>
      </c>
      <c r="I569">
        <f>COUNTBLANK(Sales_Data[[#This Row],[Quantity]])</f>
        <v>0</v>
      </c>
      <c r="J569" t="str">
        <f>TEXT(Sales_Data[[#This Row],[Date]],"yyyy-mm")</f>
        <v>2025-05</v>
      </c>
    </row>
    <row r="570" spans="1:10" x14ac:dyDescent="0.35">
      <c r="A570" t="s">
        <v>959</v>
      </c>
      <c r="B570" s="3">
        <v>45765</v>
      </c>
      <c r="C570" t="s">
        <v>35</v>
      </c>
      <c r="D570" t="s">
        <v>333</v>
      </c>
      <c r="E570" t="s">
        <v>403</v>
      </c>
      <c r="F570">
        <v>9</v>
      </c>
      <c r="G570" s="6">
        <v>445140</v>
      </c>
      <c r="H570">
        <f>COUNTBLANK(Sales_Data[[#This Row],[Revenue]])</f>
        <v>0</v>
      </c>
      <c r="I570">
        <f>COUNTBLANK(Sales_Data[[#This Row],[Quantity]])</f>
        <v>0</v>
      </c>
      <c r="J570" t="str">
        <f>TEXT(Sales_Data[[#This Row],[Date]],"yyyy-mm")</f>
        <v>2025-04</v>
      </c>
    </row>
    <row r="571" spans="1:10" x14ac:dyDescent="0.35">
      <c r="A571" t="s">
        <v>960</v>
      </c>
      <c r="B571" s="3">
        <v>45840</v>
      </c>
      <c r="C571" t="s">
        <v>65</v>
      </c>
      <c r="D571" t="s">
        <v>81</v>
      </c>
      <c r="E571" t="s">
        <v>391</v>
      </c>
      <c r="F571">
        <v>9</v>
      </c>
      <c r="G571" s="6">
        <v>4905</v>
      </c>
      <c r="H571">
        <f>COUNTBLANK(Sales_Data[[#This Row],[Revenue]])</f>
        <v>0</v>
      </c>
      <c r="I571">
        <f>COUNTBLANK(Sales_Data[[#This Row],[Quantity]])</f>
        <v>0</v>
      </c>
      <c r="J571" t="str">
        <f>TEXT(Sales_Data[[#This Row],[Date]],"yyyy-mm")</f>
        <v>2025-07</v>
      </c>
    </row>
    <row r="572" spans="1:10" x14ac:dyDescent="0.35">
      <c r="A572" t="s">
        <v>961</v>
      </c>
      <c r="B572" s="3">
        <v>45757</v>
      </c>
      <c r="C572" t="s">
        <v>45</v>
      </c>
      <c r="D572" t="s">
        <v>111</v>
      </c>
      <c r="E572" t="s">
        <v>391</v>
      </c>
      <c r="F572">
        <v>2</v>
      </c>
      <c r="G572" s="6">
        <v>15652</v>
      </c>
      <c r="H572">
        <f>COUNTBLANK(Sales_Data[[#This Row],[Revenue]])</f>
        <v>0</v>
      </c>
      <c r="I572">
        <f>COUNTBLANK(Sales_Data[[#This Row],[Quantity]])</f>
        <v>0</v>
      </c>
      <c r="J572" t="str">
        <f>TEXT(Sales_Data[[#This Row],[Date]],"yyyy-mm")</f>
        <v>2025-04</v>
      </c>
    </row>
    <row r="573" spans="1:10" x14ac:dyDescent="0.35">
      <c r="A573" t="s">
        <v>962</v>
      </c>
      <c r="B573" s="3">
        <v>45664</v>
      </c>
      <c r="C573" t="s">
        <v>55</v>
      </c>
      <c r="D573" t="s">
        <v>209</v>
      </c>
      <c r="E573" t="s">
        <v>403</v>
      </c>
      <c r="F573">
        <v>9</v>
      </c>
      <c r="G573" s="6">
        <v>102735</v>
      </c>
      <c r="H573">
        <f>COUNTBLANK(Sales_Data[[#This Row],[Revenue]])</f>
        <v>0</v>
      </c>
      <c r="I573">
        <f>COUNTBLANK(Sales_Data[[#This Row],[Quantity]])</f>
        <v>0</v>
      </c>
      <c r="J573" t="str">
        <f>TEXT(Sales_Data[[#This Row],[Date]],"yyyy-mm")</f>
        <v>2025-01</v>
      </c>
    </row>
    <row r="574" spans="1:10" x14ac:dyDescent="0.35">
      <c r="A574" t="s">
        <v>963</v>
      </c>
      <c r="B574" s="3">
        <v>45810</v>
      </c>
      <c r="C574" t="s">
        <v>23</v>
      </c>
      <c r="D574" t="s">
        <v>81</v>
      </c>
      <c r="E574" t="s">
        <v>387</v>
      </c>
      <c r="F574">
        <v>6</v>
      </c>
      <c r="G574" s="6">
        <v>36414</v>
      </c>
      <c r="H574">
        <f>COUNTBLANK(Sales_Data[[#This Row],[Revenue]])</f>
        <v>0</v>
      </c>
      <c r="I574">
        <f>COUNTBLANK(Sales_Data[[#This Row],[Quantity]])</f>
        <v>0</v>
      </c>
      <c r="J574" t="str">
        <f>TEXT(Sales_Data[[#This Row],[Date]],"yyyy-mm")</f>
        <v>2025-06</v>
      </c>
    </row>
    <row r="575" spans="1:10" x14ac:dyDescent="0.35">
      <c r="A575" t="s">
        <v>964</v>
      </c>
      <c r="B575" s="3">
        <v>45778</v>
      </c>
      <c r="C575" t="s">
        <v>47</v>
      </c>
      <c r="D575" t="s">
        <v>113</v>
      </c>
      <c r="E575" t="s">
        <v>387</v>
      </c>
      <c r="F575">
        <v>6</v>
      </c>
      <c r="G575" s="6">
        <v>132372</v>
      </c>
      <c r="H575">
        <f>COUNTBLANK(Sales_Data[[#This Row],[Revenue]])</f>
        <v>0</v>
      </c>
      <c r="I575">
        <f>COUNTBLANK(Sales_Data[[#This Row],[Quantity]])</f>
        <v>0</v>
      </c>
      <c r="J575" t="str">
        <f>TEXT(Sales_Data[[#This Row],[Date]],"yyyy-mm")</f>
        <v>2025-05</v>
      </c>
    </row>
    <row r="576" spans="1:10" x14ac:dyDescent="0.35">
      <c r="A576" t="s">
        <v>965</v>
      </c>
      <c r="B576" s="3">
        <v>45787</v>
      </c>
      <c r="C576" t="s">
        <v>55</v>
      </c>
      <c r="D576" t="s">
        <v>189</v>
      </c>
      <c r="E576" t="s">
        <v>387</v>
      </c>
      <c r="F576">
        <v>1</v>
      </c>
      <c r="G576" s="6">
        <v>11415</v>
      </c>
      <c r="H576">
        <f>COUNTBLANK(Sales_Data[[#This Row],[Revenue]])</f>
        <v>0</v>
      </c>
      <c r="I576">
        <f>COUNTBLANK(Sales_Data[[#This Row],[Quantity]])</f>
        <v>0</v>
      </c>
      <c r="J576" t="str">
        <f>TEXT(Sales_Data[[#This Row],[Date]],"yyyy-mm")</f>
        <v>2025-05</v>
      </c>
    </row>
    <row r="577" spans="1:10" x14ac:dyDescent="0.35">
      <c r="A577" t="s">
        <v>966</v>
      </c>
      <c r="B577" s="3">
        <v>45916</v>
      </c>
      <c r="C577" t="s">
        <v>10</v>
      </c>
      <c r="D577" t="s">
        <v>301</v>
      </c>
      <c r="E577" t="s">
        <v>389</v>
      </c>
      <c r="F577">
        <v>6</v>
      </c>
      <c r="G577" s="6">
        <v>27096</v>
      </c>
      <c r="H577">
        <f>COUNTBLANK(Sales_Data[[#This Row],[Revenue]])</f>
        <v>0</v>
      </c>
      <c r="I577">
        <f>COUNTBLANK(Sales_Data[[#This Row],[Quantity]])</f>
        <v>0</v>
      </c>
      <c r="J577" t="str">
        <f>TEXT(Sales_Data[[#This Row],[Date]],"yyyy-mm")</f>
        <v>2025-09</v>
      </c>
    </row>
    <row r="578" spans="1:10" x14ac:dyDescent="0.35">
      <c r="A578" t="s">
        <v>967</v>
      </c>
      <c r="B578" s="3">
        <v>45948</v>
      </c>
      <c r="C578" t="s">
        <v>49</v>
      </c>
      <c r="D578" t="s">
        <v>313</v>
      </c>
      <c r="E578" t="s">
        <v>389</v>
      </c>
      <c r="F578">
        <v>7</v>
      </c>
      <c r="G578" s="6">
        <v>318598</v>
      </c>
      <c r="H578">
        <f>COUNTBLANK(Sales_Data[[#This Row],[Revenue]])</f>
        <v>0</v>
      </c>
      <c r="I578">
        <f>COUNTBLANK(Sales_Data[[#This Row],[Quantity]])</f>
        <v>0</v>
      </c>
      <c r="J578" t="str">
        <f>TEXT(Sales_Data[[#This Row],[Date]],"yyyy-mm")</f>
        <v>2025-10</v>
      </c>
    </row>
    <row r="579" spans="1:10" x14ac:dyDescent="0.35">
      <c r="A579" t="s">
        <v>968</v>
      </c>
      <c r="B579" s="3">
        <v>45711</v>
      </c>
      <c r="C579" t="s">
        <v>13</v>
      </c>
      <c r="D579" t="s">
        <v>281</v>
      </c>
      <c r="E579" t="s">
        <v>387</v>
      </c>
      <c r="F579">
        <v>9</v>
      </c>
      <c r="G579" s="6">
        <v>271593</v>
      </c>
      <c r="H579">
        <f>COUNTBLANK(Sales_Data[[#This Row],[Revenue]])</f>
        <v>0</v>
      </c>
      <c r="I579">
        <f>COUNTBLANK(Sales_Data[[#This Row],[Quantity]])</f>
        <v>0</v>
      </c>
      <c r="J579" t="str">
        <f>TEXT(Sales_Data[[#This Row],[Date]],"yyyy-mm")</f>
        <v>2025-02</v>
      </c>
    </row>
    <row r="580" spans="1:10" x14ac:dyDescent="0.35">
      <c r="A580" t="s">
        <v>969</v>
      </c>
      <c r="B580" s="3">
        <v>45955</v>
      </c>
      <c r="C580" t="s">
        <v>41</v>
      </c>
      <c r="D580" t="s">
        <v>219</v>
      </c>
      <c r="E580" t="s">
        <v>389</v>
      </c>
      <c r="F580">
        <v>8</v>
      </c>
      <c r="G580" s="6">
        <v>170096</v>
      </c>
      <c r="H580">
        <f>COUNTBLANK(Sales_Data[[#This Row],[Revenue]])</f>
        <v>0</v>
      </c>
      <c r="I580">
        <f>COUNTBLANK(Sales_Data[[#This Row],[Quantity]])</f>
        <v>0</v>
      </c>
      <c r="J580" t="str">
        <f>TEXT(Sales_Data[[#This Row],[Date]],"yyyy-mm")</f>
        <v>2025-10</v>
      </c>
    </row>
    <row r="581" spans="1:10" x14ac:dyDescent="0.35">
      <c r="A581" t="s">
        <v>970</v>
      </c>
      <c r="B581" s="3">
        <v>45964</v>
      </c>
      <c r="C581" t="s">
        <v>41</v>
      </c>
      <c r="D581" t="s">
        <v>191</v>
      </c>
      <c r="E581" t="s">
        <v>394</v>
      </c>
      <c r="F581">
        <v>6</v>
      </c>
      <c r="G581" s="6">
        <v>127572</v>
      </c>
      <c r="H581">
        <f>COUNTBLANK(Sales_Data[[#This Row],[Revenue]])</f>
        <v>0</v>
      </c>
      <c r="I581">
        <f>COUNTBLANK(Sales_Data[[#This Row],[Quantity]])</f>
        <v>0</v>
      </c>
      <c r="J581" t="str">
        <f>TEXT(Sales_Data[[#This Row],[Date]],"yyyy-mm")</f>
        <v>2025-11</v>
      </c>
    </row>
    <row r="582" spans="1:10" x14ac:dyDescent="0.35">
      <c r="A582" t="s">
        <v>971</v>
      </c>
      <c r="B582" s="3">
        <v>45955</v>
      </c>
      <c r="C582" t="s">
        <v>27</v>
      </c>
      <c r="D582" t="s">
        <v>189</v>
      </c>
      <c r="E582" t="s">
        <v>403</v>
      </c>
      <c r="F582">
        <v>9</v>
      </c>
      <c r="G582" s="6">
        <v>339156</v>
      </c>
      <c r="H582">
        <f>COUNTBLANK(Sales_Data[[#This Row],[Revenue]])</f>
        <v>0</v>
      </c>
      <c r="I582">
        <f>COUNTBLANK(Sales_Data[[#This Row],[Quantity]])</f>
        <v>0</v>
      </c>
      <c r="J582" t="str">
        <f>TEXT(Sales_Data[[#This Row],[Date]],"yyyy-mm")</f>
        <v>2025-10</v>
      </c>
    </row>
    <row r="583" spans="1:10" x14ac:dyDescent="0.35">
      <c r="A583" t="s">
        <v>972</v>
      </c>
      <c r="B583" s="3">
        <v>45903</v>
      </c>
      <c r="C583" t="s">
        <v>41</v>
      </c>
      <c r="D583" t="s">
        <v>377</v>
      </c>
      <c r="E583" t="s">
        <v>391</v>
      </c>
      <c r="F583">
        <v>10</v>
      </c>
      <c r="G583" s="6">
        <v>212620</v>
      </c>
      <c r="H583">
        <f>COUNTBLANK(Sales_Data[[#This Row],[Revenue]])</f>
        <v>0</v>
      </c>
      <c r="I583">
        <f>COUNTBLANK(Sales_Data[[#This Row],[Quantity]])</f>
        <v>0</v>
      </c>
      <c r="J583" t="str">
        <f>TEXT(Sales_Data[[#This Row],[Date]],"yyyy-mm")</f>
        <v>2025-09</v>
      </c>
    </row>
    <row r="584" spans="1:10" x14ac:dyDescent="0.35">
      <c r="A584" t="s">
        <v>973</v>
      </c>
      <c r="B584" s="3">
        <v>45674</v>
      </c>
      <c r="C584" t="s">
        <v>39</v>
      </c>
      <c r="D584" t="s">
        <v>101</v>
      </c>
      <c r="E584" t="s">
        <v>391</v>
      </c>
      <c r="F584">
        <v>10</v>
      </c>
      <c r="G584" s="6">
        <v>482880</v>
      </c>
      <c r="H584">
        <f>COUNTBLANK(Sales_Data[[#This Row],[Revenue]])</f>
        <v>0</v>
      </c>
      <c r="I584">
        <f>COUNTBLANK(Sales_Data[[#This Row],[Quantity]])</f>
        <v>0</v>
      </c>
      <c r="J584" t="str">
        <f>TEXT(Sales_Data[[#This Row],[Date]],"yyyy-mm")</f>
        <v>2025-01</v>
      </c>
    </row>
    <row r="585" spans="1:10" x14ac:dyDescent="0.35">
      <c r="A585" t="s">
        <v>974</v>
      </c>
      <c r="B585" s="3">
        <v>45836</v>
      </c>
      <c r="C585" t="s">
        <v>37</v>
      </c>
      <c r="D585" t="s">
        <v>165</v>
      </c>
      <c r="E585" t="s">
        <v>389</v>
      </c>
      <c r="F585">
        <v>7</v>
      </c>
      <c r="G585" s="6">
        <v>13671</v>
      </c>
      <c r="H585">
        <f>COUNTBLANK(Sales_Data[[#This Row],[Revenue]])</f>
        <v>0</v>
      </c>
      <c r="I585">
        <f>COUNTBLANK(Sales_Data[[#This Row],[Quantity]])</f>
        <v>0</v>
      </c>
      <c r="J585" t="str">
        <f>TEXT(Sales_Data[[#This Row],[Date]],"yyyy-mm")</f>
        <v>2025-06</v>
      </c>
    </row>
    <row r="586" spans="1:10" x14ac:dyDescent="0.35">
      <c r="A586" t="s">
        <v>975</v>
      </c>
      <c r="B586" s="3">
        <v>45847</v>
      </c>
      <c r="C586" t="s">
        <v>63</v>
      </c>
      <c r="D586" t="s">
        <v>351</v>
      </c>
      <c r="E586" t="s">
        <v>403</v>
      </c>
      <c r="F586">
        <v>10</v>
      </c>
      <c r="G586" s="6">
        <v>87680</v>
      </c>
      <c r="H586">
        <f>COUNTBLANK(Sales_Data[[#This Row],[Revenue]])</f>
        <v>0</v>
      </c>
      <c r="I586">
        <f>COUNTBLANK(Sales_Data[[#This Row],[Quantity]])</f>
        <v>0</v>
      </c>
      <c r="J586" t="str">
        <f>TEXT(Sales_Data[[#This Row],[Date]],"yyyy-mm")</f>
        <v>2025-07</v>
      </c>
    </row>
    <row r="587" spans="1:10" x14ac:dyDescent="0.35">
      <c r="A587" t="s">
        <v>976</v>
      </c>
      <c r="B587" s="3">
        <v>45919</v>
      </c>
      <c r="C587" t="s">
        <v>53</v>
      </c>
      <c r="D587" t="s">
        <v>123</v>
      </c>
      <c r="E587" t="s">
        <v>403</v>
      </c>
      <c r="F587">
        <v>3</v>
      </c>
      <c r="G587" s="6">
        <v>12624</v>
      </c>
      <c r="H587">
        <f>COUNTBLANK(Sales_Data[[#This Row],[Revenue]])</f>
        <v>0</v>
      </c>
      <c r="I587">
        <f>COUNTBLANK(Sales_Data[[#This Row],[Quantity]])</f>
        <v>0</v>
      </c>
      <c r="J587" t="str">
        <f>TEXT(Sales_Data[[#This Row],[Date]],"yyyy-mm")</f>
        <v>2025-09</v>
      </c>
    </row>
    <row r="588" spans="1:10" x14ac:dyDescent="0.35">
      <c r="A588" t="s">
        <v>977</v>
      </c>
      <c r="B588" s="3">
        <v>45958</v>
      </c>
      <c r="C588" t="s">
        <v>7</v>
      </c>
      <c r="D588" t="s">
        <v>275</v>
      </c>
      <c r="E588" t="s">
        <v>387</v>
      </c>
      <c r="F588">
        <v>2</v>
      </c>
      <c r="G588" s="6">
        <v>52266</v>
      </c>
      <c r="H588">
        <f>COUNTBLANK(Sales_Data[[#This Row],[Revenue]])</f>
        <v>0</v>
      </c>
      <c r="I588">
        <f>COUNTBLANK(Sales_Data[[#This Row],[Quantity]])</f>
        <v>0</v>
      </c>
      <c r="J588" t="str">
        <f>TEXT(Sales_Data[[#This Row],[Date]],"yyyy-mm")</f>
        <v>2025-10</v>
      </c>
    </row>
    <row r="589" spans="1:10" x14ac:dyDescent="0.35">
      <c r="A589" t="s">
        <v>978</v>
      </c>
      <c r="B589" s="3">
        <v>45676</v>
      </c>
      <c r="C589" t="s">
        <v>63</v>
      </c>
      <c r="D589" t="s">
        <v>305</v>
      </c>
      <c r="E589" t="s">
        <v>391</v>
      </c>
      <c r="F589">
        <v>4</v>
      </c>
      <c r="G589" s="6">
        <v>35072</v>
      </c>
      <c r="H589">
        <f>COUNTBLANK(Sales_Data[[#This Row],[Revenue]])</f>
        <v>0</v>
      </c>
      <c r="I589">
        <f>COUNTBLANK(Sales_Data[[#This Row],[Quantity]])</f>
        <v>0</v>
      </c>
      <c r="J589" t="str">
        <f>TEXT(Sales_Data[[#This Row],[Date]],"yyyy-mm")</f>
        <v>2025-01</v>
      </c>
    </row>
    <row r="590" spans="1:10" x14ac:dyDescent="0.35">
      <c r="A590" t="s">
        <v>979</v>
      </c>
      <c r="B590" s="3">
        <v>45914</v>
      </c>
      <c r="C590" t="s">
        <v>37</v>
      </c>
      <c r="D590" t="s">
        <v>357</v>
      </c>
      <c r="E590" t="s">
        <v>391</v>
      </c>
      <c r="F590">
        <v>5</v>
      </c>
      <c r="G590" s="6">
        <v>9765</v>
      </c>
      <c r="H590">
        <f>COUNTBLANK(Sales_Data[[#This Row],[Revenue]])</f>
        <v>0</v>
      </c>
      <c r="I590">
        <f>COUNTBLANK(Sales_Data[[#This Row],[Quantity]])</f>
        <v>0</v>
      </c>
      <c r="J590" t="str">
        <f>TEXT(Sales_Data[[#This Row],[Date]],"yyyy-mm")</f>
        <v>2025-09</v>
      </c>
    </row>
    <row r="591" spans="1:10" x14ac:dyDescent="0.35">
      <c r="A591" t="s">
        <v>980</v>
      </c>
      <c r="B591" s="3">
        <v>45807</v>
      </c>
      <c r="C591" t="s">
        <v>49</v>
      </c>
      <c r="D591" t="s">
        <v>245</v>
      </c>
      <c r="E591" t="s">
        <v>387</v>
      </c>
      <c r="F591">
        <v>3</v>
      </c>
      <c r="G591" s="6">
        <v>136542</v>
      </c>
      <c r="H591">
        <f>COUNTBLANK(Sales_Data[[#This Row],[Revenue]])</f>
        <v>0</v>
      </c>
      <c r="I591">
        <f>COUNTBLANK(Sales_Data[[#This Row],[Quantity]])</f>
        <v>0</v>
      </c>
      <c r="J591" t="str">
        <f>TEXT(Sales_Data[[#This Row],[Date]],"yyyy-mm")</f>
        <v>2025-05</v>
      </c>
    </row>
    <row r="592" spans="1:10" x14ac:dyDescent="0.35">
      <c r="A592" t="s">
        <v>981</v>
      </c>
      <c r="B592" s="3">
        <v>45909</v>
      </c>
      <c r="C592" t="s">
        <v>55</v>
      </c>
      <c r="D592" t="s">
        <v>225</v>
      </c>
      <c r="E592" t="s">
        <v>389</v>
      </c>
      <c r="F592">
        <v>6</v>
      </c>
      <c r="G592" s="6">
        <v>68490</v>
      </c>
      <c r="H592">
        <f>COUNTBLANK(Sales_Data[[#This Row],[Revenue]])</f>
        <v>0</v>
      </c>
      <c r="I592">
        <f>COUNTBLANK(Sales_Data[[#This Row],[Quantity]])</f>
        <v>0</v>
      </c>
      <c r="J592" t="str">
        <f>TEXT(Sales_Data[[#This Row],[Date]],"yyyy-mm")</f>
        <v>2025-09</v>
      </c>
    </row>
    <row r="593" spans="1:10" x14ac:dyDescent="0.35">
      <c r="A593" t="s">
        <v>982</v>
      </c>
      <c r="B593" s="3">
        <v>45873</v>
      </c>
      <c r="C593" t="s">
        <v>35</v>
      </c>
      <c r="D593" t="s">
        <v>165</v>
      </c>
      <c r="E593" t="s">
        <v>391</v>
      </c>
      <c r="F593">
        <v>7</v>
      </c>
      <c r="G593" s="6">
        <v>346220</v>
      </c>
      <c r="H593">
        <f>COUNTBLANK(Sales_Data[[#This Row],[Revenue]])</f>
        <v>0</v>
      </c>
      <c r="I593">
        <f>COUNTBLANK(Sales_Data[[#This Row],[Quantity]])</f>
        <v>0</v>
      </c>
      <c r="J593" t="str">
        <f>TEXT(Sales_Data[[#This Row],[Date]],"yyyy-mm")</f>
        <v>2025-08</v>
      </c>
    </row>
    <row r="594" spans="1:10" x14ac:dyDescent="0.35">
      <c r="A594" t="s">
        <v>983</v>
      </c>
      <c r="B594" s="3">
        <v>45683</v>
      </c>
      <c r="C594" t="s">
        <v>43</v>
      </c>
      <c r="D594" t="s">
        <v>239</v>
      </c>
      <c r="E594" t="s">
        <v>391</v>
      </c>
      <c r="F594">
        <v>6</v>
      </c>
      <c r="G594" s="6">
        <v>226950</v>
      </c>
      <c r="H594">
        <f>COUNTBLANK(Sales_Data[[#This Row],[Revenue]])</f>
        <v>0</v>
      </c>
      <c r="I594">
        <f>COUNTBLANK(Sales_Data[[#This Row],[Quantity]])</f>
        <v>0</v>
      </c>
      <c r="J594" t="str">
        <f>TEXT(Sales_Data[[#This Row],[Date]],"yyyy-mm")</f>
        <v>2025-01</v>
      </c>
    </row>
    <row r="595" spans="1:10" x14ac:dyDescent="0.35">
      <c r="A595" t="s">
        <v>984</v>
      </c>
      <c r="B595" s="3">
        <v>45737</v>
      </c>
      <c r="C595" t="s">
        <v>37</v>
      </c>
      <c r="D595" t="s">
        <v>281</v>
      </c>
      <c r="E595" t="s">
        <v>391</v>
      </c>
      <c r="F595">
        <v>9</v>
      </c>
      <c r="G595" s="6">
        <v>17577</v>
      </c>
      <c r="H595">
        <f>COUNTBLANK(Sales_Data[[#This Row],[Revenue]])</f>
        <v>0</v>
      </c>
      <c r="I595">
        <f>COUNTBLANK(Sales_Data[[#This Row],[Quantity]])</f>
        <v>0</v>
      </c>
      <c r="J595" t="str">
        <f>TEXT(Sales_Data[[#This Row],[Date]],"yyyy-mm")</f>
        <v>2025-03</v>
      </c>
    </row>
    <row r="596" spans="1:10" x14ac:dyDescent="0.35">
      <c r="A596" t="s">
        <v>985</v>
      </c>
      <c r="B596" s="3">
        <v>45958</v>
      </c>
      <c r="C596" t="s">
        <v>13</v>
      </c>
      <c r="D596" t="s">
        <v>199</v>
      </c>
      <c r="E596" t="s">
        <v>403</v>
      </c>
      <c r="F596">
        <v>3</v>
      </c>
      <c r="G596" s="6">
        <v>90531</v>
      </c>
      <c r="H596">
        <f>COUNTBLANK(Sales_Data[[#This Row],[Revenue]])</f>
        <v>0</v>
      </c>
      <c r="I596">
        <f>COUNTBLANK(Sales_Data[[#This Row],[Quantity]])</f>
        <v>0</v>
      </c>
      <c r="J596" t="str">
        <f>TEXT(Sales_Data[[#This Row],[Date]],"yyyy-mm")</f>
        <v>2025-10</v>
      </c>
    </row>
    <row r="597" spans="1:10" x14ac:dyDescent="0.35">
      <c r="A597" t="s">
        <v>986</v>
      </c>
      <c r="B597" s="3">
        <v>45873</v>
      </c>
      <c r="C597" t="s">
        <v>47</v>
      </c>
      <c r="D597" t="s">
        <v>203</v>
      </c>
      <c r="E597" t="s">
        <v>389</v>
      </c>
      <c r="F597">
        <v>1</v>
      </c>
      <c r="G597" s="6">
        <v>22062</v>
      </c>
      <c r="H597">
        <f>COUNTBLANK(Sales_Data[[#This Row],[Revenue]])</f>
        <v>0</v>
      </c>
      <c r="I597">
        <f>COUNTBLANK(Sales_Data[[#This Row],[Quantity]])</f>
        <v>0</v>
      </c>
      <c r="J597" t="str">
        <f>TEXT(Sales_Data[[#This Row],[Date]],"yyyy-mm")</f>
        <v>2025-08</v>
      </c>
    </row>
    <row r="598" spans="1:10" x14ac:dyDescent="0.35">
      <c r="A598" t="s">
        <v>987</v>
      </c>
      <c r="B598" s="3">
        <v>45706</v>
      </c>
      <c r="C598" t="s">
        <v>23</v>
      </c>
      <c r="D598" t="s">
        <v>157</v>
      </c>
      <c r="E598" t="s">
        <v>389</v>
      </c>
      <c r="F598">
        <v>6</v>
      </c>
      <c r="G598" s="6">
        <v>36414</v>
      </c>
      <c r="H598">
        <f>COUNTBLANK(Sales_Data[[#This Row],[Revenue]])</f>
        <v>0</v>
      </c>
      <c r="I598">
        <f>COUNTBLANK(Sales_Data[[#This Row],[Quantity]])</f>
        <v>0</v>
      </c>
      <c r="J598" t="str">
        <f>TEXT(Sales_Data[[#This Row],[Date]],"yyyy-mm")</f>
        <v>2025-02</v>
      </c>
    </row>
    <row r="599" spans="1:10" x14ac:dyDescent="0.35">
      <c r="A599" t="s">
        <v>988</v>
      </c>
      <c r="B599" s="3">
        <v>45842</v>
      </c>
      <c r="C599" t="s">
        <v>65</v>
      </c>
      <c r="D599" t="s">
        <v>379</v>
      </c>
      <c r="E599" t="s">
        <v>403</v>
      </c>
      <c r="F599">
        <v>5</v>
      </c>
      <c r="G599" s="6">
        <v>2725</v>
      </c>
      <c r="H599">
        <f>COUNTBLANK(Sales_Data[[#This Row],[Revenue]])</f>
        <v>0</v>
      </c>
      <c r="I599">
        <f>COUNTBLANK(Sales_Data[[#This Row],[Quantity]])</f>
        <v>0</v>
      </c>
      <c r="J599" t="str">
        <f>TEXT(Sales_Data[[#This Row],[Date]],"yyyy-mm")</f>
        <v>2025-07</v>
      </c>
    </row>
    <row r="600" spans="1:10" x14ac:dyDescent="0.35">
      <c r="A600" t="s">
        <v>989</v>
      </c>
      <c r="B600" s="3">
        <v>45810</v>
      </c>
      <c r="C600" t="s">
        <v>49</v>
      </c>
      <c r="D600" t="s">
        <v>203</v>
      </c>
      <c r="E600" t="s">
        <v>391</v>
      </c>
      <c r="F600">
        <v>9</v>
      </c>
      <c r="G600" s="6">
        <v>409626</v>
      </c>
      <c r="H600">
        <f>COUNTBLANK(Sales_Data[[#This Row],[Revenue]])</f>
        <v>0</v>
      </c>
      <c r="I600">
        <f>COUNTBLANK(Sales_Data[[#This Row],[Quantity]])</f>
        <v>0</v>
      </c>
      <c r="J600" t="str">
        <f>TEXT(Sales_Data[[#This Row],[Date]],"yyyy-mm")</f>
        <v>2025-06</v>
      </c>
    </row>
    <row r="601" spans="1:10" x14ac:dyDescent="0.35">
      <c r="A601" t="s">
        <v>990</v>
      </c>
      <c r="B601" s="3">
        <v>45787</v>
      </c>
      <c r="C601" t="s">
        <v>29</v>
      </c>
      <c r="D601" t="s">
        <v>321</v>
      </c>
      <c r="E601" t="s">
        <v>387</v>
      </c>
      <c r="F601">
        <v>5</v>
      </c>
      <c r="G601" s="6">
        <v>213220</v>
      </c>
      <c r="H601">
        <f>COUNTBLANK(Sales_Data[[#This Row],[Revenue]])</f>
        <v>0</v>
      </c>
      <c r="I601">
        <f>COUNTBLANK(Sales_Data[[#This Row],[Quantity]])</f>
        <v>0</v>
      </c>
      <c r="J601" t="str">
        <f>TEXT(Sales_Data[[#This Row],[Date]],"yyyy-mm")</f>
        <v>2025-05</v>
      </c>
    </row>
    <row r="602" spans="1:10" x14ac:dyDescent="0.35">
      <c r="A602" t="s">
        <v>991</v>
      </c>
      <c r="B602" s="3">
        <v>45675</v>
      </c>
      <c r="C602" t="s">
        <v>4</v>
      </c>
      <c r="D602" t="s">
        <v>151</v>
      </c>
      <c r="E602" t="s">
        <v>403</v>
      </c>
      <c r="F602">
        <v>7</v>
      </c>
      <c r="G602" s="6">
        <v>82705</v>
      </c>
      <c r="H602">
        <f>COUNTBLANK(Sales_Data[[#This Row],[Revenue]])</f>
        <v>0</v>
      </c>
      <c r="I602">
        <f>COUNTBLANK(Sales_Data[[#This Row],[Quantity]])</f>
        <v>0</v>
      </c>
      <c r="J602" t="str">
        <f>TEXT(Sales_Data[[#This Row],[Date]],"yyyy-mm")</f>
        <v>2025-01</v>
      </c>
    </row>
    <row r="603" spans="1:10" x14ac:dyDescent="0.35">
      <c r="A603" t="s">
        <v>992</v>
      </c>
      <c r="B603" s="3">
        <v>45967</v>
      </c>
      <c r="C603" t="s">
        <v>39</v>
      </c>
      <c r="D603" t="s">
        <v>241</v>
      </c>
      <c r="E603" t="s">
        <v>389</v>
      </c>
      <c r="F603">
        <v>10</v>
      </c>
      <c r="G603" s="6">
        <v>482880</v>
      </c>
      <c r="H603">
        <f>COUNTBLANK(Sales_Data[[#This Row],[Revenue]])</f>
        <v>0</v>
      </c>
      <c r="I603">
        <f>COUNTBLANK(Sales_Data[[#This Row],[Quantity]])</f>
        <v>0</v>
      </c>
      <c r="J603" t="str">
        <f>TEXT(Sales_Data[[#This Row],[Date]],"yyyy-mm")</f>
        <v>2025-11</v>
      </c>
    </row>
    <row r="604" spans="1:10" x14ac:dyDescent="0.35">
      <c r="A604" t="s">
        <v>993</v>
      </c>
      <c r="B604" s="3">
        <v>46001</v>
      </c>
      <c r="C604" t="s">
        <v>29</v>
      </c>
      <c r="D604" t="s">
        <v>319</v>
      </c>
      <c r="E604" t="s">
        <v>394</v>
      </c>
      <c r="F604">
        <v>7</v>
      </c>
      <c r="G604" s="6">
        <v>298508</v>
      </c>
      <c r="H604">
        <f>COUNTBLANK(Sales_Data[[#This Row],[Revenue]])</f>
        <v>0</v>
      </c>
      <c r="I604">
        <f>COUNTBLANK(Sales_Data[[#This Row],[Quantity]])</f>
        <v>0</v>
      </c>
      <c r="J604" t="str">
        <f>TEXT(Sales_Data[[#This Row],[Date]],"yyyy-mm")</f>
        <v>2025-12</v>
      </c>
    </row>
    <row r="605" spans="1:10" x14ac:dyDescent="0.35">
      <c r="A605" t="s">
        <v>994</v>
      </c>
      <c r="B605" s="3">
        <v>45702</v>
      </c>
      <c r="C605" t="s">
        <v>45</v>
      </c>
      <c r="D605" t="s">
        <v>359</v>
      </c>
      <c r="E605" t="s">
        <v>387</v>
      </c>
      <c r="F605">
        <v>2</v>
      </c>
      <c r="G605" s="6">
        <v>15652</v>
      </c>
      <c r="H605">
        <f>COUNTBLANK(Sales_Data[[#This Row],[Revenue]])</f>
        <v>0</v>
      </c>
      <c r="I605">
        <f>COUNTBLANK(Sales_Data[[#This Row],[Quantity]])</f>
        <v>0</v>
      </c>
      <c r="J605" t="str">
        <f>TEXT(Sales_Data[[#This Row],[Date]],"yyyy-mm")</f>
        <v>2025-02</v>
      </c>
    </row>
    <row r="606" spans="1:10" x14ac:dyDescent="0.35">
      <c r="A606" t="s">
        <v>995</v>
      </c>
      <c r="B606" s="3">
        <v>45787</v>
      </c>
      <c r="C606" t="s">
        <v>41</v>
      </c>
      <c r="D606" t="s">
        <v>255</v>
      </c>
      <c r="E606" t="s">
        <v>394</v>
      </c>
      <c r="F606">
        <v>2</v>
      </c>
      <c r="G606" s="6">
        <v>42524</v>
      </c>
      <c r="H606">
        <f>COUNTBLANK(Sales_Data[[#This Row],[Revenue]])</f>
        <v>0</v>
      </c>
      <c r="I606">
        <f>COUNTBLANK(Sales_Data[[#This Row],[Quantity]])</f>
        <v>0</v>
      </c>
      <c r="J606" t="str">
        <f>TEXT(Sales_Data[[#This Row],[Date]],"yyyy-mm")</f>
        <v>2025-05</v>
      </c>
    </row>
    <row r="607" spans="1:10" x14ac:dyDescent="0.35">
      <c r="A607" t="s">
        <v>996</v>
      </c>
      <c r="B607" s="3">
        <v>46012</v>
      </c>
      <c r="C607" t="s">
        <v>49</v>
      </c>
      <c r="D607" t="s">
        <v>191</v>
      </c>
      <c r="E607" t="s">
        <v>387</v>
      </c>
      <c r="F607">
        <v>6</v>
      </c>
      <c r="G607" s="6">
        <v>273084</v>
      </c>
      <c r="H607">
        <f>COUNTBLANK(Sales_Data[[#This Row],[Revenue]])</f>
        <v>0</v>
      </c>
      <c r="I607">
        <f>COUNTBLANK(Sales_Data[[#This Row],[Quantity]])</f>
        <v>0</v>
      </c>
      <c r="J607" t="str">
        <f>TEXT(Sales_Data[[#This Row],[Date]],"yyyy-mm")</f>
        <v>2025-12</v>
      </c>
    </row>
    <row r="608" spans="1:10" x14ac:dyDescent="0.35">
      <c r="A608" t="s">
        <v>997</v>
      </c>
      <c r="B608" s="3">
        <v>45962</v>
      </c>
      <c r="C608" t="s">
        <v>10</v>
      </c>
      <c r="D608" t="s">
        <v>327</v>
      </c>
      <c r="E608" t="s">
        <v>394</v>
      </c>
      <c r="F608">
        <v>3</v>
      </c>
      <c r="G608" s="6">
        <v>13548</v>
      </c>
      <c r="H608">
        <f>COUNTBLANK(Sales_Data[[#This Row],[Revenue]])</f>
        <v>0</v>
      </c>
      <c r="I608">
        <f>COUNTBLANK(Sales_Data[[#This Row],[Quantity]])</f>
        <v>0</v>
      </c>
      <c r="J608" t="str">
        <f>TEXT(Sales_Data[[#This Row],[Date]],"yyyy-mm")</f>
        <v>2025-11</v>
      </c>
    </row>
    <row r="609" spans="1:10" x14ac:dyDescent="0.35">
      <c r="A609" t="s">
        <v>998</v>
      </c>
      <c r="B609" s="3">
        <v>45682</v>
      </c>
      <c r="C609" t="s">
        <v>59</v>
      </c>
      <c r="D609" t="s">
        <v>133</v>
      </c>
      <c r="E609" t="s">
        <v>403</v>
      </c>
      <c r="F609">
        <v>2</v>
      </c>
      <c r="G609" s="6">
        <v>96212</v>
      </c>
      <c r="H609">
        <f>COUNTBLANK(Sales_Data[[#This Row],[Revenue]])</f>
        <v>0</v>
      </c>
      <c r="I609">
        <f>COUNTBLANK(Sales_Data[[#This Row],[Quantity]])</f>
        <v>0</v>
      </c>
      <c r="J609" t="str">
        <f>TEXT(Sales_Data[[#This Row],[Date]],"yyyy-mm")</f>
        <v>2025-01</v>
      </c>
    </row>
    <row r="610" spans="1:10" x14ac:dyDescent="0.35">
      <c r="A610" t="s">
        <v>999</v>
      </c>
      <c r="B610" s="3">
        <v>45726</v>
      </c>
      <c r="C610" t="s">
        <v>53</v>
      </c>
      <c r="D610" t="s">
        <v>117</v>
      </c>
      <c r="E610" t="s">
        <v>387</v>
      </c>
      <c r="F610">
        <v>6</v>
      </c>
      <c r="G610" s="6">
        <v>25248</v>
      </c>
      <c r="H610">
        <f>COUNTBLANK(Sales_Data[[#This Row],[Revenue]])</f>
        <v>0</v>
      </c>
      <c r="I610">
        <f>COUNTBLANK(Sales_Data[[#This Row],[Quantity]])</f>
        <v>0</v>
      </c>
      <c r="J610" t="str">
        <f>TEXT(Sales_Data[[#This Row],[Date]],"yyyy-mm")</f>
        <v>2025-03</v>
      </c>
    </row>
    <row r="611" spans="1:10" x14ac:dyDescent="0.35">
      <c r="A611" t="s">
        <v>1000</v>
      </c>
      <c r="B611" s="3">
        <v>45972</v>
      </c>
      <c r="C611" t="s">
        <v>53</v>
      </c>
      <c r="D611" t="s">
        <v>285</v>
      </c>
      <c r="E611" t="s">
        <v>403</v>
      </c>
      <c r="F611">
        <v>1</v>
      </c>
      <c r="G611" s="6">
        <v>4208</v>
      </c>
      <c r="H611">
        <f>COUNTBLANK(Sales_Data[[#This Row],[Revenue]])</f>
        <v>0</v>
      </c>
      <c r="I611">
        <f>COUNTBLANK(Sales_Data[[#This Row],[Quantity]])</f>
        <v>0</v>
      </c>
      <c r="J611" t="str">
        <f>TEXT(Sales_Data[[#This Row],[Date]],"yyyy-mm")</f>
        <v>2025-11</v>
      </c>
    </row>
    <row r="612" spans="1:10" x14ac:dyDescent="0.35">
      <c r="A612" t="s">
        <v>1001</v>
      </c>
      <c r="B612" s="3">
        <v>45940</v>
      </c>
      <c r="C612" t="s">
        <v>31</v>
      </c>
      <c r="D612" t="s">
        <v>359</v>
      </c>
      <c r="E612" t="s">
        <v>387</v>
      </c>
      <c r="F612">
        <v>3</v>
      </c>
      <c r="G612" s="6">
        <v>89898</v>
      </c>
      <c r="H612">
        <f>COUNTBLANK(Sales_Data[[#This Row],[Revenue]])</f>
        <v>0</v>
      </c>
      <c r="I612">
        <f>COUNTBLANK(Sales_Data[[#This Row],[Quantity]])</f>
        <v>0</v>
      </c>
      <c r="J612" t="str">
        <f>TEXT(Sales_Data[[#This Row],[Date]],"yyyy-mm")</f>
        <v>2025-10</v>
      </c>
    </row>
    <row r="613" spans="1:10" x14ac:dyDescent="0.35">
      <c r="A613" t="s">
        <v>1002</v>
      </c>
      <c r="B613" s="3">
        <v>45942</v>
      </c>
      <c r="C613" t="s">
        <v>45</v>
      </c>
      <c r="D613" t="s">
        <v>163</v>
      </c>
      <c r="E613" t="s">
        <v>403</v>
      </c>
      <c r="F613">
        <v>1</v>
      </c>
      <c r="G613" s="6">
        <v>7826</v>
      </c>
      <c r="H613">
        <f>COUNTBLANK(Sales_Data[[#This Row],[Revenue]])</f>
        <v>0</v>
      </c>
      <c r="I613">
        <f>COUNTBLANK(Sales_Data[[#This Row],[Quantity]])</f>
        <v>0</v>
      </c>
      <c r="J613" t="str">
        <f>TEXT(Sales_Data[[#This Row],[Date]],"yyyy-mm")</f>
        <v>2025-10</v>
      </c>
    </row>
    <row r="614" spans="1:10" x14ac:dyDescent="0.35">
      <c r="A614" t="s">
        <v>1003</v>
      </c>
      <c r="B614" s="3">
        <v>45931</v>
      </c>
      <c r="C614" t="s">
        <v>35</v>
      </c>
      <c r="D614" t="s">
        <v>277</v>
      </c>
      <c r="E614" t="s">
        <v>389</v>
      </c>
      <c r="F614">
        <v>3</v>
      </c>
      <c r="G614" s="6">
        <v>148380</v>
      </c>
      <c r="H614">
        <f>COUNTBLANK(Sales_Data[[#This Row],[Revenue]])</f>
        <v>0</v>
      </c>
      <c r="I614">
        <f>COUNTBLANK(Sales_Data[[#This Row],[Quantity]])</f>
        <v>0</v>
      </c>
      <c r="J614" t="str">
        <f>TEXT(Sales_Data[[#This Row],[Date]],"yyyy-mm")</f>
        <v>2025-10</v>
      </c>
    </row>
    <row r="615" spans="1:10" x14ac:dyDescent="0.35">
      <c r="A615" t="s">
        <v>1004</v>
      </c>
      <c r="B615" s="3">
        <v>45883</v>
      </c>
      <c r="C615" t="s">
        <v>33</v>
      </c>
      <c r="D615" t="s">
        <v>247</v>
      </c>
      <c r="E615" t="s">
        <v>391</v>
      </c>
      <c r="F615">
        <v>4</v>
      </c>
      <c r="G615" s="6">
        <v>145012</v>
      </c>
      <c r="H615">
        <f>COUNTBLANK(Sales_Data[[#This Row],[Revenue]])</f>
        <v>0</v>
      </c>
      <c r="I615">
        <f>COUNTBLANK(Sales_Data[[#This Row],[Quantity]])</f>
        <v>0</v>
      </c>
      <c r="J615" t="str">
        <f>TEXT(Sales_Data[[#This Row],[Date]],"yyyy-mm")</f>
        <v>2025-08</v>
      </c>
    </row>
    <row r="616" spans="1:10" x14ac:dyDescent="0.35">
      <c r="A616" t="s">
        <v>1005</v>
      </c>
      <c r="B616" s="3">
        <v>45903</v>
      </c>
      <c r="C616" t="s">
        <v>63</v>
      </c>
      <c r="D616" t="s">
        <v>74</v>
      </c>
      <c r="E616" t="s">
        <v>391</v>
      </c>
      <c r="F616">
        <v>7</v>
      </c>
      <c r="G616" s="6">
        <v>61376</v>
      </c>
      <c r="H616">
        <f>COUNTBLANK(Sales_Data[[#This Row],[Revenue]])</f>
        <v>0</v>
      </c>
      <c r="I616">
        <f>COUNTBLANK(Sales_Data[[#This Row],[Quantity]])</f>
        <v>0</v>
      </c>
      <c r="J616" t="str">
        <f>TEXT(Sales_Data[[#This Row],[Date]],"yyyy-mm")</f>
        <v>2025-09</v>
      </c>
    </row>
    <row r="617" spans="1:10" x14ac:dyDescent="0.35">
      <c r="A617" t="s">
        <v>1006</v>
      </c>
      <c r="B617" s="3">
        <v>45686</v>
      </c>
      <c r="C617" t="s">
        <v>47</v>
      </c>
      <c r="D617" t="s">
        <v>115</v>
      </c>
      <c r="E617" t="s">
        <v>389</v>
      </c>
      <c r="F617">
        <v>3</v>
      </c>
      <c r="G617" s="6">
        <v>66186</v>
      </c>
      <c r="H617">
        <f>COUNTBLANK(Sales_Data[[#This Row],[Revenue]])</f>
        <v>0</v>
      </c>
      <c r="I617">
        <f>COUNTBLANK(Sales_Data[[#This Row],[Quantity]])</f>
        <v>0</v>
      </c>
      <c r="J617" t="str">
        <f>TEXT(Sales_Data[[#This Row],[Date]],"yyyy-mm")</f>
        <v>2025-01</v>
      </c>
    </row>
    <row r="618" spans="1:10" x14ac:dyDescent="0.35">
      <c r="A618" t="s">
        <v>1007</v>
      </c>
      <c r="B618" s="3">
        <v>45802</v>
      </c>
      <c r="C618" t="s">
        <v>49</v>
      </c>
      <c r="D618" t="s">
        <v>223</v>
      </c>
      <c r="E618" t="s">
        <v>389</v>
      </c>
      <c r="F618">
        <v>9</v>
      </c>
      <c r="G618" s="6">
        <v>409626</v>
      </c>
      <c r="H618">
        <f>COUNTBLANK(Sales_Data[[#This Row],[Revenue]])</f>
        <v>0</v>
      </c>
      <c r="I618">
        <f>COUNTBLANK(Sales_Data[[#This Row],[Quantity]])</f>
        <v>0</v>
      </c>
      <c r="J618" t="str">
        <f>TEXT(Sales_Data[[#This Row],[Date]],"yyyy-mm")</f>
        <v>2025-05</v>
      </c>
    </row>
    <row r="619" spans="1:10" x14ac:dyDescent="0.35">
      <c r="A619" t="s">
        <v>1008</v>
      </c>
      <c r="B619" s="3">
        <v>46007</v>
      </c>
      <c r="C619" t="s">
        <v>55</v>
      </c>
      <c r="D619" t="s">
        <v>357</v>
      </c>
      <c r="E619" t="s">
        <v>387</v>
      </c>
      <c r="F619">
        <v>5</v>
      </c>
      <c r="G619" s="6">
        <v>57075</v>
      </c>
      <c r="H619">
        <f>COUNTBLANK(Sales_Data[[#This Row],[Revenue]])</f>
        <v>0</v>
      </c>
      <c r="I619">
        <f>COUNTBLANK(Sales_Data[[#This Row],[Quantity]])</f>
        <v>0</v>
      </c>
      <c r="J619" t="str">
        <f>TEXT(Sales_Data[[#This Row],[Date]],"yyyy-mm")</f>
        <v>2025-12</v>
      </c>
    </row>
    <row r="620" spans="1:10" x14ac:dyDescent="0.35">
      <c r="A620" t="s">
        <v>1009</v>
      </c>
      <c r="B620" s="3">
        <v>46008</v>
      </c>
      <c r="C620" t="s">
        <v>19</v>
      </c>
      <c r="D620" t="s">
        <v>125</v>
      </c>
      <c r="E620" t="s">
        <v>391</v>
      </c>
      <c r="F620">
        <v>4</v>
      </c>
      <c r="G620" s="6">
        <v>168636</v>
      </c>
      <c r="H620">
        <f>COUNTBLANK(Sales_Data[[#This Row],[Revenue]])</f>
        <v>0</v>
      </c>
      <c r="I620">
        <f>COUNTBLANK(Sales_Data[[#This Row],[Quantity]])</f>
        <v>0</v>
      </c>
      <c r="J620" t="str">
        <f>TEXT(Sales_Data[[#This Row],[Date]],"yyyy-mm")</f>
        <v>2025-12</v>
      </c>
    </row>
    <row r="621" spans="1:10" x14ac:dyDescent="0.35">
      <c r="A621" t="s">
        <v>1010</v>
      </c>
      <c r="B621" s="3">
        <v>46002</v>
      </c>
      <c r="C621" t="s">
        <v>37</v>
      </c>
      <c r="D621" t="s">
        <v>349</v>
      </c>
      <c r="E621" t="s">
        <v>394</v>
      </c>
      <c r="F621">
        <v>9</v>
      </c>
      <c r="G621" s="6">
        <v>17577</v>
      </c>
      <c r="H621">
        <f>COUNTBLANK(Sales_Data[[#This Row],[Revenue]])</f>
        <v>0</v>
      </c>
      <c r="I621">
        <f>COUNTBLANK(Sales_Data[[#This Row],[Quantity]])</f>
        <v>0</v>
      </c>
      <c r="J621" t="str">
        <f>TEXT(Sales_Data[[#This Row],[Date]],"yyyy-mm")</f>
        <v>2025-12</v>
      </c>
    </row>
    <row r="622" spans="1:10" x14ac:dyDescent="0.35">
      <c r="A622" t="s">
        <v>1011</v>
      </c>
      <c r="B622" s="3">
        <v>45711</v>
      </c>
      <c r="C622" t="s">
        <v>19</v>
      </c>
      <c r="D622" t="s">
        <v>203</v>
      </c>
      <c r="E622" t="s">
        <v>394</v>
      </c>
      <c r="F622">
        <v>3</v>
      </c>
      <c r="G622" s="6">
        <v>126477</v>
      </c>
      <c r="H622">
        <f>COUNTBLANK(Sales_Data[[#This Row],[Revenue]])</f>
        <v>0</v>
      </c>
      <c r="I622">
        <f>COUNTBLANK(Sales_Data[[#This Row],[Quantity]])</f>
        <v>0</v>
      </c>
      <c r="J622" t="str">
        <f>TEXT(Sales_Data[[#This Row],[Date]],"yyyy-mm")</f>
        <v>2025-02</v>
      </c>
    </row>
    <row r="623" spans="1:10" x14ac:dyDescent="0.35">
      <c r="A623" t="s">
        <v>1012</v>
      </c>
      <c r="B623" s="3">
        <v>45834</v>
      </c>
      <c r="C623" t="s">
        <v>47</v>
      </c>
      <c r="D623" t="s">
        <v>313</v>
      </c>
      <c r="E623" t="s">
        <v>389</v>
      </c>
      <c r="F623">
        <v>6</v>
      </c>
      <c r="G623" s="6">
        <v>132372</v>
      </c>
      <c r="H623">
        <f>COUNTBLANK(Sales_Data[[#This Row],[Revenue]])</f>
        <v>0</v>
      </c>
      <c r="I623">
        <f>COUNTBLANK(Sales_Data[[#This Row],[Quantity]])</f>
        <v>0</v>
      </c>
      <c r="J623" t="str">
        <f>TEXT(Sales_Data[[#This Row],[Date]],"yyyy-mm")</f>
        <v>2025-06</v>
      </c>
    </row>
    <row r="624" spans="1:10" x14ac:dyDescent="0.35">
      <c r="A624" t="s">
        <v>1013</v>
      </c>
      <c r="B624" s="3">
        <v>45676</v>
      </c>
      <c r="C624" t="s">
        <v>4</v>
      </c>
      <c r="D624" t="s">
        <v>353</v>
      </c>
      <c r="E624" t="s">
        <v>389</v>
      </c>
      <c r="F624">
        <v>5</v>
      </c>
      <c r="G624" s="6">
        <v>59075</v>
      </c>
      <c r="H624">
        <f>COUNTBLANK(Sales_Data[[#This Row],[Revenue]])</f>
        <v>0</v>
      </c>
      <c r="I624">
        <f>COUNTBLANK(Sales_Data[[#This Row],[Quantity]])</f>
        <v>0</v>
      </c>
      <c r="J624" t="str">
        <f>TEXT(Sales_Data[[#This Row],[Date]],"yyyy-mm")</f>
        <v>2025-01</v>
      </c>
    </row>
    <row r="625" spans="1:10" x14ac:dyDescent="0.35">
      <c r="A625" t="s">
        <v>1014</v>
      </c>
      <c r="B625" s="3">
        <v>45947</v>
      </c>
      <c r="C625" t="s">
        <v>35</v>
      </c>
      <c r="D625" t="s">
        <v>159</v>
      </c>
      <c r="E625" t="s">
        <v>394</v>
      </c>
      <c r="F625">
        <v>5</v>
      </c>
      <c r="G625" s="6">
        <v>247300</v>
      </c>
      <c r="H625">
        <f>COUNTBLANK(Sales_Data[[#This Row],[Revenue]])</f>
        <v>0</v>
      </c>
      <c r="I625">
        <f>COUNTBLANK(Sales_Data[[#This Row],[Quantity]])</f>
        <v>0</v>
      </c>
      <c r="J625" t="str">
        <f>TEXT(Sales_Data[[#This Row],[Date]],"yyyy-mm")</f>
        <v>2025-10</v>
      </c>
    </row>
    <row r="626" spans="1:10" x14ac:dyDescent="0.35">
      <c r="A626" t="s">
        <v>1015</v>
      </c>
      <c r="B626" s="3">
        <v>45945</v>
      </c>
      <c r="C626" t="s">
        <v>57</v>
      </c>
      <c r="D626" t="s">
        <v>341</v>
      </c>
      <c r="E626" t="s">
        <v>389</v>
      </c>
      <c r="F626">
        <v>9</v>
      </c>
      <c r="G626" s="6">
        <v>439101</v>
      </c>
      <c r="H626">
        <f>COUNTBLANK(Sales_Data[[#This Row],[Revenue]])</f>
        <v>0</v>
      </c>
      <c r="I626">
        <f>COUNTBLANK(Sales_Data[[#This Row],[Quantity]])</f>
        <v>0</v>
      </c>
      <c r="J626" t="str">
        <f>TEXT(Sales_Data[[#This Row],[Date]],"yyyy-mm")</f>
        <v>2025-10</v>
      </c>
    </row>
    <row r="627" spans="1:10" x14ac:dyDescent="0.35">
      <c r="A627" t="s">
        <v>1016</v>
      </c>
      <c r="B627" s="3">
        <v>45802</v>
      </c>
      <c r="C627" t="s">
        <v>29</v>
      </c>
      <c r="D627" t="s">
        <v>203</v>
      </c>
      <c r="E627" t="s">
        <v>389</v>
      </c>
      <c r="F627">
        <v>5</v>
      </c>
      <c r="G627" s="6">
        <v>213220</v>
      </c>
      <c r="H627">
        <f>COUNTBLANK(Sales_Data[[#This Row],[Revenue]])</f>
        <v>0</v>
      </c>
      <c r="I627">
        <f>COUNTBLANK(Sales_Data[[#This Row],[Quantity]])</f>
        <v>0</v>
      </c>
      <c r="J627" t="str">
        <f>TEXT(Sales_Data[[#This Row],[Date]],"yyyy-mm")</f>
        <v>2025-05</v>
      </c>
    </row>
    <row r="628" spans="1:10" x14ac:dyDescent="0.35">
      <c r="A628" t="s">
        <v>1017</v>
      </c>
      <c r="B628" s="3">
        <v>45786</v>
      </c>
      <c r="C628" t="s">
        <v>63</v>
      </c>
      <c r="D628" t="s">
        <v>111</v>
      </c>
      <c r="E628" t="s">
        <v>391</v>
      </c>
      <c r="F628">
        <v>5</v>
      </c>
      <c r="G628" s="6">
        <v>43840</v>
      </c>
      <c r="H628">
        <f>COUNTBLANK(Sales_Data[[#This Row],[Revenue]])</f>
        <v>0</v>
      </c>
      <c r="I628">
        <f>COUNTBLANK(Sales_Data[[#This Row],[Quantity]])</f>
        <v>0</v>
      </c>
      <c r="J628" t="str">
        <f>TEXT(Sales_Data[[#This Row],[Date]],"yyyy-mm")</f>
        <v>2025-05</v>
      </c>
    </row>
    <row r="629" spans="1:10" x14ac:dyDescent="0.35">
      <c r="A629" t="s">
        <v>1018</v>
      </c>
      <c r="B629" s="3">
        <v>45979</v>
      </c>
      <c r="C629" t="s">
        <v>41</v>
      </c>
      <c r="D629" t="s">
        <v>97</v>
      </c>
      <c r="E629" t="s">
        <v>387</v>
      </c>
      <c r="F629">
        <v>9</v>
      </c>
      <c r="G629" s="6">
        <v>191358</v>
      </c>
      <c r="H629">
        <f>COUNTBLANK(Sales_Data[[#This Row],[Revenue]])</f>
        <v>0</v>
      </c>
      <c r="I629">
        <f>COUNTBLANK(Sales_Data[[#This Row],[Quantity]])</f>
        <v>0</v>
      </c>
      <c r="J629" t="str">
        <f>TEXT(Sales_Data[[#This Row],[Date]],"yyyy-mm")</f>
        <v>2025-11</v>
      </c>
    </row>
    <row r="630" spans="1:10" x14ac:dyDescent="0.35">
      <c r="A630" t="s">
        <v>1019</v>
      </c>
      <c r="B630" s="3">
        <v>45823</v>
      </c>
      <c r="C630" t="s">
        <v>67</v>
      </c>
      <c r="D630" t="s">
        <v>337</v>
      </c>
      <c r="E630" t="s">
        <v>387</v>
      </c>
      <c r="F630">
        <v>5</v>
      </c>
      <c r="G630" s="6">
        <v>108080</v>
      </c>
      <c r="H630">
        <f>COUNTBLANK(Sales_Data[[#This Row],[Revenue]])</f>
        <v>0</v>
      </c>
      <c r="I630">
        <f>COUNTBLANK(Sales_Data[[#This Row],[Quantity]])</f>
        <v>0</v>
      </c>
      <c r="J630" t="str">
        <f>TEXT(Sales_Data[[#This Row],[Date]],"yyyy-mm")</f>
        <v>2025-06</v>
      </c>
    </row>
    <row r="631" spans="1:10" x14ac:dyDescent="0.35">
      <c r="A631" t="s">
        <v>1020</v>
      </c>
      <c r="B631" s="3">
        <v>45847</v>
      </c>
      <c r="C631" t="s">
        <v>10</v>
      </c>
      <c r="D631" t="s">
        <v>265</v>
      </c>
      <c r="E631" t="s">
        <v>394</v>
      </c>
      <c r="F631">
        <v>2</v>
      </c>
      <c r="G631" s="6">
        <v>9032</v>
      </c>
      <c r="H631">
        <f>COUNTBLANK(Sales_Data[[#This Row],[Revenue]])</f>
        <v>0</v>
      </c>
      <c r="I631">
        <f>COUNTBLANK(Sales_Data[[#This Row],[Quantity]])</f>
        <v>0</v>
      </c>
      <c r="J631" t="str">
        <f>TEXT(Sales_Data[[#This Row],[Date]],"yyyy-mm")</f>
        <v>2025-07</v>
      </c>
    </row>
    <row r="632" spans="1:10" x14ac:dyDescent="0.35">
      <c r="A632" t="s">
        <v>1021</v>
      </c>
      <c r="B632" s="3">
        <v>45717</v>
      </c>
      <c r="C632" t="s">
        <v>53</v>
      </c>
      <c r="D632" t="s">
        <v>317</v>
      </c>
      <c r="E632" t="s">
        <v>394</v>
      </c>
      <c r="F632">
        <v>6</v>
      </c>
      <c r="G632" s="6">
        <v>25248</v>
      </c>
      <c r="H632">
        <f>COUNTBLANK(Sales_Data[[#This Row],[Revenue]])</f>
        <v>0</v>
      </c>
      <c r="I632">
        <f>COUNTBLANK(Sales_Data[[#This Row],[Quantity]])</f>
        <v>0</v>
      </c>
      <c r="J632" t="str">
        <f>TEXT(Sales_Data[[#This Row],[Date]],"yyyy-mm")</f>
        <v>2025-03</v>
      </c>
    </row>
    <row r="633" spans="1:10" x14ac:dyDescent="0.35">
      <c r="A633" t="s">
        <v>1022</v>
      </c>
      <c r="B633" s="3">
        <v>45958</v>
      </c>
      <c r="C633" t="s">
        <v>59</v>
      </c>
      <c r="D633" t="s">
        <v>205</v>
      </c>
      <c r="E633" t="s">
        <v>387</v>
      </c>
      <c r="F633">
        <v>6</v>
      </c>
      <c r="G633" s="6">
        <v>288636</v>
      </c>
      <c r="H633">
        <f>COUNTBLANK(Sales_Data[[#This Row],[Revenue]])</f>
        <v>0</v>
      </c>
      <c r="I633">
        <f>COUNTBLANK(Sales_Data[[#This Row],[Quantity]])</f>
        <v>0</v>
      </c>
      <c r="J633" t="str">
        <f>TEXT(Sales_Data[[#This Row],[Date]],"yyyy-mm")</f>
        <v>2025-10</v>
      </c>
    </row>
    <row r="634" spans="1:10" x14ac:dyDescent="0.35">
      <c r="A634" t="s">
        <v>1023</v>
      </c>
      <c r="B634" s="3">
        <v>45884</v>
      </c>
      <c r="C634" t="s">
        <v>61</v>
      </c>
      <c r="D634" t="s">
        <v>103</v>
      </c>
      <c r="E634" t="s">
        <v>394</v>
      </c>
      <c r="F634">
        <v>4</v>
      </c>
      <c r="G634" s="6">
        <v>100064</v>
      </c>
      <c r="H634">
        <f>COUNTBLANK(Sales_Data[[#This Row],[Revenue]])</f>
        <v>0</v>
      </c>
      <c r="I634">
        <f>COUNTBLANK(Sales_Data[[#This Row],[Quantity]])</f>
        <v>0</v>
      </c>
      <c r="J634" t="str">
        <f>TEXT(Sales_Data[[#This Row],[Date]],"yyyy-mm")</f>
        <v>2025-08</v>
      </c>
    </row>
    <row r="635" spans="1:10" x14ac:dyDescent="0.35">
      <c r="A635" t="s">
        <v>1024</v>
      </c>
      <c r="B635" s="3">
        <v>45873</v>
      </c>
      <c r="C635" t="s">
        <v>4</v>
      </c>
      <c r="D635" t="s">
        <v>131</v>
      </c>
      <c r="E635" t="s">
        <v>389</v>
      </c>
      <c r="F635">
        <v>8</v>
      </c>
      <c r="G635" s="6">
        <v>94520</v>
      </c>
      <c r="H635">
        <f>COUNTBLANK(Sales_Data[[#This Row],[Revenue]])</f>
        <v>0</v>
      </c>
      <c r="I635">
        <f>COUNTBLANK(Sales_Data[[#This Row],[Quantity]])</f>
        <v>0</v>
      </c>
      <c r="J635" t="str">
        <f>TEXT(Sales_Data[[#This Row],[Date]],"yyyy-mm")</f>
        <v>2025-08</v>
      </c>
    </row>
    <row r="636" spans="1:10" x14ac:dyDescent="0.35">
      <c r="A636" t="s">
        <v>1025</v>
      </c>
      <c r="B636" s="3">
        <v>45999</v>
      </c>
      <c r="C636" t="s">
        <v>13</v>
      </c>
      <c r="D636" t="s">
        <v>317</v>
      </c>
      <c r="E636" t="s">
        <v>391</v>
      </c>
      <c r="F636">
        <v>6</v>
      </c>
      <c r="G636" s="6">
        <v>181062</v>
      </c>
      <c r="H636">
        <f>COUNTBLANK(Sales_Data[[#This Row],[Revenue]])</f>
        <v>0</v>
      </c>
      <c r="I636">
        <f>COUNTBLANK(Sales_Data[[#This Row],[Quantity]])</f>
        <v>0</v>
      </c>
      <c r="J636" t="str">
        <f>TEXT(Sales_Data[[#This Row],[Date]],"yyyy-mm")</f>
        <v>2025-12</v>
      </c>
    </row>
    <row r="637" spans="1:10" x14ac:dyDescent="0.35">
      <c r="A637" t="s">
        <v>1026</v>
      </c>
      <c r="B637" s="3">
        <v>45937</v>
      </c>
      <c r="C637" t="s">
        <v>55</v>
      </c>
      <c r="D637" t="s">
        <v>269</v>
      </c>
      <c r="E637" t="s">
        <v>391</v>
      </c>
      <c r="F637">
        <v>9</v>
      </c>
      <c r="G637" s="6">
        <v>102735</v>
      </c>
      <c r="H637">
        <f>COUNTBLANK(Sales_Data[[#This Row],[Revenue]])</f>
        <v>0</v>
      </c>
      <c r="I637">
        <f>COUNTBLANK(Sales_Data[[#This Row],[Quantity]])</f>
        <v>0</v>
      </c>
      <c r="J637" t="str">
        <f>TEXT(Sales_Data[[#This Row],[Date]],"yyyy-mm")</f>
        <v>2025-10</v>
      </c>
    </row>
    <row r="638" spans="1:10" x14ac:dyDescent="0.35">
      <c r="A638" t="s">
        <v>1027</v>
      </c>
      <c r="B638" s="3">
        <v>45871</v>
      </c>
      <c r="C638" t="s">
        <v>25</v>
      </c>
      <c r="D638" t="s">
        <v>355</v>
      </c>
      <c r="E638" t="s">
        <v>394</v>
      </c>
      <c r="F638">
        <v>5</v>
      </c>
      <c r="G638" s="6">
        <v>91215</v>
      </c>
      <c r="H638">
        <f>COUNTBLANK(Sales_Data[[#This Row],[Revenue]])</f>
        <v>0</v>
      </c>
      <c r="I638">
        <f>COUNTBLANK(Sales_Data[[#This Row],[Quantity]])</f>
        <v>0</v>
      </c>
      <c r="J638" t="str">
        <f>TEXT(Sales_Data[[#This Row],[Date]],"yyyy-mm")</f>
        <v>2025-08</v>
      </c>
    </row>
    <row r="639" spans="1:10" x14ac:dyDescent="0.35">
      <c r="A639" t="s">
        <v>1028</v>
      </c>
      <c r="B639" s="3">
        <v>45966</v>
      </c>
      <c r="C639" t="s">
        <v>59</v>
      </c>
      <c r="D639" t="s">
        <v>251</v>
      </c>
      <c r="E639" t="s">
        <v>387</v>
      </c>
      <c r="F639">
        <v>6</v>
      </c>
      <c r="G639" s="6">
        <v>288636</v>
      </c>
      <c r="H639">
        <f>COUNTBLANK(Sales_Data[[#This Row],[Revenue]])</f>
        <v>0</v>
      </c>
      <c r="I639">
        <f>COUNTBLANK(Sales_Data[[#This Row],[Quantity]])</f>
        <v>0</v>
      </c>
      <c r="J639" t="str">
        <f>TEXT(Sales_Data[[#This Row],[Date]],"yyyy-mm")</f>
        <v>2025-11</v>
      </c>
    </row>
    <row r="640" spans="1:10" x14ac:dyDescent="0.35">
      <c r="A640" t="s">
        <v>1029</v>
      </c>
      <c r="B640" s="3">
        <v>46001</v>
      </c>
      <c r="C640" t="s">
        <v>7</v>
      </c>
      <c r="D640" t="s">
        <v>159</v>
      </c>
      <c r="E640" t="s">
        <v>387</v>
      </c>
      <c r="F640">
        <v>10</v>
      </c>
      <c r="G640" s="6">
        <v>261330</v>
      </c>
      <c r="H640">
        <f>COUNTBLANK(Sales_Data[[#This Row],[Revenue]])</f>
        <v>0</v>
      </c>
      <c r="I640">
        <f>COUNTBLANK(Sales_Data[[#This Row],[Quantity]])</f>
        <v>0</v>
      </c>
      <c r="J640" t="str">
        <f>TEXT(Sales_Data[[#This Row],[Date]],"yyyy-mm")</f>
        <v>2025-12</v>
      </c>
    </row>
    <row r="641" spans="1:10" x14ac:dyDescent="0.35">
      <c r="A641" t="s">
        <v>1030</v>
      </c>
      <c r="B641" s="3">
        <v>45956</v>
      </c>
      <c r="C641" t="s">
        <v>21</v>
      </c>
      <c r="D641" t="s">
        <v>325</v>
      </c>
      <c r="E641" t="s">
        <v>389</v>
      </c>
      <c r="F641">
        <v>2</v>
      </c>
      <c r="G641" s="6">
        <v>30418</v>
      </c>
      <c r="H641">
        <f>COUNTBLANK(Sales_Data[[#This Row],[Revenue]])</f>
        <v>0</v>
      </c>
      <c r="I641">
        <f>COUNTBLANK(Sales_Data[[#This Row],[Quantity]])</f>
        <v>0</v>
      </c>
      <c r="J641" t="str">
        <f>TEXT(Sales_Data[[#This Row],[Date]],"yyyy-mm")</f>
        <v>2025-10</v>
      </c>
    </row>
    <row r="642" spans="1:10" x14ac:dyDescent="0.35">
      <c r="A642" t="s">
        <v>1031</v>
      </c>
      <c r="B642" s="3">
        <v>45967</v>
      </c>
      <c r="C642" t="s">
        <v>59</v>
      </c>
      <c r="D642" t="s">
        <v>175</v>
      </c>
      <c r="E642" t="s">
        <v>387</v>
      </c>
      <c r="F642">
        <v>4</v>
      </c>
      <c r="G642" s="6">
        <v>192424</v>
      </c>
      <c r="H642">
        <f>COUNTBLANK(Sales_Data[[#This Row],[Revenue]])</f>
        <v>0</v>
      </c>
      <c r="I642">
        <f>COUNTBLANK(Sales_Data[[#This Row],[Quantity]])</f>
        <v>0</v>
      </c>
      <c r="J642" t="str">
        <f>TEXT(Sales_Data[[#This Row],[Date]],"yyyy-mm")</f>
        <v>2025-11</v>
      </c>
    </row>
    <row r="643" spans="1:10" x14ac:dyDescent="0.35">
      <c r="A643" t="s">
        <v>1032</v>
      </c>
      <c r="B643" s="3">
        <v>45847</v>
      </c>
      <c r="C643" t="s">
        <v>39</v>
      </c>
      <c r="D643" t="s">
        <v>121</v>
      </c>
      <c r="E643" t="s">
        <v>394</v>
      </c>
      <c r="F643">
        <v>10</v>
      </c>
      <c r="G643" s="6">
        <v>482880</v>
      </c>
      <c r="H643">
        <f>COUNTBLANK(Sales_Data[[#This Row],[Revenue]])</f>
        <v>0</v>
      </c>
      <c r="I643">
        <f>COUNTBLANK(Sales_Data[[#This Row],[Quantity]])</f>
        <v>0</v>
      </c>
      <c r="J643" t="str">
        <f>TEXT(Sales_Data[[#This Row],[Date]],"yyyy-mm")</f>
        <v>2025-07</v>
      </c>
    </row>
    <row r="644" spans="1:10" x14ac:dyDescent="0.35">
      <c r="A644" t="s">
        <v>1033</v>
      </c>
      <c r="B644" s="3">
        <v>45964</v>
      </c>
      <c r="C644" t="s">
        <v>43</v>
      </c>
      <c r="D644" t="s">
        <v>193</v>
      </c>
      <c r="E644" t="s">
        <v>403</v>
      </c>
      <c r="F644">
        <v>3</v>
      </c>
      <c r="G644" s="6">
        <v>113475</v>
      </c>
      <c r="H644">
        <f>COUNTBLANK(Sales_Data[[#This Row],[Revenue]])</f>
        <v>0</v>
      </c>
      <c r="I644">
        <f>COUNTBLANK(Sales_Data[[#This Row],[Quantity]])</f>
        <v>0</v>
      </c>
      <c r="J644" t="str">
        <f>TEXT(Sales_Data[[#This Row],[Date]],"yyyy-mm")</f>
        <v>2025-11</v>
      </c>
    </row>
    <row r="645" spans="1:10" x14ac:dyDescent="0.35">
      <c r="A645" t="s">
        <v>1034</v>
      </c>
      <c r="B645" s="3">
        <v>45870</v>
      </c>
      <c r="C645" t="s">
        <v>27</v>
      </c>
      <c r="D645" t="s">
        <v>295</v>
      </c>
      <c r="E645" t="s">
        <v>387</v>
      </c>
      <c r="F645">
        <v>9</v>
      </c>
      <c r="G645" s="6">
        <v>339156</v>
      </c>
      <c r="H645">
        <f>COUNTBLANK(Sales_Data[[#This Row],[Revenue]])</f>
        <v>0</v>
      </c>
      <c r="I645">
        <f>COUNTBLANK(Sales_Data[[#This Row],[Quantity]])</f>
        <v>0</v>
      </c>
      <c r="J645" t="str">
        <f>TEXT(Sales_Data[[#This Row],[Date]],"yyyy-mm")</f>
        <v>2025-08</v>
      </c>
    </row>
    <row r="646" spans="1:10" x14ac:dyDescent="0.35">
      <c r="A646" t="s">
        <v>1035</v>
      </c>
      <c r="B646" s="3">
        <v>45807</v>
      </c>
      <c r="C646" t="s">
        <v>67</v>
      </c>
      <c r="D646" t="s">
        <v>95</v>
      </c>
      <c r="E646" t="s">
        <v>403</v>
      </c>
      <c r="F646">
        <v>1</v>
      </c>
      <c r="G646" s="6">
        <v>21616</v>
      </c>
      <c r="H646">
        <f>COUNTBLANK(Sales_Data[[#This Row],[Revenue]])</f>
        <v>0</v>
      </c>
      <c r="I646">
        <f>COUNTBLANK(Sales_Data[[#This Row],[Quantity]])</f>
        <v>0</v>
      </c>
      <c r="J646" t="str">
        <f>TEXT(Sales_Data[[#This Row],[Date]],"yyyy-mm")</f>
        <v>2025-05</v>
      </c>
    </row>
    <row r="647" spans="1:10" x14ac:dyDescent="0.35">
      <c r="A647" t="s">
        <v>1036</v>
      </c>
      <c r="B647" s="3">
        <v>45917</v>
      </c>
      <c r="C647" t="s">
        <v>53</v>
      </c>
      <c r="D647" t="s">
        <v>333</v>
      </c>
      <c r="E647" t="s">
        <v>391</v>
      </c>
      <c r="F647">
        <v>7</v>
      </c>
      <c r="G647" s="6">
        <v>29456</v>
      </c>
      <c r="H647">
        <f>COUNTBLANK(Sales_Data[[#This Row],[Revenue]])</f>
        <v>0</v>
      </c>
      <c r="I647">
        <f>COUNTBLANK(Sales_Data[[#This Row],[Quantity]])</f>
        <v>0</v>
      </c>
      <c r="J647" t="str">
        <f>TEXT(Sales_Data[[#This Row],[Date]],"yyyy-mm")</f>
        <v>2025-09</v>
      </c>
    </row>
    <row r="648" spans="1:10" x14ac:dyDescent="0.35">
      <c r="A648" t="s">
        <v>1037</v>
      </c>
      <c r="B648" s="3">
        <v>45729</v>
      </c>
      <c r="C648" t="s">
        <v>29</v>
      </c>
      <c r="D648" t="s">
        <v>183</v>
      </c>
      <c r="E648" t="s">
        <v>389</v>
      </c>
      <c r="F648">
        <v>8</v>
      </c>
      <c r="G648" s="6">
        <v>341152</v>
      </c>
      <c r="H648">
        <f>COUNTBLANK(Sales_Data[[#This Row],[Revenue]])</f>
        <v>0</v>
      </c>
      <c r="I648">
        <f>COUNTBLANK(Sales_Data[[#This Row],[Quantity]])</f>
        <v>0</v>
      </c>
      <c r="J648" t="str">
        <f>TEXT(Sales_Data[[#This Row],[Date]],"yyyy-mm")</f>
        <v>2025-03</v>
      </c>
    </row>
    <row r="649" spans="1:10" x14ac:dyDescent="0.35">
      <c r="A649" t="s">
        <v>1038</v>
      </c>
      <c r="B649" s="3">
        <v>45797</v>
      </c>
      <c r="C649" t="s">
        <v>57</v>
      </c>
      <c r="D649" t="s">
        <v>213</v>
      </c>
      <c r="E649" t="s">
        <v>403</v>
      </c>
      <c r="F649">
        <v>9</v>
      </c>
      <c r="G649" s="6">
        <v>439101</v>
      </c>
      <c r="H649">
        <f>COUNTBLANK(Sales_Data[[#This Row],[Revenue]])</f>
        <v>0</v>
      </c>
      <c r="I649">
        <f>COUNTBLANK(Sales_Data[[#This Row],[Quantity]])</f>
        <v>0</v>
      </c>
      <c r="J649" t="str">
        <f>TEXT(Sales_Data[[#This Row],[Date]],"yyyy-mm")</f>
        <v>2025-05</v>
      </c>
    </row>
    <row r="650" spans="1:10" x14ac:dyDescent="0.35">
      <c r="A650" t="s">
        <v>1039</v>
      </c>
      <c r="B650" s="3">
        <v>45922</v>
      </c>
      <c r="C650" t="s">
        <v>43</v>
      </c>
      <c r="D650" t="s">
        <v>309</v>
      </c>
      <c r="E650" t="s">
        <v>391</v>
      </c>
      <c r="F650">
        <v>2</v>
      </c>
      <c r="G650" s="6">
        <v>75650</v>
      </c>
      <c r="H650">
        <f>COUNTBLANK(Sales_Data[[#This Row],[Revenue]])</f>
        <v>0</v>
      </c>
      <c r="I650">
        <f>COUNTBLANK(Sales_Data[[#This Row],[Quantity]])</f>
        <v>0</v>
      </c>
      <c r="J650" t="str">
        <f>TEXT(Sales_Data[[#This Row],[Date]],"yyyy-mm")</f>
        <v>2025-09</v>
      </c>
    </row>
    <row r="651" spans="1:10" x14ac:dyDescent="0.35">
      <c r="A651" t="s">
        <v>1040</v>
      </c>
      <c r="B651" s="3">
        <v>45972</v>
      </c>
      <c r="C651" t="s">
        <v>4</v>
      </c>
      <c r="D651" t="s">
        <v>251</v>
      </c>
      <c r="E651" t="s">
        <v>391</v>
      </c>
      <c r="F651">
        <v>7</v>
      </c>
      <c r="G651" s="6">
        <v>82705</v>
      </c>
      <c r="H651">
        <f>COUNTBLANK(Sales_Data[[#This Row],[Revenue]])</f>
        <v>0</v>
      </c>
      <c r="I651">
        <f>COUNTBLANK(Sales_Data[[#This Row],[Quantity]])</f>
        <v>0</v>
      </c>
      <c r="J651" t="str">
        <f>TEXT(Sales_Data[[#This Row],[Date]],"yyyy-mm")</f>
        <v>2025-11</v>
      </c>
    </row>
    <row r="652" spans="1:10" x14ac:dyDescent="0.35">
      <c r="A652" t="s">
        <v>1041</v>
      </c>
      <c r="B652" s="3">
        <v>45683</v>
      </c>
      <c r="C652" t="s">
        <v>37</v>
      </c>
      <c r="D652" t="s">
        <v>88</v>
      </c>
      <c r="E652" t="s">
        <v>394</v>
      </c>
      <c r="F652">
        <v>8</v>
      </c>
      <c r="G652" s="6">
        <v>15624</v>
      </c>
      <c r="H652">
        <f>COUNTBLANK(Sales_Data[[#This Row],[Revenue]])</f>
        <v>0</v>
      </c>
      <c r="I652">
        <f>COUNTBLANK(Sales_Data[[#This Row],[Quantity]])</f>
        <v>0</v>
      </c>
      <c r="J652" t="str">
        <f>TEXT(Sales_Data[[#This Row],[Date]],"yyyy-mm")</f>
        <v>2025-01</v>
      </c>
    </row>
    <row r="653" spans="1:10" x14ac:dyDescent="0.35">
      <c r="A653" t="s">
        <v>1042</v>
      </c>
      <c r="B653" s="3">
        <v>45706</v>
      </c>
      <c r="C653" t="s">
        <v>7</v>
      </c>
      <c r="D653" t="s">
        <v>189</v>
      </c>
      <c r="E653" t="s">
        <v>389</v>
      </c>
      <c r="F653">
        <v>2</v>
      </c>
      <c r="G653" s="6">
        <v>52266</v>
      </c>
      <c r="H653">
        <f>COUNTBLANK(Sales_Data[[#This Row],[Revenue]])</f>
        <v>0</v>
      </c>
      <c r="I653">
        <f>COUNTBLANK(Sales_Data[[#This Row],[Quantity]])</f>
        <v>0</v>
      </c>
      <c r="J653" t="str">
        <f>TEXT(Sales_Data[[#This Row],[Date]],"yyyy-mm")</f>
        <v>2025-02</v>
      </c>
    </row>
    <row r="654" spans="1:10" x14ac:dyDescent="0.35">
      <c r="A654" t="s">
        <v>1043</v>
      </c>
      <c r="B654" s="3">
        <v>45761</v>
      </c>
      <c r="C654" t="s">
        <v>21</v>
      </c>
      <c r="D654" t="s">
        <v>209</v>
      </c>
      <c r="E654" t="s">
        <v>394</v>
      </c>
      <c r="F654">
        <v>7</v>
      </c>
      <c r="G654" s="6">
        <v>106463</v>
      </c>
      <c r="H654">
        <f>COUNTBLANK(Sales_Data[[#This Row],[Revenue]])</f>
        <v>0</v>
      </c>
      <c r="I654">
        <f>COUNTBLANK(Sales_Data[[#This Row],[Quantity]])</f>
        <v>0</v>
      </c>
      <c r="J654" t="str">
        <f>TEXT(Sales_Data[[#This Row],[Date]],"yyyy-mm")</f>
        <v>2025-04</v>
      </c>
    </row>
    <row r="655" spans="1:10" x14ac:dyDescent="0.35">
      <c r="A655" t="s">
        <v>1044</v>
      </c>
      <c r="B655" s="3">
        <v>45761</v>
      </c>
      <c r="C655" t="s">
        <v>4</v>
      </c>
      <c r="D655" t="s">
        <v>347</v>
      </c>
      <c r="E655" t="s">
        <v>391</v>
      </c>
      <c r="F655">
        <v>1</v>
      </c>
      <c r="G655" s="6">
        <v>11815</v>
      </c>
      <c r="H655">
        <f>COUNTBLANK(Sales_Data[[#This Row],[Revenue]])</f>
        <v>0</v>
      </c>
      <c r="I655">
        <f>COUNTBLANK(Sales_Data[[#This Row],[Quantity]])</f>
        <v>0</v>
      </c>
      <c r="J655" t="str">
        <f>TEXT(Sales_Data[[#This Row],[Date]],"yyyy-mm")</f>
        <v>2025-04</v>
      </c>
    </row>
    <row r="656" spans="1:10" x14ac:dyDescent="0.35">
      <c r="A656" t="s">
        <v>1045</v>
      </c>
      <c r="B656" s="3">
        <v>45718</v>
      </c>
      <c r="C656" t="s">
        <v>33</v>
      </c>
      <c r="D656" t="s">
        <v>131</v>
      </c>
      <c r="E656" t="s">
        <v>387</v>
      </c>
      <c r="F656">
        <v>2</v>
      </c>
      <c r="G656" s="6">
        <v>72506</v>
      </c>
      <c r="H656">
        <f>COUNTBLANK(Sales_Data[[#This Row],[Revenue]])</f>
        <v>0</v>
      </c>
      <c r="I656">
        <f>COUNTBLANK(Sales_Data[[#This Row],[Quantity]])</f>
        <v>0</v>
      </c>
      <c r="J656" t="str">
        <f>TEXT(Sales_Data[[#This Row],[Date]],"yyyy-mm")</f>
        <v>2025-03</v>
      </c>
    </row>
    <row r="657" spans="1:10" x14ac:dyDescent="0.35">
      <c r="A657" t="s">
        <v>1046</v>
      </c>
      <c r="B657" s="3">
        <v>45694</v>
      </c>
      <c r="C657" t="s">
        <v>23</v>
      </c>
      <c r="D657" t="s">
        <v>103</v>
      </c>
      <c r="E657" t="s">
        <v>391</v>
      </c>
      <c r="F657">
        <v>7</v>
      </c>
      <c r="G657" s="6">
        <v>42483</v>
      </c>
      <c r="H657">
        <f>COUNTBLANK(Sales_Data[[#This Row],[Revenue]])</f>
        <v>0</v>
      </c>
      <c r="I657">
        <f>COUNTBLANK(Sales_Data[[#This Row],[Quantity]])</f>
        <v>0</v>
      </c>
      <c r="J657" t="str">
        <f>TEXT(Sales_Data[[#This Row],[Date]],"yyyy-mm")</f>
        <v>2025-02</v>
      </c>
    </row>
    <row r="658" spans="1:10" x14ac:dyDescent="0.35">
      <c r="A658" t="s">
        <v>1047</v>
      </c>
      <c r="B658" s="3">
        <v>45866</v>
      </c>
      <c r="C658" t="s">
        <v>59</v>
      </c>
      <c r="D658" t="s">
        <v>263</v>
      </c>
      <c r="E658" t="s">
        <v>391</v>
      </c>
      <c r="F658">
        <v>10</v>
      </c>
      <c r="G658" s="6">
        <v>481060</v>
      </c>
      <c r="H658">
        <f>COUNTBLANK(Sales_Data[[#This Row],[Revenue]])</f>
        <v>0</v>
      </c>
      <c r="I658">
        <f>COUNTBLANK(Sales_Data[[#This Row],[Quantity]])</f>
        <v>0</v>
      </c>
      <c r="J658" t="str">
        <f>TEXT(Sales_Data[[#This Row],[Date]],"yyyy-mm")</f>
        <v>2025-07</v>
      </c>
    </row>
    <row r="659" spans="1:10" x14ac:dyDescent="0.35">
      <c r="A659" t="s">
        <v>1048</v>
      </c>
      <c r="B659" s="3">
        <v>45822</v>
      </c>
      <c r="C659" t="s">
        <v>23</v>
      </c>
      <c r="D659" t="s">
        <v>247</v>
      </c>
      <c r="E659" t="s">
        <v>391</v>
      </c>
      <c r="F659">
        <v>1</v>
      </c>
      <c r="G659" s="6">
        <v>6069</v>
      </c>
      <c r="H659">
        <f>COUNTBLANK(Sales_Data[[#This Row],[Revenue]])</f>
        <v>0</v>
      </c>
      <c r="I659">
        <f>COUNTBLANK(Sales_Data[[#This Row],[Quantity]])</f>
        <v>0</v>
      </c>
      <c r="J659" t="str">
        <f>TEXT(Sales_Data[[#This Row],[Date]],"yyyy-mm")</f>
        <v>2025-06</v>
      </c>
    </row>
    <row r="660" spans="1:10" x14ac:dyDescent="0.35">
      <c r="A660" t="s">
        <v>1049</v>
      </c>
      <c r="B660" s="3">
        <v>45670</v>
      </c>
      <c r="C660" t="s">
        <v>39</v>
      </c>
      <c r="D660" t="s">
        <v>219</v>
      </c>
      <c r="E660" t="s">
        <v>391</v>
      </c>
      <c r="F660">
        <v>7</v>
      </c>
      <c r="G660" s="6">
        <v>338016</v>
      </c>
      <c r="H660">
        <f>COUNTBLANK(Sales_Data[[#This Row],[Revenue]])</f>
        <v>0</v>
      </c>
      <c r="I660">
        <f>COUNTBLANK(Sales_Data[[#This Row],[Quantity]])</f>
        <v>0</v>
      </c>
      <c r="J660" t="str">
        <f>TEXT(Sales_Data[[#This Row],[Date]],"yyyy-mm")</f>
        <v>2025-01</v>
      </c>
    </row>
    <row r="661" spans="1:10" x14ac:dyDescent="0.35">
      <c r="A661" t="s">
        <v>1050</v>
      </c>
      <c r="B661" s="3">
        <v>45683</v>
      </c>
      <c r="C661" t="s">
        <v>31</v>
      </c>
      <c r="D661" t="s">
        <v>299</v>
      </c>
      <c r="E661" t="s">
        <v>387</v>
      </c>
      <c r="F661">
        <v>6</v>
      </c>
      <c r="G661" s="6">
        <v>179796</v>
      </c>
      <c r="H661">
        <f>COUNTBLANK(Sales_Data[[#This Row],[Revenue]])</f>
        <v>0</v>
      </c>
      <c r="I661">
        <f>COUNTBLANK(Sales_Data[[#This Row],[Quantity]])</f>
        <v>0</v>
      </c>
      <c r="J661" t="str">
        <f>TEXT(Sales_Data[[#This Row],[Date]],"yyyy-mm")</f>
        <v>2025-01</v>
      </c>
    </row>
    <row r="662" spans="1:10" x14ac:dyDescent="0.35">
      <c r="A662" t="s">
        <v>1051</v>
      </c>
      <c r="B662" s="3">
        <v>45881</v>
      </c>
      <c r="C662" t="s">
        <v>31</v>
      </c>
      <c r="D662" t="s">
        <v>311</v>
      </c>
      <c r="E662" t="s">
        <v>391</v>
      </c>
      <c r="F662">
        <v>4</v>
      </c>
      <c r="G662" s="6">
        <v>119864</v>
      </c>
      <c r="H662">
        <f>COUNTBLANK(Sales_Data[[#This Row],[Revenue]])</f>
        <v>0</v>
      </c>
      <c r="I662">
        <f>COUNTBLANK(Sales_Data[[#This Row],[Quantity]])</f>
        <v>0</v>
      </c>
      <c r="J662" t="str">
        <f>TEXT(Sales_Data[[#This Row],[Date]],"yyyy-mm")</f>
        <v>2025-08</v>
      </c>
    </row>
    <row r="663" spans="1:10" x14ac:dyDescent="0.35">
      <c r="A663" t="s">
        <v>1052</v>
      </c>
      <c r="B663" s="3">
        <v>45877</v>
      </c>
      <c r="C663" t="s">
        <v>19</v>
      </c>
      <c r="D663" t="s">
        <v>367</v>
      </c>
      <c r="E663" t="s">
        <v>403</v>
      </c>
      <c r="F663">
        <v>6</v>
      </c>
      <c r="G663" s="6">
        <v>252954</v>
      </c>
      <c r="H663">
        <f>COUNTBLANK(Sales_Data[[#This Row],[Revenue]])</f>
        <v>0</v>
      </c>
      <c r="I663">
        <f>COUNTBLANK(Sales_Data[[#This Row],[Quantity]])</f>
        <v>0</v>
      </c>
      <c r="J663" t="str">
        <f>TEXT(Sales_Data[[#This Row],[Date]],"yyyy-mm")</f>
        <v>2025-08</v>
      </c>
    </row>
    <row r="664" spans="1:10" x14ac:dyDescent="0.35">
      <c r="A664" t="s">
        <v>1053</v>
      </c>
      <c r="B664" s="3">
        <v>45819</v>
      </c>
      <c r="C664" t="s">
        <v>33</v>
      </c>
      <c r="D664" t="s">
        <v>147</v>
      </c>
      <c r="E664" t="s">
        <v>387</v>
      </c>
      <c r="F664">
        <v>2</v>
      </c>
      <c r="G664" s="6">
        <v>72506</v>
      </c>
      <c r="H664">
        <f>COUNTBLANK(Sales_Data[[#This Row],[Revenue]])</f>
        <v>0</v>
      </c>
      <c r="I664">
        <f>COUNTBLANK(Sales_Data[[#This Row],[Quantity]])</f>
        <v>0</v>
      </c>
      <c r="J664" t="str">
        <f>TEXT(Sales_Data[[#This Row],[Date]],"yyyy-mm")</f>
        <v>2025-06</v>
      </c>
    </row>
    <row r="665" spans="1:10" x14ac:dyDescent="0.35">
      <c r="A665" t="s">
        <v>1054</v>
      </c>
      <c r="B665" s="3">
        <v>45844</v>
      </c>
      <c r="C665" t="s">
        <v>53</v>
      </c>
      <c r="D665" t="s">
        <v>167</v>
      </c>
      <c r="E665" t="s">
        <v>389</v>
      </c>
      <c r="F665">
        <v>8</v>
      </c>
      <c r="G665" s="6">
        <v>33664</v>
      </c>
      <c r="H665">
        <f>COUNTBLANK(Sales_Data[[#This Row],[Revenue]])</f>
        <v>0</v>
      </c>
      <c r="I665">
        <f>COUNTBLANK(Sales_Data[[#This Row],[Quantity]])</f>
        <v>0</v>
      </c>
      <c r="J665" t="str">
        <f>TEXT(Sales_Data[[#This Row],[Date]],"yyyy-mm")</f>
        <v>2025-07</v>
      </c>
    </row>
    <row r="666" spans="1:10" x14ac:dyDescent="0.35">
      <c r="A666" t="s">
        <v>1055</v>
      </c>
      <c r="B666" s="3">
        <v>45834</v>
      </c>
      <c r="C666" t="s">
        <v>13</v>
      </c>
      <c r="D666" t="s">
        <v>78</v>
      </c>
      <c r="E666" t="s">
        <v>403</v>
      </c>
      <c r="F666">
        <v>10</v>
      </c>
      <c r="G666" s="6">
        <v>301770</v>
      </c>
      <c r="H666">
        <f>COUNTBLANK(Sales_Data[[#This Row],[Revenue]])</f>
        <v>0</v>
      </c>
      <c r="I666">
        <f>COUNTBLANK(Sales_Data[[#This Row],[Quantity]])</f>
        <v>0</v>
      </c>
      <c r="J666" t="str">
        <f>TEXT(Sales_Data[[#This Row],[Date]],"yyyy-mm")</f>
        <v>2025-06</v>
      </c>
    </row>
    <row r="667" spans="1:10" x14ac:dyDescent="0.35">
      <c r="A667" t="s">
        <v>1056</v>
      </c>
      <c r="B667" s="3">
        <v>45681</v>
      </c>
      <c r="C667" t="s">
        <v>57</v>
      </c>
      <c r="D667" t="s">
        <v>151</v>
      </c>
      <c r="E667" t="s">
        <v>387</v>
      </c>
      <c r="F667">
        <v>4</v>
      </c>
      <c r="G667" s="6">
        <v>195156</v>
      </c>
      <c r="H667">
        <f>COUNTBLANK(Sales_Data[[#This Row],[Revenue]])</f>
        <v>0</v>
      </c>
      <c r="I667">
        <f>COUNTBLANK(Sales_Data[[#This Row],[Quantity]])</f>
        <v>0</v>
      </c>
      <c r="J667" t="str">
        <f>TEXT(Sales_Data[[#This Row],[Date]],"yyyy-mm")</f>
        <v>2025-01</v>
      </c>
    </row>
    <row r="668" spans="1:10" x14ac:dyDescent="0.35">
      <c r="A668" t="s">
        <v>1057</v>
      </c>
      <c r="B668" s="3">
        <v>46017</v>
      </c>
      <c r="C668" t="s">
        <v>63</v>
      </c>
      <c r="D668" t="s">
        <v>95</v>
      </c>
      <c r="E668" t="s">
        <v>387</v>
      </c>
      <c r="F668">
        <v>2</v>
      </c>
      <c r="G668" s="6">
        <v>17536</v>
      </c>
      <c r="H668">
        <f>COUNTBLANK(Sales_Data[[#This Row],[Revenue]])</f>
        <v>0</v>
      </c>
      <c r="I668">
        <f>COUNTBLANK(Sales_Data[[#This Row],[Quantity]])</f>
        <v>0</v>
      </c>
      <c r="J668" t="str">
        <f>TEXT(Sales_Data[[#This Row],[Date]],"yyyy-mm")</f>
        <v>2025-12</v>
      </c>
    </row>
    <row r="669" spans="1:10" x14ac:dyDescent="0.35">
      <c r="A669" t="s">
        <v>1058</v>
      </c>
      <c r="B669" s="3">
        <v>46010</v>
      </c>
      <c r="C669" t="s">
        <v>45</v>
      </c>
      <c r="D669" t="s">
        <v>339</v>
      </c>
      <c r="E669" t="s">
        <v>389</v>
      </c>
      <c r="F669">
        <v>4</v>
      </c>
      <c r="G669" s="6">
        <v>31304</v>
      </c>
      <c r="H669">
        <f>COUNTBLANK(Sales_Data[[#This Row],[Revenue]])</f>
        <v>0</v>
      </c>
      <c r="I669">
        <f>COUNTBLANK(Sales_Data[[#This Row],[Quantity]])</f>
        <v>0</v>
      </c>
      <c r="J669" t="str">
        <f>TEXT(Sales_Data[[#This Row],[Date]],"yyyy-mm")</f>
        <v>2025-12</v>
      </c>
    </row>
    <row r="670" spans="1:10" x14ac:dyDescent="0.35">
      <c r="A670" t="s">
        <v>1059</v>
      </c>
      <c r="B670" s="3">
        <v>45940</v>
      </c>
      <c r="C670" t="s">
        <v>39</v>
      </c>
      <c r="D670" t="s">
        <v>159</v>
      </c>
      <c r="E670" t="s">
        <v>394</v>
      </c>
      <c r="F670">
        <v>8</v>
      </c>
      <c r="G670" s="6">
        <v>386304</v>
      </c>
      <c r="H670">
        <f>COUNTBLANK(Sales_Data[[#This Row],[Revenue]])</f>
        <v>0</v>
      </c>
      <c r="I670">
        <f>COUNTBLANK(Sales_Data[[#This Row],[Quantity]])</f>
        <v>0</v>
      </c>
      <c r="J670" t="str">
        <f>TEXT(Sales_Data[[#This Row],[Date]],"yyyy-mm")</f>
        <v>2025-10</v>
      </c>
    </row>
    <row r="671" spans="1:10" x14ac:dyDescent="0.35">
      <c r="A671" t="s">
        <v>1060</v>
      </c>
      <c r="B671" s="3">
        <v>45901</v>
      </c>
      <c r="C671" t="s">
        <v>10</v>
      </c>
      <c r="D671" t="s">
        <v>125</v>
      </c>
      <c r="E671" t="s">
        <v>394</v>
      </c>
      <c r="F671">
        <v>3</v>
      </c>
      <c r="G671" s="6">
        <v>13548</v>
      </c>
      <c r="H671">
        <f>COUNTBLANK(Sales_Data[[#This Row],[Revenue]])</f>
        <v>0</v>
      </c>
      <c r="I671">
        <f>COUNTBLANK(Sales_Data[[#This Row],[Quantity]])</f>
        <v>0</v>
      </c>
      <c r="J671" t="str">
        <f>TEXT(Sales_Data[[#This Row],[Date]],"yyyy-mm")</f>
        <v>2025-09</v>
      </c>
    </row>
    <row r="672" spans="1:10" x14ac:dyDescent="0.35">
      <c r="A672" t="s">
        <v>1061</v>
      </c>
      <c r="B672" s="3">
        <v>46010</v>
      </c>
      <c r="C672" t="s">
        <v>23</v>
      </c>
      <c r="D672" t="s">
        <v>347</v>
      </c>
      <c r="E672" t="s">
        <v>391</v>
      </c>
      <c r="F672">
        <v>2</v>
      </c>
      <c r="G672" s="6">
        <v>12138</v>
      </c>
      <c r="H672">
        <f>COUNTBLANK(Sales_Data[[#This Row],[Revenue]])</f>
        <v>0</v>
      </c>
      <c r="I672">
        <f>COUNTBLANK(Sales_Data[[#This Row],[Quantity]])</f>
        <v>0</v>
      </c>
      <c r="J672" t="str">
        <f>TEXT(Sales_Data[[#This Row],[Date]],"yyyy-mm")</f>
        <v>2025-12</v>
      </c>
    </row>
    <row r="673" spans="1:10" x14ac:dyDescent="0.35">
      <c r="A673" t="s">
        <v>1062</v>
      </c>
      <c r="B673" s="3">
        <v>45962</v>
      </c>
      <c r="C673" t="s">
        <v>37</v>
      </c>
      <c r="D673" t="s">
        <v>141</v>
      </c>
      <c r="E673" t="s">
        <v>389</v>
      </c>
      <c r="F673">
        <v>6</v>
      </c>
      <c r="G673" s="6">
        <v>11718</v>
      </c>
      <c r="H673">
        <f>COUNTBLANK(Sales_Data[[#This Row],[Revenue]])</f>
        <v>0</v>
      </c>
      <c r="I673">
        <f>COUNTBLANK(Sales_Data[[#This Row],[Quantity]])</f>
        <v>0</v>
      </c>
      <c r="J673" t="str">
        <f>TEXT(Sales_Data[[#This Row],[Date]],"yyyy-mm")</f>
        <v>2025-11</v>
      </c>
    </row>
    <row r="674" spans="1:10" x14ac:dyDescent="0.35">
      <c r="A674" t="s">
        <v>1063</v>
      </c>
      <c r="B674" s="3">
        <v>45941</v>
      </c>
      <c r="C674" t="s">
        <v>41</v>
      </c>
      <c r="D674" t="s">
        <v>285</v>
      </c>
      <c r="E674" t="s">
        <v>403</v>
      </c>
      <c r="F674">
        <v>3</v>
      </c>
      <c r="G674" s="6">
        <v>63786</v>
      </c>
      <c r="H674">
        <f>COUNTBLANK(Sales_Data[[#This Row],[Revenue]])</f>
        <v>0</v>
      </c>
      <c r="I674">
        <f>COUNTBLANK(Sales_Data[[#This Row],[Quantity]])</f>
        <v>0</v>
      </c>
      <c r="J674" t="str">
        <f>TEXT(Sales_Data[[#This Row],[Date]],"yyyy-mm")</f>
        <v>2025-10</v>
      </c>
    </row>
    <row r="675" spans="1:10" x14ac:dyDescent="0.35">
      <c r="A675" t="s">
        <v>1064</v>
      </c>
      <c r="B675" s="3">
        <v>45811</v>
      </c>
      <c r="C675" t="s">
        <v>51</v>
      </c>
      <c r="D675" t="s">
        <v>231</v>
      </c>
      <c r="E675" t="s">
        <v>391</v>
      </c>
      <c r="F675">
        <v>1</v>
      </c>
      <c r="G675" s="6">
        <v>31439</v>
      </c>
      <c r="H675">
        <f>COUNTBLANK(Sales_Data[[#This Row],[Revenue]])</f>
        <v>0</v>
      </c>
      <c r="I675">
        <f>COUNTBLANK(Sales_Data[[#This Row],[Quantity]])</f>
        <v>0</v>
      </c>
      <c r="J675" t="str">
        <f>TEXT(Sales_Data[[#This Row],[Date]],"yyyy-mm")</f>
        <v>2025-06</v>
      </c>
    </row>
    <row r="676" spans="1:10" x14ac:dyDescent="0.35">
      <c r="A676" t="s">
        <v>1065</v>
      </c>
      <c r="B676" s="3">
        <v>45969</v>
      </c>
      <c r="C676" t="s">
        <v>43</v>
      </c>
      <c r="D676" t="s">
        <v>177</v>
      </c>
      <c r="E676" t="s">
        <v>389</v>
      </c>
      <c r="F676">
        <v>4</v>
      </c>
      <c r="G676" s="6">
        <v>151300</v>
      </c>
      <c r="H676">
        <f>COUNTBLANK(Sales_Data[[#This Row],[Revenue]])</f>
        <v>0</v>
      </c>
      <c r="I676">
        <f>COUNTBLANK(Sales_Data[[#This Row],[Quantity]])</f>
        <v>0</v>
      </c>
      <c r="J676" t="str">
        <f>TEXT(Sales_Data[[#This Row],[Date]],"yyyy-mm")</f>
        <v>2025-11</v>
      </c>
    </row>
    <row r="677" spans="1:10" x14ac:dyDescent="0.35">
      <c r="A677" t="s">
        <v>1066</v>
      </c>
      <c r="B677" s="3">
        <v>45869</v>
      </c>
      <c r="C677" t="s">
        <v>27</v>
      </c>
      <c r="D677" t="s">
        <v>265</v>
      </c>
      <c r="E677" t="s">
        <v>387</v>
      </c>
      <c r="F677">
        <v>9</v>
      </c>
      <c r="G677" s="6">
        <v>339156</v>
      </c>
      <c r="H677">
        <f>COUNTBLANK(Sales_Data[[#This Row],[Revenue]])</f>
        <v>0</v>
      </c>
      <c r="I677">
        <f>COUNTBLANK(Sales_Data[[#This Row],[Quantity]])</f>
        <v>0</v>
      </c>
      <c r="J677" t="str">
        <f>TEXT(Sales_Data[[#This Row],[Date]],"yyyy-mm")</f>
        <v>2025-07</v>
      </c>
    </row>
    <row r="678" spans="1:10" x14ac:dyDescent="0.35">
      <c r="A678" t="s">
        <v>1067</v>
      </c>
      <c r="B678" s="3">
        <v>45679</v>
      </c>
      <c r="C678" t="s">
        <v>51</v>
      </c>
      <c r="D678" t="s">
        <v>187</v>
      </c>
      <c r="E678" t="s">
        <v>403</v>
      </c>
      <c r="F678">
        <v>3</v>
      </c>
      <c r="G678" s="6">
        <v>94317</v>
      </c>
      <c r="H678">
        <f>COUNTBLANK(Sales_Data[[#This Row],[Revenue]])</f>
        <v>0</v>
      </c>
      <c r="I678">
        <f>COUNTBLANK(Sales_Data[[#This Row],[Quantity]])</f>
        <v>0</v>
      </c>
      <c r="J678" t="str">
        <f>TEXT(Sales_Data[[#This Row],[Date]],"yyyy-mm")</f>
        <v>2025-01</v>
      </c>
    </row>
    <row r="679" spans="1:10" x14ac:dyDescent="0.35">
      <c r="A679" t="s">
        <v>1068</v>
      </c>
      <c r="B679" s="3">
        <v>45728</v>
      </c>
      <c r="C679" t="s">
        <v>41</v>
      </c>
      <c r="D679" t="s">
        <v>99</v>
      </c>
      <c r="E679" t="s">
        <v>387</v>
      </c>
      <c r="F679">
        <v>8</v>
      </c>
      <c r="G679" s="6">
        <v>170096</v>
      </c>
      <c r="H679">
        <f>COUNTBLANK(Sales_Data[[#This Row],[Revenue]])</f>
        <v>0</v>
      </c>
      <c r="I679">
        <f>COUNTBLANK(Sales_Data[[#This Row],[Quantity]])</f>
        <v>0</v>
      </c>
      <c r="J679" t="str">
        <f>TEXT(Sales_Data[[#This Row],[Date]],"yyyy-mm")</f>
        <v>2025-03</v>
      </c>
    </row>
    <row r="680" spans="1:10" x14ac:dyDescent="0.35">
      <c r="A680" t="s">
        <v>1069</v>
      </c>
      <c r="B680" s="3">
        <v>45671</v>
      </c>
      <c r="C680" t="s">
        <v>16</v>
      </c>
      <c r="D680" t="s">
        <v>173</v>
      </c>
      <c r="E680" t="s">
        <v>403</v>
      </c>
      <c r="F680">
        <v>6</v>
      </c>
      <c r="G680" s="6">
        <v>191772</v>
      </c>
      <c r="H680">
        <f>COUNTBLANK(Sales_Data[[#This Row],[Revenue]])</f>
        <v>0</v>
      </c>
      <c r="I680">
        <f>COUNTBLANK(Sales_Data[[#This Row],[Quantity]])</f>
        <v>0</v>
      </c>
      <c r="J680" t="str">
        <f>TEXT(Sales_Data[[#This Row],[Date]],"yyyy-mm")</f>
        <v>2025-01</v>
      </c>
    </row>
    <row r="681" spans="1:10" x14ac:dyDescent="0.35">
      <c r="A681" t="s">
        <v>1070</v>
      </c>
      <c r="B681" s="3">
        <v>45854</v>
      </c>
      <c r="C681" t="s">
        <v>35</v>
      </c>
      <c r="D681" t="s">
        <v>211</v>
      </c>
      <c r="E681" t="s">
        <v>389</v>
      </c>
      <c r="F681">
        <v>7</v>
      </c>
      <c r="G681" s="6">
        <v>346220</v>
      </c>
      <c r="H681">
        <f>COUNTBLANK(Sales_Data[[#This Row],[Revenue]])</f>
        <v>0</v>
      </c>
      <c r="I681">
        <f>COUNTBLANK(Sales_Data[[#This Row],[Quantity]])</f>
        <v>0</v>
      </c>
      <c r="J681" t="str">
        <f>TEXT(Sales_Data[[#This Row],[Date]],"yyyy-mm")</f>
        <v>2025-07</v>
      </c>
    </row>
    <row r="682" spans="1:10" x14ac:dyDescent="0.35">
      <c r="A682" t="s">
        <v>1071</v>
      </c>
      <c r="B682" s="3">
        <v>46014</v>
      </c>
      <c r="C682" t="s">
        <v>55</v>
      </c>
      <c r="D682" t="s">
        <v>335</v>
      </c>
      <c r="E682" t="s">
        <v>389</v>
      </c>
      <c r="F682">
        <v>5</v>
      </c>
      <c r="G682" s="6">
        <v>57075</v>
      </c>
      <c r="H682">
        <f>COUNTBLANK(Sales_Data[[#This Row],[Revenue]])</f>
        <v>0</v>
      </c>
      <c r="I682">
        <f>COUNTBLANK(Sales_Data[[#This Row],[Quantity]])</f>
        <v>0</v>
      </c>
      <c r="J682" t="str">
        <f>TEXT(Sales_Data[[#This Row],[Date]],"yyyy-mm")</f>
        <v>2025-12</v>
      </c>
    </row>
    <row r="683" spans="1:10" x14ac:dyDescent="0.35">
      <c r="A683" t="s">
        <v>1072</v>
      </c>
      <c r="B683" s="3">
        <v>45684</v>
      </c>
      <c r="C683" t="s">
        <v>55</v>
      </c>
      <c r="D683" t="s">
        <v>301</v>
      </c>
      <c r="E683" t="s">
        <v>394</v>
      </c>
      <c r="F683">
        <v>4</v>
      </c>
      <c r="G683" s="6">
        <v>45660</v>
      </c>
      <c r="H683">
        <f>COUNTBLANK(Sales_Data[[#This Row],[Revenue]])</f>
        <v>0</v>
      </c>
      <c r="I683">
        <f>COUNTBLANK(Sales_Data[[#This Row],[Quantity]])</f>
        <v>0</v>
      </c>
      <c r="J683" t="str">
        <f>TEXT(Sales_Data[[#This Row],[Date]],"yyyy-mm")</f>
        <v>2025-01</v>
      </c>
    </row>
    <row r="684" spans="1:10" x14ac:dyDescent="0.35">
      <c r="A684" t="s">
        <v>1073</v>
      </c>
      <c r="B684" s="3">
        <v>45685</v>
      </c>
      <c r="C684" t="s">
        <v>49</v>
      </c>
      <c r="D684" t="s">
        <v>369</v>
      </c>
      <c r="E684" t="s">
        <v>389</v>
      </c>
      <c r="F684">
        <v>6</v>
      </c>
      <c r="G684" s="6">
        <v>273084</v>
      </c>
      <c r="H684">
        <f>COUNTBLANK(Sales_Data[[#This Row],[Revenue]])</f>
        <v>0</v>
      </c>
      <c r="I684">
        <f>COUNTBLANK(Sales_Data[[#This Row],[Quantity]])</f>
        <v>0</v>
      </c>
      <c r="J684" t="str">
        <f>TEXT(Sales_Data[[#This Row],[Date]],"yyyy-mm")</f>
        <v>2025-01</v>
      </c>
    </row>
    <row r="685" spans="1:10" x14ac:dyDescent="0.35">
      <c r="A685" t="s">
        <v>1074</v>
      </c>
      <c r="B685" s="3">
        <v>46021</v>
      </c>
      <c r="C685" t="s">
        <v>25</v>
      </c>
      <c r="D685" t="s">
        <v>351</v>
      </c>
      <c r="E685" t="s">
        <v>387</v>
      </c>
      <c r="F685">
        <v>10</v>
      </c>
      <c r="G685" s="6">
        <v>182430</v>
      </c>
      <c r="H685">
        <f>COUNTBLANK(Sales_Data[[#This Row],[Revenue]])</f>
        <v>0</v>
      </c>
      <c r="I685">
        <f>COUNTBLANK(Sales_Data[[#This Row],[Quantity]])</f>
        <v>0</v>
      </c>
      <c r="J685" t="str">
        <f>TEXT(Sales_Data[[#This Row],[Date]],"yyyy-mm")</f>
        <v>2025-12</v>
      </c>
    </row>
    <row r="686" spans="1:10" x14ac:dyDescent="0.35">
      <c r="A686" t="s">
        <v>1075</v>
      </c>
      <c r="B686" s="3">
        <v>45717</v>
      </c>
      <c r="C686" t="s">
        <v>63</v>
      </c>
      <c r="D686" t="s">
        <v>253</v>
      </c>
      <c r="E686" t="s">
        <v>403</v>
      </c>
      <c r="F686">
        <v>9</v>
      </c>
      <c r="G686" s="6">
        <v>78912</v>
      </c>
      <c r="H686">
        <f>COUNTBLANK(Sales_Data[[#This Row],[Revenue]])</f>
        <v>0</v>
      </c>
      <c r="I686">
        <f>COUNTBLANK(Sales_Data[[#This Row],[Quantity]])</f>
        <v>0</v>
      </c>
      <c r="J686" t="str">
        <f>TEXT(Sales_Data[[#This Row],[Date]],"yyyy-mm")</f>
        <v>2025-03</v>
      </c>
    </row>
    <row r="687" spans="1:10" x14ac:dyDescent="0.35">
      <c r="A687" t="s">
        <v>1076</v>
      </c>
      <c r="B687" s="3">
        <v>45794</v>
      </c>
      <c r="C687" t="s">
        <v>41</v>
      </c>
      <c r="D687" t="s">
        <v>103</v>
      </c>
      <c r="E687" t="s">
        <v>389</v>
      </c>
      <c r="F687">
        <v>5</v>
      </c>
      <c r="G687" s="6">
        <v>106310</v>
      </c>
      <c r="H687">
        <f>COUNTBLANK(Sales_Data[[#This Row],[Revenue]])</f>
        <v>0</v>
      </c>
      <c r="I687">
        <f>COUNTBLANK(Sales_Data[[#This Row],[Quantity]])</f>
        <v>0</v>
      </c>
      <c r="J687" t="str">
        <f>TEXT(Sales_Data[[#This Row],[Date]],"yyyy-mm")</f>
        <v>2025-05</v>
      </c>
    </row>
    <row r="688" spans="1:10" x14ac:dyDescent="0.35">
      <c r="A688" t="s">
        <v>1077</v>
      </c>
      <c r="B688" s="3">
        <v>45884</v>
      </c>
      <c r="C688" t="s">
        <v>27</v>
      </c>
      <c r="D688" t="s">
        <v>233</v>
      </c>
      <c r="E688" t="s">
        <v>391</v>
      </c>
      <c r="F688">
        <v>3</v>
      </c>
      <c r="G688" s="6">
        <v>113052</v>
      </c>
      <c r="H688">
        <f>COUNTBLANK(Sales_Data[[#This Row],[Revenue]])</f>
        <v>0</v>
      </c>
      <c r="I688">
        <f>COUNTBLANK(Sales_Data[[#This Row],[Quantity]])</f>
        <v>0</v>
      </c>
      <c r="J688" t="str">
        <f>TEXT(Sales_Data[[#This Row],[Date]],"yyyy-mm")</f>
        <v>2025-08</v>
      </c>
    </row>
    <row r="689" spans="1:10" x14ac:dyDescent="0.35">
      <c r="A689" t="s">
        <v>1078</v>
      </c>
      <c r="B689" s="3">
        <v>45671</v>
      </c>
      <c r="C689" t="s">
        <v>59</v>
      </c>
      <c r="D689" t="s">
        <v>233</v>
      </c>
      <c r="E689" t="s">
        <v>391</v>
      </c>
      <c r="F689">
        <v>2</v>
      </c>
      <c r="G689" s="6">
        <v>96212</v>
      </c>
      <c r="H689">
        <f>COUNTBLANK(Sales_Data[[#This Row],[Revenue]])</f>
        <v>0</v>
      </c>
      <c r="I689">
        <f>COUNTBLANK(Sales_Data[[#This Row],[Quantity]])</f>
        <v>0</v>
      </c>
      <c r="J689" t="str">
        <f>TEXT(Sales_Data[[#This Row],[Date]],"yyyy-mm")</f>
        <v>2025-01</v>
      </c>
    </row>
    <row r="690" spans="1:10" x14ac:dyDescent="0.35">
      <c r="A690" t="s">
        <v>1079</v>
      </c>
      <c r="B690" s="3">
        <v>45957</v>
      </c>
      <c r="C690" t="s">
        <v>27</v>
      </c>
      <c r="D690" t="s">
        <v>119</v>
      </c>
      <c r="E690" t="s">
        <v>403</v>
      </c>
      <c r="F690">
        <v>10</v>
      </c>
      <c r="G690" s="6">
        <v>376840</v>
      </c>
      <c r="H690">
        <f>COUNTBLANK(Sales_Data[[#This Row],[Revenue]])</f>
        <v>0</v>
      </c>
      <c r="I690">
        <f>COUNTBLANK(Sales_Data[[#This Row],[Quantity]])</f>
        <v>0</v>
      </c>
      <c r="J690" t="str">
        <f>TEXT(Sales_Data[[#This Row],[Date]],"yyyy-mm")</f>
        <v>2025-10</v>
      </c>
    </row>
    <row r="691" spans="1:10" x14ac:dyDescent="0.35">
      <c r="A691" t="s">
        <v>1080</v>
      </c>
      <c r="B691" s="3">
        <v>45986</v>
      </c>
      <c r="C691" t="s">
        <v>37</v>
      </c>
      <c r="D691" t="s">
        <v>245</v>
      </c>
      <c r="E691" t="s">
        <v>391</v>
      </c>
      <c r="F691">
        <v>1</v>
      </c>
      <c r="G691" s="6">
        <v>1953</v>
      </c>
      <c r="H691">
        <f>COUNTBLANK(Sales_Data[[#This Row],[Revenue]])</f>
        <v>0</v>
      </c>
      <c r="I691">
        <f>COUNTBLANK(Sales_Data[[#This Row],[Quantity]])</f>
        <v>0</v>
      </c>
      <c r="J691" t="str">
        <f>TEXT(Sales_Data[[#This Row],[Date]],"yyyy-mm")</f>
        <v>2025-11</v>
      </c>
    </row>
    <row r="692" spans="1:10" x14ac:dyDescent="0.35">
      <c r="A692" t="s">
        <v>1081</v>
      </c>
      <c r="B692" s="3">
        <v>45731</v>
      </c>
      <c r="C692" t="s">
        <v>51</v>
      </c>
      <c r="D692" t="s">
        <v>125</v>
      </c>
      <c r="E692" t="s">
        <v>403</v>
      </c>
      <c r="F692">
        <v>10</v>
      </c>
      <c r="G692" s="6">
        <v>314390</v>
      </c>
      <c r="H692">
        <f>COUNTBLANK(Sales_Data[[#This Row],[Revenue]])</f>
        <v>0</v>
      </c>
      <c r="I692">
        <f>COUNTBLANK(Sales_Data[[#This Row],[Quantity]])</f>
        <v>0</v>
      </c>
      <c r="J692" t="str">
        <f>TEXT(Sales_Data[[#This Row],[Date]],"yyyy-mm")</f>
        <v>2025-03</v>
      </c>
    </row>
    <row r="693" spans="1:10" x14ac:dyDescent="0.35">
      <c r="A693" t="s">
        <v>1082</v>
      </c>
      <c r="B693" s="3">
        <v>45713</v>
      </c>
      <c r="C693" t="s">
        <v>35</v>
      </c>
      <c r="D693" t="s">
        <v>165</v>
      </c>
      <c r="E693" t="s">
        <v>391</v>
      </c>
      <c r="F693">
        <v>4</v>
      </c>
      <c r="G693" s="6">
        <v>197840</v>
      </c>
      <c r="H693">
        <f>COUNTBLANK(Sales_Data[[#This Row],[Revenue]])</f>
        <v>0</v>
      </c>
      <c r="I693">
        <f>COUNTBLANK(Sales_Data[[#This Row],[Quantity]])</f>
        <v>0</v>
      </c>
      <c r="J693" t="str">
        <f>TEXT(Sales_Data[[#This Row],[Date]],"yyyy-mm")</f>
        <v>2025-02</v>
      </c>
    </row>
    <row r="694" spans="1:10" x14ac:dyDescent="0.35">
      <c r="A694" t="s">
        <v>1083</v>
      </c>
      <c r="B694" s="3">
        <v>45776</v>
      </c>
      <c r="C694" t="s">
        <v>27</v>
      </c>
      <c r="D694" t="s">
        <v>91</v>
      </c>
      <c r="E694" t="s">
        <v>389</v>
      </c>
      <c r="F694">
        <v>8</v>
      </c>
      <c r="G694" s="6">
        <v>301472</v>
      </c>
      <c r="H694">
        <f>COUNTBLANK(Sales_Data[[#This Row],[Revenue]])</f>
        <v>0</v>
      </c>
      <c r="I694">
        <f>COUNTBLANK(Sales_Data[[#This Row],[Quantity]])</f>
        <v>0</v>
      </c>
      <c r="J694" t="str">
        <f>TEXT(Sales_Data[[#This Row],[Date]],"yyyy-mm")</f>
        <v>2025-04</v>
      </c>
    </row>
    <row r="695" spans="1:10" x14ac:dyDescent="0.35">
      <c r="A695" t="s">
        <v>1084</v>
      </c>
      <c r="B695" s="3">
        <v>45950</v>
      </c>
      <c r="C695" t="s">
        <v>41</v>
      </c>
      <c r="D695" t="s">
        <v>207</v>
      </c>
      <c r="E695" t="s">
        <v>391</v>
      </c>
      <c r="F695">
        <v>2</v>
      </c>
      <c r="G695" s="6">
        <v>42524</v>
      </c>
      <c r="H695">
        <f>COUNTBLANK(Sales_Data[[#This Row],[Revenue]])</f>
        <v>0</v>
      </c>
      <c r="I695">
        <f>COUNTBLANK(Sales_Data[[#This Row],[Quantity]])</f>
        <v>0</v>
      </c>
      <c r="J695" t="str">
        <f>TEXT(Sales_Data[[#This Row],[Date]],"yyyy-mm")</f>
        <v>2025-10</v>
      </c>
    </row>
    <row r="696" spans="1:10" x14ac:dyDescent="0.35">
      <c r="A696" t="s">
        <v>1085</v>
      </c>
      <c r="B696" s="3">
        <v>45678</v>
      </c>
      <c r="C696" t="s">
        <v>41</v>
      </c>
      <c r="D696" t="s">
        <v>257</v>
      </c>
      <c r="E696" t="s">
        <v>387</v>
      </c>
      <c r="F696">
        <v>3</v>
      </c>
      <c r="G696" s="6">
        <v>63786</v>
      </c>
      <c r="H696">
        <f>COUNTBLANK(Sales_Data[[#This Row],[Revenue]])</f>
        <v>0</v>
      </c>
      <c r="I696">
        <f>COUNTBLANK(Sales_Data[[#This Row],[Quantity]])</f>
        <v>0</v>
      </c>
      <c r="J696" t="str">
        <f>TEXT(Sales_Data[[#This Row],[Date]],"yyyy-mm")</f>
        <v>2025-01</v>
      </c>
    </row>
    <row r="697" spans="1:10" x14ac:dyDescent="0.35">
      <c r="A697" t="s">
        <v>1086</v>
      </c>
      <c r="B697" s="3">
        <v>45763</v>
      </c>
      <c r="C697" t="s">
        <v>65</v>
      </c>
      <c r="D697" t="s">
        <v>227</v>
      </c>
      <c r="E697" t="s">
        <v>387</v>
      </c>
      <c r="F697">
        <v>1</v>
      </c>
      <c r="G697" s="6">
        <v>545</v>
      </c>
      <c r="H697">
        <f>COUNTBLANK(Sales_Data[[#This Row],[Revenue]])</f>
        <v>0</v>
      </c>
      <c r="I697">
        <f>COUNTBLANK(Sales_Data[[#This Row],[Quantity]])</f>
        <v>0</v>
      </c>
      <c r="J697" t="str">
        <f>TEXT(Sales_Data[[#This Row],[Date]],"yyyy-mm")</f>
        <v>2025-04</v>
      </c>
    </row>
    <row r="698" spans="1:10" x14ac:dyDescent="0.35">
      <c r="A698" t="s">
        <v>1087</v>
      </c>
      <c r="B698" s="3">
        <v>45874</v>
      </c>
      <c r="C698" t="s">
        <v>16</v>
      </c>
      <c r="D698" t="s">
        <v>233</v>
      </c>
      <c r="E698" t="s">
        <v>387</v>
      </c>
      <c r="F698">
        <v>7</v>
      </c>
      <c r="G698" s="6">
        <v>223734</v>
      </c>
      <c r="H698">
        <f>COUNTBLANK(Sales_Data[[#This Row],[Revenue]])</f>
        <v>0</v>
      </c>
      <c r="I698">
        <f>COUNTBLANK(Sales_Data[[#This Row],[Quantity]])</f>
        <v>0</v>
      </c>
      <c r="J698" t="str">
        <f>TEXT(Sales_Data[[#This Row],[Date]],"yyyy-mm")</f>
        <v>2025-08</v>
      </c>
    </row>
    <row r="699" spans="1:10" x14ac:dyDescent="0.35">
      <c r="A699" t="s">
        <v>1088</v>
      </c>
      <c r="B699" s="3">
        <v>45974</v>
      </c>
      <c r="C699" t="s">
        <v>21</v>
      </c>
      <c r="D699" t="s">
        <v>121</v>
      </c>
      <c r="E699" t="s">
        <v>391</v>
      </c>
      <c r="F699">
        <v>5</v>
      </c>
      <c r="G699" s="6">
        <v>76045</v>
      </c>
      <c r="H699">
        <f>COUNTBLANK(Sales_Data[[#This Row],[Revenue]])</f>
        <v>0</v>
      </c>
      <c r="I699">
        <f>COUNTBLANK(Sales_Data[[#This Row],[Quantity]])</f>
        <v>0</v>
      </c>
      <c r="J699" t="str">
        <f>TEXT(Sales_Data[[#This Row],[Date]],"yyyy-mm")</f>
        <v>2025-11</v>
      </c>
    </row>
    <row r="700" spans="1:10" x14ac:dyDescent="0.35">
      <c r="A700" t="s">
        <v>1089</v>
      </c>
      <c r="B700" s="3">
        <v>45785</v>
      </c>
      <c r="C700" t="s">
        <v>25</v>
      </c>
      <c r="D700" t="s">
        <v>249</v>
      </c>
      <c r="E700" t="s">
        <v>387</v>
      </c>
      <c r="F700">
        <v>10</v>
      </c>
      <c r="G700" s="6">
        <v>182430</v>
      </c>
      <c r="H700">
        <f>COUNTBLANK(Sales_Data[[#This Row],[Revenue]])</f>
        <v>0</v>
      </c>
      <c r="I700">
        <f>COUNTBLANK(Sales_Data[[#This Row],[Quantity]])</f>
        <v>0</v>
      </c>
      <c r="J700" t="str">
        <f>TEXT(Sales_Data[[#This Row],[Date]],"yyyy-mm")</f>
        <v>2025-05</v>
      </c>
    </row>
    <row r="701" spans="1:10" x14ac:dyDescent="0.35">
      <c r="A701" t="s">
        <v>1090</v>
      </c>
      <c r="B701" s="3">
        <v>45957</v>
      </c>
      <c r="C701" t="s">
        <v>25</v>
      </c>
      <c r="D701" t="s">
        <v>245</v>
      </c>
      <c r="E701" t="s">
        <v>394</v>
      </c>
      <c r="F701">
        <v>9</v>
      </c>
      <c r="G701" s="6">
        <v>164187</v>
      </c>
      <c r="H701">
        <f>COUNTBLANK(Sales_Data[[#This Row],[Revenue]])</f>
        <v>0</v>
      </c>
      <c r="I701">
        <f>COUNTBLANK(Sales_Data[[#This Row],[Quantity]])</f>
        <v>0</v>
      </c>
      <c r="J701" t="str">
        <f>TEXT(Sales_Data[[#This Row],[Date]],"yyyy-mm")</f>
        <v>2025-10</v>
      </c>
    </row>
    <row r="702" spans="1:10" x14ac:dyDescent="0.35">
      <c r="A702" t="s">
        <v>1091</v>
      </c>
      <c r="B702" s="3">
        <v>45955</v>
      </c>
      <c r="C702" t="s">
        <v>61</v>
      </c>
      <c r="D702" t="s">
        <v>88</v>
      </c>
      <c r="E702" t="s">
        <v>403</v>
      </c>
      <c r="F702">
        <v>4</v>
      </c>
      <c r="G702" s="6">
        <v>100064</v>
      </c>
      <c r="H702">
        <f>COUNTBLANK(Sales_Data[[#This Row],[Revenue]])</f>
        <v>0</v>
      </c>
      <c r="I702">
        <f>COUNTBLANK(Sales_Data[[#This Row],[Quantity]])</f>
        <v>0</v>
      </c>
      <c r="J702" t="str">
        <f>TEXT(Sales_Data[[#This Row],[Date]],"yyyy-mm")</f>
        <v>2025-10</v>
      </c>
    </row>
    <row r="703" spans="1:10" x14ac:dyDescent="0.35">
      <c r="A703" t="s">
        <v>1092</v>
      </c>
      <c r="B703" s="3">
        <v>45659</v>
      </c>
      <c r="C703" t="s">
        <v>10</v>
      </c>
      <c r="D703" t="s">
        <v>139</v>
      </c>
      <c r="E703" t="s">
        <v>394</v>
      </c>
      <c r="F703">
        <v>5</v>
      </c>
      <c r="G703" s="6">
        <v>22580</v>
      </c>
      <c r="H703">
        <f>COUNTBLANK(Sales_Data[[#This Row],[Revenue]])</f>
        <v>0</v>
      </c>
      <c r="I703">
        <f>COUNTBLANK(Sales_Data[[#This Row],[Quantity]])</f>
        <v>0</v>
      </c>
      <c r="J703" t="str">
        <f>TEXT(Sales_Data[[#This Row],[Date]],"yyyy-mm")</f>
        <v>2025-01</v>
      </c>
    </row>
    <row r="704" spans="1:10" x14ac:dyDescent="0.35">
      <c r="A704" t="s">
        <v>1093</v>
      </c>
      <c r="B704" s="3">
        <v>46015</v>
      </c>
      <c r="C704" t="s">
        <v>33</v>
      </c>
      <c r="D704" t="s">
        <v>103</v>
      </c>
      <c r="E704" t="s">
        <v>389</v>
      </c>
      <c r="F704">
        <v>6</v>
      </c>
      <c r="G704" s="6">
        <v>217518</v>
      </c>
      <c r="H704">
        <f>COUNTBLANK(Sales_Data[[#This Row],[Revenue]])</f>
        <v>0</v>
      </c>
      <c r="I704">
        <f>COUNTBLANK(Sales_Data[[#This Row],[Quantity]])</f>
        <v>0</v>
      </c>
      <c r="J704" t="str">
        <f>TEXT(Sales_Data[[#This Row],[Date]],"yyyy-mm")</f>
        <v>2025-12</v>
      </c>
    </row>
    <row r="705" spans="1:10" x14ac:dyDescent="0.35">
      <c r="A705" t="s">
        <v>1094</v>
      </c>
      <c r="B705" s="3">
        <v>45968</v>
      </c>
      <c r="C705" t="s">
        <v>51</v>
      </c>
      <c r="D705" t="s">
        <v>151</v>
      </c>
      <c r="E705" t="s">
        <v>387</v>
      </c>
      <c r="F705">
        <v>8</v>
      </c>
      <c r="G705" s="6">
        <v>251512</v>
      </c>
      <c r="H705">
        <f>COUNTBLANK(Sales_Data[[#This Row],[Revenue]])</f>
        <v>0</v>
      </c>
      <c r="I705">
        <f>COUNTBLANK(Sales_Data[[#This Row],[Quantity]])</f>
        <v>0</v>
      </c>
      <c r="J705" t="str">
        <f>TEXT(Sales_Data[[#This Row],[Date]],"yyyy-mm")</f>
        <v>2025-11</v>
      </c>
    </row>
    <row r="706" spans="1:10" x14ac:dyDescent="0.35">
      <c r="A706" t="s">
        <v>1095</v>
      </c>
      <c r="B706" s="3">
        <v>45793</v>
      </c>
      <c r="C706" t="s">
        <v>67</v>
      </c>
      <c r="D706" t="s">
        <v>251</v>
      </c>
      <c r="E706" t="s">
        <v>389</v>
      </c>
      <c r="F706">
        <v>5</v>
      </c>
      <c r="G706" s="6">
        <v>108080</v>
      </c>
      <c r="H706">
        <f>COUNTBLANK(Sales_Data[[#This Row],[Revenue]])</f>
        <v>0</v>
      </c>
      <c r="I706">
        <f>COUNTBLANK(Sales_Data[[#This Row],[Quantity]])</f>
        <v>0</v>
      </c>
      <c r="J706" t="str">
        <f>TEXT(Sales_Data[[#This Row],[Date]],"yyyy-mm")</f>
        <v>2025-05</v>
      </c>
    </row>
    <row r="707" spans="1:10" x14ac:dyDescent="0.35">
      <c r="A707" t="s">
        <v>1096</v>
      </c>
      <c r="B707" s="3">
        <v>45693</v>
      </c>
      <c r="C707" t="s">
        <v>4</v>
      </c>
      <c r="D707" t="s">
        <v>365</v>
      </c>
      <c r="E707" t="s">
        <v>391</v>
      </c>
      <c r="F707">
        <v>3</v>
      </c>
      <c r="G707" s="6">
        <v>35445</v>
      </c>
      <c r="H707">
        <f>COUNTBLANK(Sales_Data[[#This Row],[Revenue]])</f>
        <v>0</v>
      </c>
      <c r="I707">
        <f>COUNTBLANK(Sales_Data[[#This Row],[Quantity]])</f>
        <v>0</v>
      </c>
      <c r="J707" t="str">
        <f>TEXT(Sales_Data[[#This Row],[Date]],"yyyy-mm")</f>
        <v>2025-02</v>
      </c>
    </row>
    <row r="708" spans="1:10" x14ac:dyDescent="0.35">
      <c r="A708" t="s">
        <v>1097</v>
      </c>
      <c r="B708" s="3">
        <v>45680</v>
      </c>
      <c r="C708" t="s">
        <v>10</v>
      </c>
      <c r="D708" t="s">
        <v>239</v>
      </c>
      <c r="E708" t="s">
        <v>391</v>
      </c>
      <c r="F708">
        <v>5</v>
      </c>
      <c r="G708" s="6">
        <v>22580</v>
      </c>
      <c r="H708">
        <f>COUNTBLANK(Sales_Data[[#This Row],[Revenue]])</f>
        <v>0</v>
      </c>
      <c r="I708">
        <f>COUNTBLANK(Sales_Data[[#This Row],[Quantity]])</f>
        <v>0</v>
      </c>
      <c r="J708" t="str">
        <f>TEXT(Sales_Data[[#This Row],[Date]],"yyyy-mm")</f>
        <v>2025-01</v>
      </c>
    </row>
    <row r="709" spans="1:10" x14ac:dyDescent="0.35">
      <c r="A709" t="s">
        <v>1098</v>
      </c>
      <c r="B709" s="3">
        <v>45890</v>
      </c>
      <c r="C709" t="s">
        <v>25</v>
      </c>
      <c r="D709" t="s">
        <v>253</v>
      </c>
      <c r="E709" t="s">
        <v>394</v>
      </c>
      <c r="F709">
        <v>3</v>
      </c>
      <c r="G709" s="6">
        <v>54729</v>
      </c>
      <c r="H709">
        <f>COUNTBLANK(Sales_Data[[#This Row],[Revenue]])</f>
        <v>0</v>
      </c>
      <c r="I709">
        <f>COUNTBLANK(Sales_Data[[#This Row],[Quantity]])</f>
        <v>0</v>
      </c>
      <c r="J709" t="str">
        <f>TEXT(Sales_Data[[#This Row],[Date]],"yyyy-mm")</f>
        <v>2025-08</v>
      </c>
    </row>
    <row r="710" spans="1:10" x14ac:dyDescent="0.35">
      <c r="A710" t="s">
        <v>1099</v>
      </c>
      <c r="B710" s="3">
        <v>45674</v>
      </c>
      <c r="C710" t="s">
        <v>43</v>
      </c>
      <c r="D710" t="s">
        <v>199</v>
      </c>
      <c r="E710" t="s">
        <v>389</v>
      </c>
      <c r="F710">
        <v>5</v>
      </c>
      <c r="G710" s="6">
        <v>189125</v>
      </c>
      <c r="H710">
        <f>COUNTBLANK(Sales_Data[[#This Row],[Revenue]])</f>
        <v>0</v>
      </c>
      <c r="I710">
        <f>COUNTBLANK(Sales_Data[[#This Row],[Quantity]])</f>
        <v>0</v>
      </c>
      <c r="J710" t="str">
        <f>TEXT(Sales_Data[[#This Row],[Date]],"yyyy-mm")</f>
        <v>2025-01</v>
      </c>
    </row>
    <row r="711" spans="1:10" x14ac:dyDescent="0.35">
      <c r="A711" t="s">
        <v>1100</v>
      </c>
      <c r="B711" s="3">
        <v>45977</v>
      </c>
      <c r="C711" t="s">
        <v>45</v>
      </c>
      <c r="D711" t="s">
        <v>311</v>
      </c>
      <c r="E711" t="s">
        <v>394</v>
      </c>
      <c r="F711">
        <v>1</v>
      </c>
      <c r="G711" s="6">
        <v>7826</v>
      </c>
      <c r="H711">
        <f>COUNTBLANK(Sales_Data[[#This Row],[Revenue]])</f>
        <v>0</v>
      </c>
      <c r="I711">
        <f>COUNTBLANK(Sales_Data[[#This Row],[Quantity]])</f>
        <v>0</v>
      </c>
      <c r="J711" t="str">
        <f>TEXT(Sales_Data[[#This Row],[Date]],"yyyy-mm")</f>
        <v>2025-11</v>
      </c>
    </row>
    <row r="712" spans="1:10" x14ac:dyDescent="0.35">
      <c r="A712" t="s">
        <v>1101</v>
      </c>
      <c r="B712" s="3">
        <v>45746</v>
      </c>
      <c r="C712" t="s">
        <v>55</v>
      </c>
      <c r="D712" t="s">
        <v>343</v>
      </c>
      <c r="E712" t="s">
        <v>391</v>
      </c>
      <c r="F712">
        <v>2</v>
      </c>
      <c r="G712" s="6">
        <v>22830</v>
      </c>
      <c r="H712">
        <f>COUNTBLANK(Sales_Data[[#This Row],[Revenue]])</f>
        <v>0</v>
      </c>
      <c r="I712">
        <f>COUNTBLANK(Sales_Data[[#This Row],[Quantity]])</f>
        <v>0</v>
      </c>
      <c r="J712" t="str">
        <f>TEXT(Sales_Data[[#This Row],[Date]],"yyyy-mm")</f>
        <v>2025-03</v>
      </c>
    </row>
    <row r="713" spans="1:10" x14ac:dyDescent="0.35">
      <c r="A713" t="s">
        <v>1102</v>
      </c>
      <c r="B713" s="3">
        <v>45856</v>
      </c>
      <c r="C713" t="s">
        <v>61</v>
      </c>
      <c r="D713" t="s">
        <v>123</v>
      </c>
      <c r="E713" t="s">
        <v>387</v>
      </c>
      <c r="F713">
        <v>5</v>
      </c>
      <c r="G713" s="6">
        <v>125080</v>
      </c>
      <c r="H713">
        <f>COUNTBLANK(Sales_Data[[#This Row],[Revenue]])</f>
        <v>0</v>
      </c>
      <c r="I713">
        <f>COUNTBLANK(Sales_Data[[#This Row],[Quantity]])</f>
        <v>0</v>
      </c>
      <c r="J713" t="str">
        <f>TEXT(Sales_Data[[#This Row],[Date]],"yyyy-mm")</f>
        <v>2025-07</v>
      </c>
    </row>
    <row r="714" spans="1:10" x14ac:dyDescent="0.35">
      <c r="A714" t="s">
        <v>1103</v>
      </c>
      <c r="B714" s="3">
        <v>45997</v>
      </c>
      <c r="C714" t="s">
        <v>29</v>
      </c>
      <c r="D714" t="s">
        <v>173</v>
      </c>
      <c r="E714" t="s">
        <v>391</v>
      </c>
      <c r="F714">
        <v>3</v>
      </c>
      <c r="G714" s="6">
        <v>127932</v>
      </c>
      <c r="H714">
        <f>COUNTBLANK(Sales_Data[[#This Row],[Revenue]])</f>
        <v>0</v>
      </c>
      <c r="I714">
        <f>COUNTBLANK(Sales_Data[[#This Row],[Quantity]])</f>
        <v>0</v>
      </c>
      <c r="J714" t="str">
        <f>TEXT(Sales_Data[[#This Row],[Date]],"yyyy-mm")</f>
        <v>2025-12</v>
      </c>
    </row>
    <row r="715" spans="1:10" x14ac:dyDescent="0.35">
      <c r="A715" t="s">
        <v>1104</v>
      </c>
      <c r="B715" s="3">
        <v>45918</v>
      </c>
      <c r="C715" t="s">
        <v>49</v>
      </c>
      <c r="D715" t="s">
        <v>213</v>
      </c>
      <c r="E715" t="s">
        <v>389</v>
      </c>
      <c r="F715">
        <v>8</v>
      </c>
      <c r="G715" s="6">
        <v>364112</v>
      </c>
      <c r="H715">
        <f>COUNTBLANK(Sales_Data[[#This Row],[Revenue]])</f>
        <v>0</v>
      </c>
      <c r="I715">
        <f>COUNTBLANK(Sales_Data[[#This Row],[Quantity]])</f>
        <v>0</v>
      </c>
      <c r="J715" t="str">
        <f>TEXT(Sales_Data[[#This Row],[Date]],"yyyy-mm")</f>
        <v>2025-09</v>
      </c>
    </row>
    <row r="716" spans="1:10" x14ac:dyDescent="0.35">
      <c r="A716" t="s">
        <v>1105</v>
      </c>
      <c r="B716" s="3">
        <v>45943</v>
      </c>
      <c r="C716" t="s">
        <v>41</v>
      </c>
      <c r="D716" t="s">
        <v>229</v>
      </c>
      <c r="E716" t="s">
        <v>403</v>
      </c>
      <c r="F716">
        <v>2</v>
      </c>
      <c r="G716" s="6">
        <v>42524</v>
      </c>
      <c r="H716">
        <f>COUNTBLANK(Sales_Data[[#This Row],[Revenue]])</f>
        <v>0</v>
      </c>
      <c r="I716">
        <f>COUNTBLANK(Sales_Data[[#This Row],[Quantity]])</f>
        <v>0</v>
      </c>
      <c r="J716" t="str">
        <f>TEXT(Sales_Data[[#This Row],[Date]],"yyyy-mm")</f>
        <v>2025-10</v>
      </c>
    </row>
    <row r="717" spans="1:10" x14ac:dyDescent="0.35">
      <c r="A717" t="s">
        <v>1106</v>
      </c>
      <c r="B717" s="3">
        <v>45796</v>
      </c>
      <c r="C717" t="s">
        <v>37</v>
      </c>
      <c r="D717" t="s">
        <v>261</v>
      </c>
      <c r="E717" t="s">
        <v>387</v>
      </c>
      <c r="F717">
        <v>8</v>
      </c>
      <c r="G717" s="6">
        <v>15624</v>
      </c>
      <c r="H717">
        <f>COUNTBLANK(Sales_Data[[#This Row],[Revenue]])</f>
        <v>0</v>
      </c>
      <c r="I717">
        <f>COUNTBLANK(Sales_Data[[#This Row],[Quantity]])</f>
        <v>0</v>
      </c>
      <c r="J717" t="str">
        <f>TEXT(Sales_Data[[#This Row],[Date]],"yyyy-mm")</f>
        <v>2025-05</v>
      </c>
    </row>
    <row r="718" spans="1:10" x14ac:dyDescent="0.35">
      <c r="A718" t="s">
        <v>1107</v>
      </c>
      <c r="B718" s="3">
        <v>45666</v>
      </c>
      <c r="C718" t="s">
        <v>19</v>
      </c>
      <c r="D718" t="s">
        <v>275</v>
      </c>
      <c r="E718" t="s">
        <v>387</v>
      </c>
      <c r="F718">
        <v>4</v>
      </c>
      <c r="G718" s="6">
        <v>168636</v>
      </c>
      <c r="H718">
        <f>COUNTBLANK(Sales_Data[[#This Row],[Revenue]])</f>
        <v>0</v>
      </c>
      <c r="I718">
        <f>COUNTBLANK(Sales_Data[[#This Row],[Quantity]])</f>
        <v>0</v>
      </c>
      <c r="J718" t="str">
        <f>TEXT(Sales_Data[[#This Row],[Date]],"yyyy-mm")</f>
        <v>2025-01</v>
      </c>
    </row>
    <row r="719" spans="1:10" x14ac:dyDescent="0.35">
      <c r="A719" t="s">
        <v>1108</v>
      </c>
      <c r="B719" s="3">
        <v>45968</v>
      </c>
      <c r="C719" t="s">
        <v>7</v>
      </c>
      <c r="D719" t="s">
        <v>91</v>
      </c>
      <c r="E719" t="s">
        <v>394</v>
      </c>
      <c r="F719">
        <v>1</v>
      </c>
      <c r="G719" s="6">
        <v>26133</v>
      </c>
      <c r="H719">
        <f>COUNTBLANK(Sales_Data[[#This Row],[Revenue]])</f>
        <v>0</v>
      </c>
      <c r="I719">
        <f>COUNTBLANK(Sales_Data[[#This Row],[Quantity]])</f>
        <v>0</v>
      </c>
      <c r="J719" t="str">
        <f>TEXT(Sales_Data[[#This Row],[Date]],"yyyy-mm")</f>
        <v>2025-11</v>
      </c>
    </row>
    <row r="720" spans="1:10" x14ac:dyDescent="0.35">
      <c r="A720" t="s">
        <v>1109</v>
      </c>
      <c r="B720" s="3">
        <v>45847</v>
      </c>
      <c r="C720" t="s">
        <v>7</v>
      </c>
      <c r="D720" t="s">
        <v>309</v>
      </c>
      <c r="E720" t="s">
        <v>391</v>
      </c>
      <c r="F720">
        <v>6</v>
      </c>
      <c r="G720" s="6">
        <v>156798</v>
      </c>
      <c r="H720">
        <f>COUNTBLANK(Sales_Data[[#This Row],[Revenue]])</f>
        <v>0</v>
      </c>
      <c r="I720">
        <f>COUNTBLANK(Sales_Data[[#This Row],[Quantity]])</f>
        <v>0</v>
      </c>
      <c r="J720" t="str">
        <f>TEXT(Sales_Data[[#This Row],[Date]],"yyyy-mm")</f>
        <v>2025-07</v>
      </c>
    </row>
    <row r="721" spans="1:10" x14ac:dyDescent="0.35">
      <c r="A721" t="s">
        <v>1110</v>
      </c>
      <c r="B721" s="3">
        <v>45965</v>
      </c>
      <c r="C721" t="s">
        <v>45</v>
      </c>
      <c r="D721" t="s">
        <v>301</v>
      </c>
      <c r="E721" t="s">
        <v>391</v>
      </c>
      <c r="F721">
        <v>8</v>
      </c>
      <c r="G721" s="6">
        <v>62608</v>
      </c>
      <c r="H721">
        <f>COUNTBLANK(Sales_Data[[#This Row],[Revenue]])</f>
        <v>0</v>
      </c>
      <c r="I721">
        <f>COUNTBLANK(Sales_Data[[#This Row],[Quantity]])</f>
        <v>0</v>
      </c>
      <c r="J721" t="str">
        <f>TEXT(Sales_Data[[#This Row],[Date]],"yyyy-mm")</f>
        <v>2025-11</v>
      </c>
    </row>
    <row r="722" spans="1:10" x14ac:dyDescent="0.35">
      <c r="A722" t="s">
        <v>1111</v>
      </c>
      <c r="B722" s="3">
        <v>45707</v>
      </c>
      <c r="C722" t="s">
        <v>33</v>
      </c>
      <c r="D722" t="s">
        <v>219</v>
      </c>
      <c r="E722" t="s">
        <v>389</v>
      </c>
      <c r="F722">
        <v>1</v>
      </c>
      <c r="G722" s="6">
        <v>36253</v>
      </c>
      <c r="H722">
        <f>COUNTBLANK(Sales_Data[[#This Row],[Revenue]])</f>
        <v>0</v>
      </c>
      <c r="I722">
        <f>COUNTBLANK(Sales_Data[[#This Row],[Quantity]])</f>
        <v>0</v>
      </c>
      <c r="J722" t="str">
        <f>TEXT(Sales_Data[[#This Row],[Date]],"yyyy-mm")</f>
        <v>2025-02</v>
      </c>
    </row>
    <row r="723" spans="1:10" x14ac:dyDescent="0.35">
      <c r="A723" t="s">
        <v>1112</v>
      </c>
      <c r="B723" s="3">
        <v>45754</v>
      </c>
      <c r="C723" t="s">
        <v>29</v>
      </c>
      <c r="D723" t="s">
        <v>215</v>
      </c>
      <c r="E723" t="s">
        <v>389</v>
      </c>
      <c r="F723">
        <v>6</v>
      </c>
      <c r="G723" s="6">
        <v>255864</v>
      </c>
      <c r="H723">
        <f>COUNTBLANK(Sales_Data[[#This Row],[Revenue]])</f>
        <v>0</v>
      </c>
      <c r="I723">
        <f>COUNTBLANK(Sales_Data[[#This Row],[Quantity]])</f>
        <v>0</v>
      </c>
      <c r="J723" t="str">
        <f>TEXT(Sales_Data[[#This Row],[Date]],"yyyy-mm")</f>
        <v>2025-04</v>
      </c>
    </row>
    <row r="724" spans="1:10" x14ac:dyDescent="0.35">
      <c r="A724" t="s">
        <v>1113</v>
      </c>
      <c r="B724" s="3">
        <v>45725</v>
      </c>
      <c r="C724" t="s">
        <v>19</v>
      </c>
      <c r="D724" t="s">
        <v>241</v>
      </c>
      <c r="E724" t="s">
        <v>394</v>
      </c>
      <c r="F724">
        <v>9</v>
      </c>
      <c r="G724" s="6">
        <v>379431</v>
      </c>
      <c r="H724">
        <f>COUNTBLANK(Sales_Data[[#This Row],[Revenue]])</f>
        <v>0</v>
      </c>
      <c r="I724">
        <f>COUNTBLANK(Sales_Data[[#This Row],[Quantity]])</f>
        <v>0</v>
      </c>
      <c r="J724" t="str">
        <f>TEXT(Sales_Data[[#This Row],[Date]],"yyyy-mm")</f>
        <v>2025-03</v>
      </c>
    </row>
    <row r="725" spans="1:10" x14ac:dyDescent="0.35">
      <c r="A725" t="s">
        <v>1114</v>
      </c>
      <c r="B725" s="3">
        <v>45983</v>
      </c>
      <c r="C725" t="s">
        <v>37</v>
      </c>
      <c r="D725" t="s">
        <v>119</v>
      </c>
      <c r="E725" t="s">
        <v>394</v>
      </c>
      <c r="F725">
        <v>3</v>
      </c>
      <c r="G725" s="6">
        <v>5859</v>
      </c>
      <c r="H725">
        <f>COUNTBLANK(Sales_Data[[#This Row],[Revenue]])</f>
        <v>0</v>
      </c>
      <c r="I725">
        <f>COUNTBLANK(Sales_Data[[#This Row],[Quantity]])</f>
        <v>0</v>
      </c>
      <c r="J725" t="str">
        <f>TEXT(Sales_Data[[#This Row],[Date]],"yyyy-mm")</f>
        <v>2025-11</v>
      </c>
    </row>
    <row r="726" spans="1:10" x14ac:dyDescent="0.35">
      <c r="A726" t="s">
        <v>1115</v>
      </c>
      <c r="B726" s="3">
        <v>45904</v>
      </c>
      <c r="C726" t="s">
        <v>33</v>
      </c>
      <c r="D726" t="s">
        <v>133</v>
      </c>
      <c r="E726" t="s">
        <v>387</v>
      </c>
      <c r="F726">
        <v>2</v>
      </c>
      <c r="G726" s="6">
        <v>72506</v>
      </c>
      <c r="H726">
        <f>COUNTBLANK(Sales_Data[[#This Row],[Revenue]])</f>
        <v>0</v>
      </c>
      <c r="I726">
        <f>COUNTBLANK(Sales_Data[[#This Row],[Quantity]])</f>
        <v>0</v>
      </c>
      <c r="J726" t="str">
        <f>TEXT(Sales_Data[[#This Row],[Date]],"yyyy-mm")</f>
        <v>2025-09</v>
      </c>
    </row>
    <row r="727" spans="1:10" x14ac:dyDescent="0.35">
      <c r="A727" t="s">
        <v>1116</v>
      </c>
      <c r="B727" s="3">
        <v>45840</v>
      </c>
      <c r="C727" t="s">
        <v>59</v>
      </c>
      <c r="D727" t="s">
        <v>245</v>
      </c>
      <c r="E727" t="s">
        <v>403</v>
      </c>
      <c r="F727">
        <v>7</v>
      </c>
      <c r="G727" s="6">
        <v>336742</v>
      </c>
      <c r="H727">
        <f>COUNTBLANK(Sales_Data[[#This Row],[Revenue]])</f>
        <v>0</v>
      </c>
      <c r="I727">
        <f>COUNTBLANK(Sales_Data[[#This Row],[Quantity]])</f>
        <v>0</v>
      </c>
      <c r="J727" t="str">
        <f>TEXT(Sales_Data[[#This Row],[Date]],"yyyy-mm")</f>
        <v>2025-07</v>
      </c>
    </row>
    <row r="728" spans="1:10" x14ac:dyDescent="0.35">
      <c r="A728" t="s">
        <v>1117</v>
      </c>
      <c r="B728" s="3">
        <v>45881</v>
      </c>
      <c r="C728" t="s">
        <v>10</v>
      </c>
      <c r="D728" t="s">
        <v>267</v>
      </c>
      <c r="E728" t="s">
        <v>389</v>
      </c>
      <c r="F728">
        <v>2</v>
      </c>
      <c r="G728" s="6">
        <v>9032</v>
      </c>
      <c r="H728">
        <f>COUNTBLANK(Sales_Data[[#This Row],[Revenue]])</f>
        <v>0</v>
      </c>
      <c r="I728">
        <f>COUNTBLANK(Sales_Data[[#This Row],[Quantity]])</f>
        <v>0</v>
      </c>
      <c r="J728" t="str">
        <f>TEXT(Sales_Data[[#This Row],[Date]],"yyyy-mm")</f>
        <v>2025-08</v>
      </c>
    </row>
    <row r="729" spans="1:10" x14ac:dyDescent="0.35">
      <c r="A729" t="s">
        <v>1118</v>
      </c>
      <c r="B729" s="3">
        <v>45708</v>
      </c>
      <c r="C729" t="s">
        <v>47</v>
      </c>
      <c r="D729" t="s">
        <v>167</v>
      </c>
      <c r="E729" t="s">
        <v>403</v>
      </c>
      <c r="F729">
        <v>2</v>
      </c>
      <c r="G729" s="6">
        <v>44124</v>
      </c>
      <c r="H729">
        <f>COUNTBLANK(Sales_Data[[#This Row],[Revenue]])</f>
        <v>0</v>
      </c>
      <c r="I729">
        <f>COUNTBLANK(Sales_Data[[#This Row],[Quantity]])</f>
        <v>0</v>
      </c>
      <c r="J729" t="str">
        <f>TEXT(Sales_Data[[#This Row],[Date]],"yyyy-mm")</f>
        <v>2025-02</v>
      </c>
    </row>
    <row r="730" spans="1:10" x14ac:dyDescent="0.35">
      <c r="A730" t="s">
        <v>1119</v>
      </c>
      <c r="B730" s="3">
        <v>45913</v>
      </c>
      <c r="C730" t="s">
        <v>55</v>
      </c>
      <c r="D730" t="s">
        <v>253</v>
      </c>
      <c r="E730" t="s">
        <v>391</v>
      </c>
      <c r="F730">
        <v>8</v>
      </c>
      <c r="G730" s="6">
        <v>91320</v>
      </c>
      <c r="H730">
        <f>COUNTBLANK(Sales_Data[[#This Row],[Revenue]])</f>
        <v>0</v>
      </c>
      <c r="I730">
        <f>COUNTBLANK(Sales_Data[[#This Row],[Quantity]])</f>
        <v>0</v>
      </c>
      <c r="J730" t="str">
        <f>TEXT(Sales_Data[[#This Row],[Date]],"yyyy-mm")</f>
        <v>2025-09</v>
      </c>
    </row>
    <row r="731" spans="1:10" x14ac:dyDescent="0.35">
      <c r="A731" t="s">
        <v>1120</v>
      </c>
      <c r="B731" s="3">
        <v>45774</v>
      </c>
      <c r="C731" t="s">
        <v>45</v>
      </c>
      <c r="D731" t="s">
        <v>315</v>
      </c>
      <c r="E731" t="s">
        <v>394</v>
      </c>
      <c r="F731">
        <v>1</v>
      </c>
      <c r="G731" s="6">
        <v>7826</v>
      </c>
      <c r="H731">
        <f>COUNTBLANK(Sales_Data[[#This Row],[Revenue]])</f>
        <v>0</v>
      </c>
      <c r="I731">
        <f>COUNTBLANK(Sales_Data[[#This Row],[Quantity]])</f>
        <v>0</v>
      </c>
      <c r="J731" t="str">
        <f>TEXT(Sales_Data[[#This Row],[Date]],"yyyy-mm")</f>
        <v>2025-04</v>
      </c>
    </row>
    <row r="732" spans="1:10" x14ac:dyDescent="0.35">
      <c r="A732" t="s">
        <v>1121</v>
      </c>
      <c r="B732" s="3">
        <v>45761</v>
      </c>
      <c r="C732" t="s">
        <v>47</v>
      </c>
      <c r="D732" t="s">
        <v>365</v>
      </c>
      <c r="E732" t="s">
        <v>403</v>
      </c>
      <c r="F732">
        <v>4</v>
      </c>
      <c r="G732" s="6">
        <v>88248</v>
      </c>
      <c r="H732">
        <f>COUNTBLANK(Sales_Data[[#This Row],[Revenue]])</f>
        <v>0</v>
      </c>
      <c r="I732">
        <f>COUNTBLANK(Sales_Data[[#This Row],[Quantity]])</f>
        <v>0</v>
      </c>
      <c r="J732" t="str">
        <f>TEXT(Sales_Data[[#This Row],[Date]],"yyyy-mm")</f>
        <v>2025-04</v>
      </c>
    </row>
    <row r="733" spans="1:10" x14ac:dyDescent="0.35">
      <c r="A733" t="s">
        <v>1122</v>
      </c>
      <c r="B733" s="3">
        <v>45823</v>
      </c>
      <c r="C733" t="s">
        <v>41</v>
      </c>
      <c r="D733" t="s">
        <v>171</v>
      </c>
      <c r="E733" t="s">
        <v>403</v>
      </c>
      <c r="F733">
        <v>3</v>
      </c>
      <c r="G733" s="6">
        <v>63786</v>
      </c>
      <c r="H733">
        <f>COUNTBLANK(Sales_Data[[#This Row],[Revenue]])</f>
        <v>0</v>
      </c>
      <c r="I733">
        <f>COUNTBLANK(Sales_Data[[#This Row],[Quantity]])</f>
        <v>0</v>
      </c>
      <c r="J733" t="str">
        <f>TEXT(Sales_Data[[#This Row],[Date]],"yyyy-mm")</f>
        <v>2025-06</v>
      </c>
    </row>
    <row r="734" spans="1:10" x14ac:dyDescent="0.35">
      <c r="A734" t="s">
        <v>1123</v>
      </c>
      <c r="B734" s="3">
        <v>45734</v>
      </c>
      <c r="C734" t="s">
        <v>67</v>
      </c>
      <c r="D734" t="s">
        <v>163</v>
      </c>
      <c r="E734" t="s">
        <v>394</v>
      </c>
      <c r="F734">
        <v>10</v>
      </c>
      <c r="G734" s="6">
        <v>216160</v>
      </c>
      <c r="H734">
        <f>COUNTBLANK(Sales_Data[[#This Row],[Revenue]])</f>
        <v>0</v>
      </c>
      <c r="I734">
        <f>COUNTBLANK(Sales_Data[[#This Row],[Quantity]])</f>
        <v>0</v>
      </c>
      <c r="J734" t="str">
        <f>TEXT(Sales_Data[[#This Row],[Date]],"yyyy-mm")</f>
        <v>2025-03</v>
      </c>
    </row>
    <row r="735" spans="1:10" x14ac:dyDescent="0.35">
      <c r="A735" t="s">
        <v>1124</v>
      </c>
      <c r="B735" s="3">
        <v>45714</v>
      </c>
      <c r="C735" t="s">
        <v>61</v>
      </c>
      <c r="D735" t="s">
        <v>107</v>
      </c>
      <c r="E735" t="s">
        <v>394</v>
      </c>
      <c r="F735">
        <v>2</v>
      </c>
      <c r="G735" s="6">
        <v>50032</v>
      </c>
      <c r="H735">
        <f>COUNTBLANK(Sales_Data[[#This Row],[Revenue]])</f>
        <v>0</v>
      </c>
      <c r="I735">
        <f>COUNTBLANK(Sales_Data[[#This Row],[Quantity]])</f>
        <v>0</v>
      </c>
      <c r="J735" t="str">
        <f>TEXT(Sales_Data[[#This Row],[Date]],"yyyy-mm")</f>
        <v>2025-02</v>
      </c>
    </row>
    <row r="736" spans="1:10" x14ac:dyDescent="0.35">
      <c r="A736" t="s">
        <v>1125</v>
      </c>
      <c r="B736" s="3">
        <v>45919</v>
      </c>
      <c r="C736" t="s">
        <v>39</v>
      </c>
      <c r="D736" t="s">
        <v>111</v>
      </c>
      <c r="E736" t="s">
        <v>389</v>
      </c>
      <c r="F736">
        <v>7</v>
      </c>
      <c r="G736" s="6">
        <v>338016</v>
      </c>
      <c r="H736">
        <f>COUNTBLANK(Sales_Data[[#This Row],[Revenue]])</f>
        <v>0</v>
      </c>
      <c r="I736">
        <f>COUNTBLANK(Sales_Data[[#This Row],[Quantity]])</f>
        <v>0</v>
      </c>
      <c r="J736" t="str">
        <f>TEXT(Sales_Data[[#This Row],[Date]],"yyyy-mm")</f>
        <v>2025-09</v>
      </c>
    </row>
    <row r="737" spans="1:10" x14ac:dyDescent="0.35">
      <c r="A737" t="s">
        <v>1126</v>
      </c>
      <c r="B737" s="3">
        <v>45815</v>
      </c>
      <c r="C737" t="s">
        <v>55</v>
      </c>
      <c r="D737" t="s">
        <v>269</v>
      </c>
      <c r="E737" t="s">
        <v>391</v>
      </c>
      <c r="F737">
        <v>8</v>
      </c>
      <c r="G737" s="6">
        <v>91320</v>
      </c>
      <c r="H737">
        <f>COUNTBLANK(Sales_Data[[#This Row],[Revenue]])</f>
        <v>0</v>
      </c>
      <c r="I737">
        <f>COUNTBLANK(Sales_Data[[#This Row],[Quantity]])</f>
        <v>0</v>
      </c>
      <c r="J737" t="str">
        <f>TEXT(Sales_Data[[#This Row],[Date]],"yyyy-mm")</f>
        <v>2025-06</v>
      </c>
    </row>
    <row r="738" spans="1:10" x14ac:dyDescent="0.35">
      <c r="A738" t="s">
        <v>1127</v>
      </c>
      <c r="B738" s="3">
        <v>45686</v>
      </c>
      <c r="C738" t="s">
        <v>55</v>
      </c>
      <c r="D738" t="s">
        <v>367</v>
      </c>
      <c r="E738" t="s">
        <v>389</v>
      </c>
      <c r="F738">
        <v>2</v>
      </c>
      <c r="G738" s="6">
        <v>22830</v>
      </c>
      <c r="H738">
        <f>COUNTBLANK(Sales_Data[[#This Row],[Revenue]])</f>
        <v>0</v>
      </c>
      <c r="I738">
        <f>COUNTBLANK(Sales_Data[[#This Row],[Quantity]])</f>
        <v>0</v>
      </c>
      <c r="J738" t="str">
        <f>TEXT(Sales_Data[[#This Row],[Date]],"yyyy-mm")</f>
        <v>2025-01</v>
      </c>
    </row>
    <row r="739" spans="1:10" x14ac:dyDescent="0.35">
      <c r="A739" t="s">
        <v>1128</v>
      </c>
      <c r="B739" s="3">
        <v>45871</v>
      </c>
      <c r="C739" t="s">
        <v>29</v>
      </c>
      <c r="D739" t="s">
        <v>113</v>
      </c>
      <c r="E739" t="s">
        <v>403</v>
      </c>
      <c r="F739">
        <v>2</v>
      </c>
      <c r="G739" s="6">
        <v>85288</v>
      </c>
      <c r="H739">
        <f>COUNTBLANK(Sales_Data[[#This Row],[Revenue]])</f>
        <v>0</v>
      </c>
      <c r="I739">
        <f>COUNTBLANK(Sales_Data[[#This Row],[Quantity]])</f>
        <v>0</v>
      </c>
      <c r="J739" t="str">
        <f>TEXT(Sales_Data[[#This Row],[Date]],"yyyy-mm")</f>
        <v>2025-08</v>
      </c>
    </row>
    <row r="740" spans="1:10" x14ac:dyDescent="0.35">
      <c r="A740" t="s">
        <v>1129</v>
      </c>
      <c r="B740" s="3">
        <v>45804</v>
      </c>
      <c r="C740" t="s">
        <v>31</v>
      </c>
      <c r="D740" t="s">
        <v>341</v>
      </c>
      <c r="E740" t="s">
        <v>394</v>
      </c>
      <c r="F740">
        <v>9</v>
      </c>
      <c r="G740" s="6">
        <v>269694</v>
      </c>
      <c r="H740">
        <f>COUNTBLANK(Sales_Data[[#This Row],[Revenue]])</f>
        <v>0</v>
      </c>
      <c r="I740">
        <f>COUNTBLANK(Sales_Data[[#This Row],[Quantity]])</f>
        <v>0</v>
      </c>
      <c r="J740" t="str">
        <f>TEXT(Sales_Data[[#This Row],[Date]],"yyyy-mm")</f>
        <v>2025-05</v>
      </c>
    </row>
    <row r="741" spans="1:10" x14ac:dyDescent="0.35">
      <c r="A741" t="s">
        <v>1130</v>
      </c>
      <c r="B741" s="3">
        <v>45935</v>
      </c>
      <c r="C741" t="s">
        <v>47</v>
      </c>
      <c r="D741" t="s">
        <v>251</v>
      </c>
      <c r="E741" t="s">
        <v>387</v>
      </c>
      <c r="F741">
        <v>5</v>
      </c>
      <c r="G741" s="6">
        <v>110310</v>
      </c>
      <c r="H741">
        <f>COUNTBLANK(Sales_Data[[#This Row],[Revenue]])</f>
        <v>0</v>
      </c>
      <c r="I741">
        <f>COUNTBLANK(Sales_Data[[#This Row],[Quantity]])</f>
        <v>0</v>
      </c>
      <c r="J741" t="str">
        <f>TEXT(Sales_Data[[#This Row],[Date]],"yyyy-mm")</f>
        <v>2025-10</v>
      </c>
    </row>
    <row r="742" spans="1:10" x14ac:dyDescent="0.35">
      <c r="A742" t="s">
        <v>1131</v>
      </c>
      <c r="B742" s="3">
        <v>45764</v>
      </c>
      <c r="C742" t="s">
        <v>29</v>
      </c>
      <c r="D742" t="s">
        <v>74</v>
      </c>
      <c r="E742" t="s">
        <v>403</v>
      </c>
      <c r="F742">
        <v>4</v>
      </c>
      <c r="G742" s="6">
        <v>170576</v>
      </c>
      <c r="H742">
        <f>COUNTBLANK(Sales_Data[[#This Row],[Revenue]])</f>
        <v>0</v>
      </c>
      <c r="I742">
        <f>COUNTBLANK(Sales_Data[[#This Row],[Quantity]])</f>
        <v>0</v>
      </c>
      <c r="J742" t="str">
        <f>TEXT(Sales_Data[[#This Row],[Date]],"yyyy-mm")</f>
        <v>2025-04</v>
      </c>
    </row>
    <row r="743" spans="1:10" x14ac:dyDescent="0.35">
      <c r="A743" t="s">
        <v>1132</v>
      </c>
      <c r="B743" s="3">
        <v>45678</v>
      </c>
      <c r="C743" t="s">
        <v>45</v>
      </c>
      <c r="D743" t="s">
        <v>361</v>
      </c>
      <c r="E743" t="s">
        <v>403</v>
      </c>
      <c r="F743">
        <v>8</v>
      </c>
      <c r="G743" s="6">
        <v>62608</v>
      </c>
      <c r="H743">
        <f>COUNTBLANK(Sales_Data[[#This Row],[Revenue]])</f>
        <v>0</v>
      </c>
      <c r="I743">
        <f>COUNTBLANK(Sales_Data[[#This Row],[Quantity]])</f>
        <v>0</v>
      </c>
      <c r="J743" t="str">
        <f>TEXT(Sales_Data[[#This Row],[Date]],"yyyy-mm")</f>
        <v>2025-01</v>
      </c>
    </row>
    <row r="744" spans="1:10" x14ac:dyDescent="0.35">
      <c r="A744" t="s">
        <v>1133</v>
      </c>
      <c r="B744" s="3">
        <v>45916</v>
      </c>
      <c r="C744" t="s">
        <v>10</v>
      </c>
      <c r="D744" t="s">
        <v>211</v>
      </c>
      <c r="E744" t="s">
        <v>391</v>
      </c>
      <c r="F744">
        <v>5</v>
      </c>
      <c r="G744" s="6">
        <v>22580</v>
      </c>
      <c r="H744">
        <f>COUNTBLANK(Sales_Data[[#This Row],[Revenue]])</f>
        <v>0</v>
      </c>
      <c r="I744">
        <f>COUNTBLANK(Sales_Data[[#This Row],[Quantity]])</f>
        <v>0</v>
      </c>
      <c r="J744" t="str">
        <f>TEXT(Sales_Data[[#This Row],[Date]],"yyyy-mm")</f>
        <v>2025-09</v>
      </c>
    </row>
    <row r="745" spans="1:10" x14ac:dyDescent="0.35">
      <c r="A745" t="s">
        <v>1134</v>
      </c>
      <c r="B745" s="3">
        <v>46015</v>
      </c>
      <c r="C745" t="s">
        <v>39</v>
      </c>
      <c r="D745" t="s">
        <v>309</v>
      </c>
      <c r="E745" t="s">
        <v>403</v>
      </c>
      <c r="F745">
        <v>6</v>
      </c>
      <c r="G745" s="6">
        <v>289728</v>
      </c>
      <c r="H745">
        <f>COUNTBLANK(Sales_Data[[#This Row],[Revenue]])</f>
        <v>0</v>
      </c>
      <c r="I745">
        <f>COUNTBLANK(Sales_Data[[#This Row],[Quantity]])</f>
        <v>0</v>
      </c>
      <c r="J745" t="str">
        <f>TEXT(Sales_Data[[#This Row],[Date]],"yyyy-mm")</f>
        <v>2025-12</v>
      </c>
    </row>
    <row r="746" spans="1:10" x14ac:dyDescent="0.35">
      <c r="A746" t="s">
        <v>1135</v>
      </c>
      <c r="B746" s="3">
        <v>45845</v>
      </c>
      <c r="C746" t="s">
        <v>41</v>
      </c>
      <c r="D746" t="s">
        <v>173</v>
      </c>
      <c r="E746" t="s">
        <v>389</v>
      </c>
      <c r="F746">
        <v>4</v>
      </c>
      <c r="G746" s="6">
        <v>85048</v>
      </c>
      <c r="H746">
        <f>COUNTBLANK(Sales_Data[[#This Row],[Revenue]])</f>
        <v>0</v>
      </c>
      <c r="I746">
        <f>COUNTBLANK(Sales_Data[[#This Row],[Quantity]])</f>
        <v>0</v>
      </c>
      <c r="J746" t="str">
        <f>TEXT(Sales_Data[[#This Row],[Date]],"yyyy-mm")</f>
        <v>2025-07</v>
      </c>
    </row>
    <row r="747" spans="1:10" x14ac:dyDescent="0.35">
      <c r="A747" t="s">
        <v>1136</v>
      </c>
      <c r="B747" s="3">
        <v>45797</v>
      </c>
      <c r="C747" t="s">
        <v>16</v>
      </c>
      <c r="D747" t="s">
        <v>325</v>
      </c>
      <c r="E747" t="s">
        <v>389</v>
      </c>
      <c r="F747">
        <v>6</v>
      </c>
      <c r="G747" s="6">
        <v>191772</v>
      </c>
      <c r="H747">
        <f>COUNTBLANK(Sales_Data[[#This Row],[Revenue]])</f>
        <v>0</v>
      </c>
      <c r="I747">
        <f>COUNTBLANK(Sales_Data[[#This Row],[Quantity]])</f>
        <v>0</v>
      </c>
      <c r="J747" t="str">
        <f>TEXT(Sales_Data[[#This Row],[Date]],"yyyy-mm")</f>
        <v>2025-05</v>
      </c>
    </row>
    <row r="748" spans="1:10" x14ac:dyDescent="0.35">
      <c r="A748" t="s">
        <v>1137</v>
      </c>
      <c r="B748" s="3">
        <v>45875</v>
      </c>
      <c r="C748" t="s">
        <v>33</v>
      </c>
      <c r="D748" t="s">
        <v>155</v>
      </c>
      <c r="E748" t="s">
        <v>394</v>
      </c>
      <c r="F748">
        <v>4</v>
      </c>
      <c r="G748" s="6">
        <v>145012</v>
      </c>
      <c r="H748">
        <f>COUNTBLANK(Sales_Data[[#This Row],[Revenue]])</f>
        <v>0</v>
      </c>
      <c r="I748">
        <f>COUNTBLANK(Sales_Data[[#This Row],[Quantity]])</f>
        <v>0</v>
      </c>
      <c r="J748" t="str">
        <f>TEXT(Sales_Data[[#This Row],[Date]],"yyyy-mm")</f>
        <v>2025-08</v>
      </c>
    </row>
    <row r="749" spans="1:10" x14ac:dyDescent="0.35">
      <c r="A749" t="s">
        <v>1138</v>
      </c>
      <c r="B749" s="3">
        <v>45785</v>
      </c>
      <c r="C749" t="s">
        <v>33</v>
      </c>
      <c r="D749" t="s">
        <v>345</v>
      </c>
      <c r="E749" t="s">
        <v>387</v>
      </c>
      <c r="F749">
        <v>3</v>
      </c>
      <c r="G749" s="6">
        <v>108759</v>
      </c>
      <c r="H749">
        <f>COUNTBLANK(Sales_Data[[#This Row],[Revenue]])</f>
        <v>0</v>
      </c>
      <c r="I749">
        <f>COUNTBLANK(Sales_Data[[#This Row],[Quantity]])</f>
        <v>0</v>
      </c>
      <c r="J749" t="str">
        <f>TEXT(Sales_Data[[#This Row],[Date]],"yyyy-mm")</f>
        <v>2025-05</v>
      </c>
    </row>
    <row r="750" spans="1:10" x14ac:dyDescent="0.35">
      <c r="A750" t="s">
        <v>1139</v>
      </c>
      <c r="B750" s="3">
        <v>45993</v>
      </c>
      <c r="C750" t="s">
        <v>51</v>
      </c>
      <c r="D750" t="s">
        <v>74</v>
      </c>
      <c r="E750" t="s">
        <v>394</v>
      </c>
      <c r="F750">
        <v>5</v>
      </c>
      <c r="G750" s="6">
        <v>157195</v>
      </c>
      <c r="H750">
        <f>COUNTBLANK(Sales_Data[[#This Row],[Revenue]])</f>
        <v>0</v>
      </c>
      <c r="I750">
        <f>COUNTBLANK(Sales_Data[[#This Row],[Quantity]])</f>
        <v>0</v>
      </c>
      <c r="J750" t="str">
        <f>TEXT(Sales_Data[[#This Row],[Date]],"yyyy-mm")</f>
        <v>2025-12</v>
      </c>
    </row>
    <row r="751" spans="1:10" x14ac:dyDescent="0.35">
      <c r="A751" t="s">
        <v>1140</v>
      </c>
      <c r="B751" s="3">
        <v>45843</v>
      </c>
      <c r="C751" t="s">
        <v>39</v>
      </c>
      <c r="D751" t="s">
        <v>249</v>
      </c>
      <c r="E751" t="s">
        <v>394</v>
      </c>
      <c r="F751">
        <v>1</v>
      </c>
      <c r="G751" s="6">
        <v>48288</v>
      </c>
      <c r="H751">
        <f>COUNTBLANK(Sales_Data[[#This Row],[Revenue]])</f>
        <v>0</v>
      </c>
      <c r="I751">
        <f>COUNTBLANK(Sales_Data[[#This Row],[Quantity]])</f>
        <v>0</v>
      </c>
      <c r="J751" t="str">
        <f>TEXT(Sales_Data[[#This Row],[Date]],"yyyy-mm")</f>
        <v>2025-07</v>
      </c>
    </row>
    <row r="752" spans="1:10" x14ac:dyDescent="0.35">
      <c r="A752" t="s">
        <v>1141</v>
      </c>
      <c r="B752" s="3">
        <v>45675</v>
      </c>
      <c r="C752" t="s">
        <v>19</v>
      </c>
      <c r="D752" t="s">
        <v>101</v>
      </c>
      <c r="E752" t="s">
        <v>387</v>
      </c>
      <c r="F752">
        <v>4</v>
      </c>
      <c r="G752" s="6">
        <v>168636</v>
      </c>
      <c r="H752">
        <f>COUNTBLANK(Sales_Data[[#This Row],[Revenue]])</f>
        <v>0</v>
      </c>
      <c r="I752">
        <f>COUNTBLANK(Sales_Data[[#This Row],[Quantity]])</f>
        <v>0</v>
      </c>
      <c r="J752" t="str">
        <f>TEXT(Sales_Data[[#This Row],[Date]],"yyyy-mm")</f>
        <v>2025-01</v>
      </c>
    </row>
    <row r="753" spans="1:10" x14ac:dyDescent="0.35">
      <c r="A753" t="s">
        <v>1142</v>
      </c>
      <c r="B753" s="3">
        <v>45860</v>
      </c>
      <c r="C753" t="s">
        <v>61</v>
      </c>
      <c r="D753" t="s">
        <v>121</v>
      </c>
      <c r="E753" t="s">
        <v>391</v>
      </c>
      <c r="F753">
        <v>3</v>
      </c>
      <c r="G753" s="6">
        <v>75048</v>
      </c>
      <c r="H753">
        <f>COUNTBLANK(Sales_Data[[#This Row],[Revenue]])</f>
        <v>0</v>
      </c>
      <c r="I753">
        <f>COUNTBLANK(Sales_Data[[#This Row],[Quantity]])</f>
        <v>0</v>
      </c>
      <c r="J753" t="str">
        <f>TEXT(Sales_Data[[#This Row],[Date]],"yyyy-mm")</f>
        <v>2025-07</v>
      </c>
    </row>
    <row r="754" spans="1:10" x14ac:dyDescent="0.35">
      <c r="A754" t="s">
        <v>1143</v>
      </c>
      <c r="B754" s="3">
        <v>46020</v>
      </c>
      <c r="C754" t="s">
        <v>47</v>
      </c>
      <c r="D754" t="s">
        <v>347</v>
      </c>
      <c r="E754" t="s">
        <v>389</v>
      </c>
      <c r="F754">
        <v>2</v>
      </c>
      <c r="G754" s="6">
        <v>44124</v>
      </c>
      <c r="H754">
        <f>COUNTBLANK(Sales_Data[[#This Row],[Revenue]])</f>
        <v>0</v>
      </c>
      <c r="I754">
        <f>COUNTBLANK(Sales_Data[[#This Row],[Quantity]])</f>
        <v>0</v>
      </c>
      <c r="J754" t="str">
        <f>TEXT(Sales_Data[[#This Row],[Date]],"yyyy-mm")</f>
        <v>2025-12</v>
      </c>
    </row>
    <row r="755" spans="1:10" x14ac:dyDescent="0.35">
      <c r="A755" t="s">
        <v>1144</v>
      </c>
      <c r="B755" s="3">
        <v>45720</v>
      </c>
      <c r="C755" t="s">
        <v>49</v>
      </c>
      <c r="D755" t="s">
        <v>263</v>
      </c>
      <c r="E755" t="s">
        <v>389</v>
      </c>
      <c r="F755">
        <v>10</v>
      </c>
      <c r="G755" s="6">
        <v>455140</v>
      </c>
      <c r="H755">
        <f>COUNTBLANK(Sales_Data[[#This Row],[Revenue]])</f>
        <v>0</v>
      </c>
      <c r="I755">
        <f>COUNTBLANK(Sales_Data[[#This Row],[Quantity]])</f>
        <v>0</v>
      </c>
      <c r="J755" t="str">
        <f>TEXT(Sales_Data[[#This Row],[Date]],"yyyy-mm")</f>
        <v>2025-03</v>
      </c>
    </row>
    <row r="756" spans="1:10" x14ac:dyDescent="0.35">
      <c r="A756" t="s">
        <v>1145</v>
      </c>
      <c r="B756" s="3">
        <v>45773</v>
      </c>
      <c r="C756" t="s">
        <v>65</v>
      </c>
      <c r="D756" t="s">
        <v>341</v>
      </c>
      <c r="E756" t="s">
        <v>389</v>
      </c>
      <c r="F756">
        <v>3</v>
      </c>
      <c r="G756" s="6">
        <v>1635</v>
      </c>
      <c r="H756">
        <f>COUNTBLANK(Sales_Data[[#This Row],[Revenue]])</f>
        <v>0</v>
      </c>
      <c r="I756">
        <f>COUNTBLANK(Sales_Data[[#This Row],[Quantity]])</f>
        <v>0</v>
      </c>
      <c r="J756" t="str">
        <f>TEXT(Sales_Data[[#This Row],[Date]],"yyyy-mm")</f>
        <v>2025-04</v>
      </c>
    </row>
    <row r="757" spans="1:10" x14ac:dyDescent="0.35">
      <c r="A757" t="s">
        <v>1146</v>
      </c>
      <c r="B757" s="3">
        <v>45765</v>
      </c>
      <c r="C757" t="s">
        <v>25</v>
      </c>
      <c r="D757" t="s">
        <v>173</v>
      </c>
      <c r="E757" t="s">
        <v>387</v>
      </c>
      <c r="F757">
        <v>2</v>
      </c>
      <c r="G757" s="6">
        <v>36486</v>
      </c>
      <c r="H757">
        <f>COUNTBLANK(Sales_Data[[#This Row],[Revenue]])</f>
        <v>0</v>
      </c>
      <c r="I757">
        <f>COUNTBLANK(Sales_Data[[#This Row],[Quantity]])</f>
        <v>0</v>
      </c>
      <c r="J757" t="str">
        <f>TEXT(Sales_Data[[#This Row],[Date]],"yyyy-mm")</f>
        <v>2025-04</v>
      </c>
    </row>
    <row r="758" spans="1:10" x14ac:dyDescent="0.35">
      <c r="A758" t="s">
        <v>1147</v>
      </c>
      <c r="B758" s="3">
        <v>45950</v>
      </c>
      <c r="C758" t="s">
        <v>25</v>
      </c>
      <c r="D758" t="s">
        <v>361</v>
      </c>
      <c r="E758" t="s">
        <v>403</v>
      </c>
      <c r="F758">
        <v>9</v>
      </c>
      <c r="G758" s="6">
        <v>164187</v>
      </c>
      <c r="H758">
        <f>COUNTBLANK(Sales_Data[[#This Row],[Revenue]])</f>
        <v>0</v>
      </c>
      <c r="I758">
        <f>COUNTBLANK(Sales_Data[[#This Row],[Quantity]])</f>
        <v>0</v>
      </c>
      <c r="J758" t="str">
        <f>TEXT(Sales_Data[[#This Row],[Date]],"yyyy-mm")</f>
        <v>2025-10</v>
      </c>
    </row>
    <row r="759" spans="1:10" x14ac:dyDescent="0.35">
      <c r="A759" t="s">
        <v>1148</v>
      </c>
      <c r="B759" s="3">
        <v>45665</v>
      </c>
      <c r="C759" t="s">
        <v>4</v>
      </c>
      <c r="D759" t="s">
        <v>367</v>
      </c>
      <c r="E759" t="s">
        <v>403</v>
      </c>
      <c r="F759">
        <v>2</v>
      </c>
      <c r="G759" s="6">
        <v>23630</v>
      </c>
      <c r="H759">
        <f>COUNTBLANK(Sales_Data[[#This Row],[Revenue]])</f>
        <v>0</v>
      </c>
      <c r="I759">
        <f>COUNTBLANK(Sales_Data[[#This Row],[Quantity]])</f>
        <v>0</v>
      </c>
      <c r="J759" t="str">
        <f>TEXT(Sales_Data[[#This Row],[Date]],"yyyy-mm")</f>
        <v>2025-01</v>
      </c>
    </row>
    <row r="760" spans="1:10" x14ac:dyDescent="0.35">
      <c r="A760" t="s">
        <v>1149</v>
      </c>
      <c r="B760" s="3">
        <v>45793</v>
      </c>
      <c r="C760" t="s">
        <v>10</v>
      </c>
      <c r="D760" t="s">
        <v>141</v>
      </c>
      <c r="E760" t="s">
        <v>387</v>
      </c>
      <c r="F760">
        <v>9</v>
      </c>
      <c r="G760" s="6">
        <v>40644</v>
      </c>
      <c r="H760">
        <f>COUNTBLANK(Sales_Data[[#This Row],[Revenue]])</f>
        <v>0</v>
      </c>
      <c r="I760">
        <f>COUNTBLANK(Sales_Data[[#This Row],[Quantity]])</f>
        <v>0</v>
      </c>
      <c r="J760" t="str">
        <f>TEXT(Sales_Data[[#This Row],[Date]],"yyyy-mm")</f>
        <v>2025-05</v>
      </c>
    </row>
    <row r="761" spans="1:10" x14ac:dyDescent="0.35">
      <c r="A761" t="s">
        <v>1150</v>
      </c>
      <c r="B761" s="3">
        <v>45918</v>
      </c>
      <c r="C761" t="s">
        <v>27</v>
      </c>
      <c r="D761" t="s">
        <v>317</v>
      </c>
      <c r="E761" t="s">
        <v>391</v>
      </c>
      <c r="F761">
        <v>8</v>
      </c>
      <c r="G761" s="6">
        <v>301472</v>
      </c>
      <c r="H761">
        <f>COUNTBLANK(Sales_Data[[#This Row],[Revenue]])</f>
        <v>0</v>
      </c>
      <c r="I761">
        <f>COUNTBLANK(Sales_Data[[#This Row],[Quantity]])</f>
        <v>0</v>
      </c>
      <c r="J761" t="str">
        <f>TEXT(Sales_Data[[#This Row],[Date]],"yyyy-mm")</f>
        <v>2025-09</v>
      </c>
    </row>
    <row r="762" spans="1:10" x14ac:dyDescent="0.35">
      <c r="A762" t="s">
        <v>1151</v>
      </c>
      <c r="B762" s="3">
        <v>45767</v>
      </c>
      <c r="C762" t="s">
        <v>65</v>
      </c>
      <c r="D762" t="s">
        <v>363</v>
      </c>
      <c r="E762" t="s">
        <v>387</v>
      </c>
      <c r="F762">
        <v>7</v>
      </c>
      <c r="G762" s="6">
        <v>3815</v>
      </c>
      <c r="H762">
        <f>COUNTBLANK(Sales_Data[[#This Row],[Revenue]])</f>
        <v>0</v>
      </c>
      <c r="I762">
        <f>COUNTBLANK(Sales_Data[[#This Row],[Quantity]])</f>
        <v>0</v>
      </c>
      <c r="J762" t="str">
        <f>TEXT(Sales_Data[[#This Row],[Date]],"yyyy-mm")</f>
        <v>2025-04</v>
      </c>
    </row>
    <row r="763" spans="1:10" x14ac:dyDescent="0.35">
      <c r="A763" t="s">
        <v>1152</v>
      </c>
      <c r="B763" s="3">
        <v>45798</v>
      </c>
      <c r="C763" t="s">
        <v>29</v>
      </c>
      <c r="D763" t="s">
        <v>259</v>
      </c>
      <c r="E763" t="s">
        <v>394</v>
      </c>
      <c r="F763">
        <v>10</v>
      </c>
      <c r="G763" s="6">
        <v>426440</v>
      </c>
      <c r="H763">
        <f>COUNTBLANK(Sales_Data[[#This Row],[Revenue]])</f>
        <v>0</v>
      </c>
      <c r="I763">
        <f>COUNTBLANK(Sales_Data[[#This Row],[Quantity]])</f>
        <v>0</v>
      </c>
      <c r="J763" t="str">
        <f>TEXT(Sales_Data[[#This Row],[Date]],"yyyy-mm")</f>
        <v>2025-05</v>
      </c>
    </row>
    <row r="764" spans="1:10" x14ac:dyDescent="0.35">
      <c r="A764" t="s">
        <v>1153</v>
      </c>
      <c r="B764" s="3">
        <v>45790</v>
      </c>
      <c r="C764" t="s">
        <v>23</v>
      </c>
      <c r="D764" t="s">
        <v>281</v>
      </c>
      <c r="E764" t="s">
        <v>387</v>
      </c>
      <c r="F764">
        <v>1</v>
      </c>
      <c r="G764" s="6">
        <v>6069</v>
      </c>
      <c r="H764">
        <f>COUNTBLANK(Sales_Data[[#This Row],[Revenue]])</f>
        <v>0</v>
      </c>
      <c r="I764">
        <f>COUNTBLANK(Sales_Data[[#This Row],[Quantity]])</f>
        <v>0</v>
      </c>
      <c r="J764" t="str">
        <f>TEXT(Sales_Data[[#This Row],[Date]],"yyyy-mm")</f>
        <v>2025-05</v>
      </c>
    </row>
    <row r="765" spans="1:10" x14ac:dyDescent="0.35">
      <c r="A765" t="s">
        <v>1154</v>
      </c>
      <c r="B765" s="3">
        <v>45961</v>
      </c>
      <c r="C765" t="s">
        <v>65</v>
      </c>
      <c r="D765" t="s">
        <v>223</v>
      </c>
      <c r="E765" t="s">
        <v>391</v>
      </c>
      <c r="F765">
        <v>8</v>
      </c>
      <c r="G765" s="6">
        <v>4360</v>
      </c>
      <c r="H765">
        <f>COUNTBLANK(Sales_Data[[#This Row],[Revenue]])</f>
        <v>0</v>
      </c>
      <c r="I765">
        <f>COUNTBLANK(Sales_Data[[#This Row],[Quantity]])</f>
        <v>0</v>
      </c>
      <c r="J765" t="str">
        <f>TEXT(Sales_Data[[#This Row],[Date]],"yyyy-mm")</f>
        <v>2025-10</v>
      </c>
    </row>
    <row r="766" spans="1:10" x14ac:dyDescent="0.35">
      <c r="A766" t="s">
        <v>1155</v>
      </c>
      <c r="B766" s="3">
        <v>45660</v>
      </c>
      <c r="C766" t="s">
        <v>53</v>
      </c>
      <c r="D766" t="s">
        <v>165</v>
      </c>
      <c r="E766" t="s">
        <v>387</v>
      </c>
      <c r="F766">
        <v>10</v>
      </c>
      <c r="G766" s="6">
        <v>42080</v>
      </c>
      <c r="H766">
        <f>COUNTBLANK(Sales_Data[[#This Row],[Revenue]])</f>
        <v>0</v>
      </c>
      <c r="I766">
        <f>COUNTBLANK(Sales_Data[[#This Row],[Quantity]])</f>
        <v>0</v>
      </c>
      <c r="J766" t="str">
        <f>TEXT(Sales_Data[[#This Row],[Date]],"yyyy-mm")</f>
        <v>2025-01</v>
      </c>
    </row>
    <row r="767" spans="1:10" x14ac:dyDescent="0.35">
      <c r="A767" t="s">
        <v>1156</v>
      </c>
      <c r="B767" s="3">
        <v>45873</v>
      </c>
      <c r="C767" t="s">
        <v>67</v>
      </c>
      <c r="D767" t="s">
        <v>161</v>
      </c>
      <c r="E767" t="s">
        <v>391</v>
      </c>
      <c r="F767">
        <v>5</v>
      </c>
      <c r="G767" s="6">
        <v>108080</v>
      </c>
      <c r="H767">
        <f>COUNTBLANK(Sales_Data[[#This Row],[Revenue]])</f>
        <v>0</v>
      </c>
      <c r="I767">
        <f>COUNTBLANK(Sales_Data[[#This Row],[Quantity]])</f>
        <v>0</v>
      </c>
      <c r="J767" t="str">
        <f>TEXT(Sales_Data[[#This Row],[Date]],"yyyy-mm")</f>
        <v>2025-08</v>
      </c>
    </row>
    <row r="768" spans="1:10" x14ac:dyDescent="0.35">
      <c r="A768" t="s">
        <v>1157</v>
      </c>
      <c r="B768" s="3">
        <v>45990</v>
      </c>
      <c r="C768" t="s">
        <v>10</v>
      </c>
      <c r="D768" t="s">
        <v>341</v>
      </c>
      <c r="E768" t="s">
        <v>387</v>
      </c>
      <c r="F768">
        <v>2</v>
      </c>
      <c r="G768" s="6">
        <v>9032</v>
      </c>
      <c r="H768">
        <f>COUNTBLANK(Sales_Data[[#This Row],[Revenue]])</f>
        <v>0</v>
      </c>
      <c r="I768">
        <f>COUNTBLANK(Sales_Data[[#This Row],[Quantity]])</f>
        <v>0</v>
      </c>
      <c r="J768" t="str">
        <f>TEXT(Sales_Data[[#This Row],[Date]],"yyyy-mm")</f>
        <v>2025-11</v>
      </c>
    </row>
    <row r="769" spans="1:10" x14ac:dyDescent="0.35">
      <c r="A769" t="s">
        <v>1158</v>
      </c>
      <c r="B769" s="3">
        <v>45792</v>
      </c>
      <c r="C769" t="s">
        <v>21</v>
      </c>
      <c r="D769" t="s">
        <v>231</v>
      </c>
      <c r="E769" t="s">
        <v>387</v>
      </c>
      <c r="F769">
        <v>2</v>
      </c>
      <c r="G769" s="6">
        <v>30418</v>
      </c>
      <c r="H769">
        <f>COUNTBLANK(Sales_Data[[#This Row],[Revenue]])</f>
        <v>0</v>
      </c>
      <c r="I769">
        <f>COUNTBLANK(Sales_Data[[#This Row],[Quantity]])</f>
        <v>0</v>
      </c>
      <c r="J769" t="str">
        <f>TEXT(Sales_Data[[#This Row],[Date]],"yyyy-mm")</f>
        <v>2025-05</v>
      </c>
    </row>
    <row r="770" spans="1:10" x14ac:dyDescent="0.35">
      <c r="A770" t="s">
        <v>1159</v>
      </c>
      <c r="B770" s="3">
        <v>45712</v>
      </c>
      <c r="C770" t="s">
        <v>39</v>
      </c>
      <c r="D770" t="s">
        <v>107</v>
      </c>
      <c r="E770" t="s">
        <v>387</v>
      </c>
      <c r="F770">
        <v>9</v>
      </c>
      <c r="G770" s="6">
        <v>434592</v>
      </c>
      <c r="H770">
        <f>COUNTBLANK(Sales_Data[[#This Row],[Revenue]])</f>
        <v>0</v>
      </c>
      <c r="I770">
        <f>COUNTBLANK(Sales_Data[[#This Row],[Quantity]])</f>
        <v>0</v>
      </c>
      <c r="J770" t="str">
        <f>TEXT(Sales_Data[[#This Row],[Date]],"yyyy-mm")</f>
        <v>2025-02</v>
      </c>
    </row>
    <row r="771" spans="1:10" x14ac:dyDescent="0.35">
      <c r="A771" t="s">
        <v>1160</v>
      </c>
      <c r="B771" s="3">
        <v>45788</v>
      </c>
      <c r="C771" t="s">
        <v>16</v>
      </c>
      <c r="D771" t="s">
        <v>133</v>
      </c>
      <c r="E771" t="s">
        <v>391</v>
      </c>
      <c r="F771">
        <v>3</v>
      </c>
      <c r="G771" s="6">
        <v>95886</v>
      </c>
      <c r="H771">
        <f>COUNTBLANK(Sales_Data[[#This Row],[Revenue]])</f>
        <v>0</v>
      </c>
      <c r="I771">
        <f>COUNTBLANK(Sales_Data[[#This Row],[Quantity]])</f>
        <v>0</v>
      </c>
      <c r="J771" t="str">
        <f>TEXT(Sales_Data[[#This Row],[Date]],"yyyy-mm")</f>
        <v>2025-05</v>
      </c>
    </row>
    <row r="772" spans="1:10" x14ac:dyDescent="0.35">
      <c r="A772" t="s">
        <v>1161</v>
      </c>
      <c r="B772" s="3">
        <v>45856</v>
      </c>
      <c r="C772" t="s">
        <v>13</v>
      </c>
      <c r="D772" t="s">
        <v>229</v>
      </c>
      <c r="E772" t="s">
        <v>403</v>
      </c>
      <c r="F772">
        <v>4</v>
      </c>
      <c r="G772" s="6">
        <v>120708</v>
      </c>
      <c r="H772">
        <f>COUNTBLANK(Sales_Data[[#This Row],[Revenue]])</f>
        <v>0</v>
      </c>
      <c r="I772">
        <f>COUNTBLANK(Sales_Data[[#This Row],[Quantity]])</f>
        <v>0</v>
      </c>
      <c r="J772" t="str">
        <f>TEXT(Sales_Data[[#This Row],[Date]],"yyyy-mm")</f>
        <v>2025-07</v>
      </c>
    </row>
    <row r="773" spans="1:10" x14ac:dyDescent="0.35">
      <c r="A773" t="s">
        <v>1162</v>
      </c>
      <c r="B773" s="3">
        <v>45972</v>
      </c>
      <c r="C773" t="s">
        <v>43</v>
      </c>
      <c r="D773" t="s">
        <v>133</v>
      </c>
      <c r="E773" t="s">
        <v>391</v>
      </c>
      <c r="F773">
        <v>6</v>
      </c>
      <c r="G773" s="6">
        <v>226950</v>
      </c>
      <c r="H773">
        <f>COUNTBLANK(Sales_Data[[#This Row],[Revenue]])</f>
        <v>0</v>
      </c>
      <c r="I773">
        <f>COUNTBLANK(Sales_Data[[#This Row],[Quantity]])</f>
        <v>0</v>
      </c>
      <c r="J773" t="str">
        <f>TEXT(Sales_Data[[#This Row],[Date]],"yyyy-mm")</f>
        <v>2025-11</v>
      </c>
    </row>
    <row r="774" spans="1:10" x14ac:dyDescent="0.35">
      <c r="A774" t="s">
        <v>1163</v>
      </c>
      <c r="B774" s="3">
        <v>45844</v>
      </c>
      <c r="C774" t="s">
        <v>41</v>
      </c>
      <c r="D774" t="s">
        <v>239</v>
      </c>
      <c r="E774" t="s">
        <v>391</v>
      </c>
      <c r="F774">
        <v>4</v>
      </c>
      <c r="G774" s="6">
        <v>85048</v>
      </c>
      <c r="H774">
        <f>COUNTBLANK(Sales_Data[[#This Row],[Revenue]])</f>
        <v>0</v>
      </c>
      <c r="I774">
        <f>COUNTBLANK(Sales_Data[[#This Row],[Quantity]])</f>
        <v>0</v>
      </c>
      <c r="J774" t="str">
        <f>TEXT(Sales_Data[[#This Row],[Date]],"yyyy-mm")</f>
        <v>2025-07</v>
      </c>
    </row>
    <row r="775" spans="1:10" x14ac:dyDescent="0.35">
      <c r="A775" t="s">
        <v>1164</v>
      </c>
      <c r="B775" s="3">
        <v>45717</v>
      </c>
      <c r="C775" t="s">
        <v>57</v>
      </c>
      <c r="D775" t="s">
        <v>319</v>
      </c>
      <c r="E775" t="s">
        <v>394</v>
      </c>
      <c r="F775">
        <v>3</v>
      </c>
      <c r="G775" s="6">
        <v>146367</v>
      </c>
      <c r="H775">
        <f>COUNTBLANK(Sales_Data[[#This Row],[Revenue]])</f>
        <v>0</v>
      </c>
      <c r="I775">
        <f>COUNTBLANK(Sales_Data[[#This Row],[Quantity]])</f>
        <v>0</v>
      </c>
      <c r="J775" t="str">
        <f>TEXT(Sales_Data[[#This Row],[Date]],"yyyy-mm")</f>
        <v>2025-03</v>
      </c>
    </row>
    <row r="776" spans="1:10" x14ac:dyDescent="0.35">
      <c r="A776" t="s">
        <v>1165</v>
      </c>
      <c r="B776" s="3">
        <v>45688</v>
      </c>
      <c r="C776" t="s">
        <v>49</v>
      </c>
      <c r="D776" t="s">
        <v>203</v>
      </c>
      <c r="E776" t="s">
        <v>389</v>
      </c>
      <c r="F776">
        <v>2</v>
      </c>
      <c r="G776" s="6">
        <v>91028</v>
      </c>
      <c r="H776">
        <f>COUNTBLANK(Sales_Data[[#This Row],[Revenue]])</f>
        <v>0</v>
      </c>
      <c r="I776">
        <f>COUNTBLANK(Sales_Data[[#This Row],[Quantity]])</f>
        <v>0</v>
      </c>
      <c r="J776" t="str">
        <f>TEXT(Sales_Data[[#This Row],[Date]],"yyyy-mm")</f>
        <v>2025-01</v>
      </c>
    </row>
    <row r="777" spans="1:10" x14ac:dyDescent="0.35">
      <c r="A777" t="s">
        <v>1166</v>
      </c>
      <c r="B777" s="3">
        <v>45683</v>
      </c>
      <c r="C777" t="s">
        <v>47</v>
      </c>
      <c r="D777" t="s">
        <v>351</v>
      </c>
      <c r="E777" t="s">
        <v>389</v>
      </c>
      <c r="F777">
        <v>8</v>
      </c>
      <c r="G777" s="6">
        <v>176496</v>
      </c>
      <c r="H777">
        <f>COUNTBLANK(Sales_Data[[#This Row],[Revenue]])</f>
        <v>0</v>
      </c>
      <c r="I777">
        <f>COUNTBLANK(Sales_Data[[#This Row],[Quantity]])</f>
        <v>0</v>
      </c>
      <c r="J777" t="str">
        <f>TEXT(Sales_Data[[#This Row],[Date]],"yyyy-mm")</f>
        <v>2025-01</v>
      </c>
    </row>
    <row r="778" spans="1:10" x14ac:dyDescent="0.35">
      <c r="A778" t="s">
        <v>1167</v>
      </c>
      <c r="B778" s="3">
        <v>45852</v>
      </c>
      <c r="C778" t="s">
        <v>41</v>
      </c>
      <c r="D778" t="s">
        <v>371</v>
      </c>
      <c r="E778" t="s">
        <v>391</v>
      </c>
      <c r="F778">
        <v>7</v>
      </c>
      <c r="G778" s="6">
        <v>148834</v>
      </c>
      <c r="H778">
        <f>COUNTBLANK(Sales_Data[[#This Row],[Revenue]])</f>
        <v>0</v>
      </c>
      <c r="I778">
        <f>COUNTBLANK(Sales_Data[[#This Row],[Quantity]])</f>
        <v>0</v>
      </c>
      <c r="J778" t="str">
        <f>TEXT(Sales_Data[[#This Row],[Date]],"yyyy-mm")</f>
        <v>2025-07</v>
      </c>
    </row>
    <row r="779" spans="1:10" x14ac:dyDescent="0.35">
      <c r="A779" t="s">
        <v>1168</v>
      </c>
      <c r="B779" s="3">
        <v>45732</v>
      </c>
      <c r="C779" t="s">
        <v>39</v>
      </c>
      <c r="D779" t="s">
        <v>107</v>
      </c>
      <c r="E779" t="s">
        <v>389</v>
      </c>
      <c r="F779">
        <v>7</v>
      </c>
      <c r="G779" s="6">
        <v>338016</v>
      </c>
      <c r="H779">
        <f>COUNTBLANK(Sales_Data[[#This Row],[Revenue]])</f>
        <v>0</v>
      </c>
      <c r="I779">
        <f>COUNTBLANK(Sales_Data[[#This Row],[Quantity]])</f>
        <v>0</v>
      </c>
      <c r="J779" t="str">
        <f>TEXT(Sales_Data[[#This Row],[Date]],"yyyy-mm")</f>
        <v>2025-03</v>
      </c>
    </row>
    <row r="780" spans="1:10" x14ac:dyDescent="0.35">
      <c r="A780" t="s">
        <v>1169</v>
      </c>
      <c r="B780" s="3">
        <v>46011</v>
      </c>
      <c r="C780" t="s">
        <v>45</v>
      </c>
      <c r="D780" t="s">
        <v>263</v>
      </c>
      <c r="E780" t="s">
        <v>391</v>
      </c>
      <c r="F780">
        <v>7</v>
      </c>
      <c r="G780" s="6">
        <v>54782</v>
      </c>
      <c r="H780">
        <f>COUNTBLANK(Sales_Data[[#This Row],[Revenue]])</f>
        <v>0</v>
      </c>
      <c r="I780">
        <f>COUNTBLANK(Sales_Data[[#This Row],[Quantity]])</f>
        <v>0</v>
      </c>
      <c r="J780" t="str">
        <f>TEXT(Sales_Data[[#This Row],[Date]],"yyyy-mm")</f>
        <v>2025-12</v>
      </c>
    </row>
    <row r="781" spans="1:10" x14ac:dyDescent="0.35">
      <c r="A781" t="s">
        <v>1170</v>
      </c>
      <c r="B781" s="3">
        <v>45673</v>
      </c>
      <c r="C781" t="s">
        <v>33</v>
      </c>
      <c r="D781" t="s">
        <v>107</v>
      </c>
      <c r="E781" t="s">
        <v>387</v>
      </c>
      <c r="F781">
        <v>4</v>
      </c>
      <c r="G781" s="6">
        <v>145012</v>
      </c>
      <c r="H781">
        <f>COUNTBLANK(Sales_Data[[#This Row],[Revenue]])</f>
        <v>0</v>
      </c>
      <c r="I781">
        <f>COUNTBLANK(Sales_Data[[#This Row],[Quantity]])</f>
        <v>0</v>
      </c>
      <c r="J781" t="str">
        <f>TEXT(Sales_Data[[#This Row],[Date]],"yyyy-mm")</f>
        <v>2025-01</v>
      </c>
    </row>
    <row r="782" spans="1:10" x14ac:dyDescent="0.35">
      <c r="A782" t="s">
        <v>1171</v>
      </c>
      <c r="B782" s="3">
        <v>45964</v>
      </c>
      <c r="C782" t="s">
        <v>43</v>
      </c>
      <c r="D782" t="s">
        <v>225</v>
      </c>
      <c r="E782" t="s">
        <v>391</v>
      </c>
      <c r="F782">
        <v>3</v>
      </c>
      <c r="G782" s="6">
        <v>113475</v>
      </c>
      <c r="H782">
        <f>COUNTBLANK(Sales_Data[[#This Row],[Revenue]])</f>
        <v>0</v>
      </c>
      <c r="I782">
        <f>COUNTBLANK(Sales_Data[[#This Row],[Quantity]])</f>
        <v>0</v>
      </c>
      <c r="J782" t="str">
        <f>TEXT(Sales_Data[[#This Row],[Date]],"yyyy-mm")</f>
        <v>2025-11</v>
      </c>
    </row>
    <row r="783" spans="1:10" x14ac:dyDescent="0.35">
      <c r="A783" t="s">
        <v>1172</v>
      </c>
      <c r="B783" s="3">
        <v>45925</v>
      </c>
      <c r="C783" t="s">
        <v>21</v>
      </c>
      <c r="D783" t="s">
        <v>341</v>
      </c>
      <c r="E783" t="s">
        <v>389</v>
      </c>
      <c r="F783">
        <v>4</v>
      </c>
      <c r="G783" s="6">
        <v>60836</v>
      </c>
      <c r="H783">
        <f>COUNTBLANK(Sales_Data[[#This Row],[Revenue]])</f>
        <v>0</v>
      </c>
      <c r="I783">
        <f>COUNTBLANK(Sales_Data[[#This Row],[Quantity]])</f>
        <v>0</v>
      </c>
      <c r="J783" t="str">
        <f>TEXT(Sales_Data[[#This Row],[Date]],"yyyy-mm")</f>
        <v>2025-09</v>
      </c>
    </row>
    <row r="784" spans="1:10" x14ac:dyDescent="0.35">
      <c r="A784" t="s">
        <v>1173</v>
      </c>
      <c r="B784" s="3">
        <v>45691</v>
      </c>
      <c r="C784" t="s">
        <v>21</v>
      </c>
      <c r="D784" t="s">
        <v>181</v>
      </c>
      <c r="E784" t="s">
        <v>403</v>
      </c>
      <c r="F784">
        <v>6</v>
      </c>
      <c r="G784" s="6">
        <v>91254</v>
      </c>
      <c r="H784">
        <f>COUNTBLANK(Sales_Data[[#This Row],[Revenue]])</f>
        <v>0</v>
      </c>
      <c r="I784">
        <f>COUNTBLANK(Sales_Data[[#This Row],[Quantity]])</f>
        <v>0</v>
      </c>
      <c r="J784" t="str">
        <f>TEXT(Sales_Data[[#This Row],[Date]],"yyyy-mm")</f>
        <v>2025-02</v>
      </c>
    </row>
    <row r="785" spans="1:10" x14ac:dyDescent="0.35">
      <c r="A785" t="s">
        <v>1174</v>
      </c>
      <c r="B785" s="3">
        <v>45974</v>
      </c>
      <c r="C785" t="s">
        <v>63</v>
      </c>
      <c r="D785" t="s">
        <v>115</v>
      </c>
      <c r="E785" t="s">
        <v>391</v>
      </c>
      <c r="F785">
        <v>4</v>
      </c>
      <c r="G785" s="6">
        <v>35072</v>
      </c>
      <c r="H785">
        <f>COUNTBLANK(Sales_Data[[#This Row],[Revenue]])</f>
        <v>0</v>
      </c>
      <c r="I785">
        <f>COUNTBLANK(Sales_Data[[#This Row],[Quantity]])</f>
        <v>0</v>
      </c>
      <c r="J785" t="str">
        <f>TEXT(Sales_Data[[#This Row],[Date]],"yyyy-mm")</f>
        <v>2025-11</v>
      </c>
    </row>
    <row r="786" spans="1:10" x14ac:dyDescent="0.35">
      <c r="A786" t="s">
        <v>1175</v>
      </c>
      <c r="B786" s="3">
        <v>45848</v>
      </c>
      <c r="C786" t="s">
        <v>63</v>
      </c>
      <c r="D786" t="s">
        <v>95</v>
      </c>
      <c r="E786" t="s">
        <v>387</v>
      </c>
      <c r="F786">
        <v>8</v>
      </c>
      <c r="G786" s="6">
        <v>70144</v>
      </c>
      <c r="H786">
        <f>COUNTBLANK(Sales_Data[[#This Row],[Revenue]])</f>
        <v>0</v>
      </c>
      <c r="I786">
        <f>COUNTBLANK(Sales_Data[[#This Row],[Quantity]])</f>
        <v>0</v>
      </c>
      <c r="J786" t="str">
        <f>TEXT(Sales_Data[[#This Row],[Date]],"yyyy-mm")</f>
        <v>2025-07</v>
      </c>
    </row>
    <row r="787" spans="1:10" x14ac:dyDescent="0.35">
      <c r="A787" t="s">
        <v>1176</v>
      </c>
      <c r="B787" s="3">
        <v>45944</v>
      </c>
      <c r="C787" t="s">
        <v>33</v>
      </c>
      <c r="D787" t="s">
        <v>375</v>
      </c>
      <c r="E787" t="s">
        <v>389</v>
      </c>
      <c r="F787">
        <v>6</v>
      </c>
      <c r="G787" s="6">
        <v>217518</v>
      </c>
      <c r="H787">
        <f>COUNTBLANK(Sales_Data[[#This Row],[Revenue]])</f>
        <v>0</v>
      </c>
      <c r="I787">
        <f>COUNTBLANK(Sales_Data[[#This Row],[Quantity]])</f>
        <v>0</v>
      </c>
      <c r="J787" t="str">
        <f>TEXT(Sales_Data[[#This Row],[Date]],"yyyy-mm")</f>
        <v>2025-10</v>
      </c>
    </row>
    <row r="788" spans="1:10" x14ac:dyDescent="0.35">
      <c r="A788" t="s">
        <v>1177</v>
      </c>
      <c r="B788" s="3">
        <v>45909</v>
      </c>
      <c r="C788" t="s">
        <v>49</v>
      </c>
      <c r="D788" t="s">
        <v>341</v>
      </c>
      <c r="E788" t="s">
        <v>389</v>
      </c>
      <c r="F788">
        <v>9</v>
      </c>
      <c r="G788" s="6">
        <v>409626</v>
      </c>
      <c r="H788">
        <f>COUNTBLANK(Sales_Data[[#This Row],[Revenue]])</f>
        <v>0</v>
      </c>
      <c r="I788">
        <f>COUNTBLANK(Sales_Data[[#This Row],[Quantity]])</f>
        <v>0</v>
      </c>
      <c r="J788" t="str">
        <f>TEXT(Sales_Data[[#This Row],[Date]],"yyyy-mm")</f>
        <v>2025-09</v>
      </c>
    </row>
    <row r="789" spans="1:10" x14ac:dyDescent="0.35">
      <c r="A789" t="s">
        <v>1178</v>
      </c>
      <c r="B789" s="3">
        <v>45875</v>
      </c>
      <c r="C789" t="s">
        <v>29</v>
      </c>
      <c r="D789" t="s">
        <v>339</v>
      </c>
      <c r="E789" t="s">
        <v>394</v>
      </c>
      <c r="F789">
        <v>10</v>
      </c>
      <c r="G789" s="6">
        <v>426440</v>
      </c>
      <c r="H789">
        <f>COUNTBLANK(Sales_Data[[#This Row],[Revenue]])</f>
        <v>0</v>
      </c>
      <c r="I789">
        <f>COUNTBLANK(Sales_Data[[#This Row],[Quantity]])</f>
        <v>0</v>
      </c>
      <c r="J789" t="str">
        <f>TEXT(Sales_Data[[#This Row],[Date]],"yyyy-mm")</f>
        <v>2025-08</v>
      </c>
    </row>
    <row r="790" spans="1:10" x14ac:dyDescent="0.35">
      <c r="A790" t="s">
        <v>1179</v>
      </c>
      <c r="B790" s="3">
        <v>45813</v>
      </c>
      <c r="C790" t="s">
        <v>21</v>
      </c>
      <c r="D790" t="s">
        <v>251</v>
      </c>
      <c r="E790" t="s">
        <v>389</v>
      </c>
      <c r="F790">
        <v>9</v>
      </c>
      <c r="G790" s="6">
        <v>136881</v>
      </c>
      <c r="H790">
        <f>COUNTBLANK(Sales_Data[[#This Row],[Revenue]])</f>
        <v>0</v>
      </c>
      <c r="I790">
        <f>COUNTBLANK(Sales_Data[[#This Row],[Quantity]])</f>
        <v>0</v>
      </c>
      <c r="J790" t="str">
        <f>TEXT(Sales_Data[[#This Row],[Date]],"yyyy-mm")</f>
        <v>2025-06</v>
      </c>
    </row>
    <row r="791" spans="1:10" x14ac:dyDescent="0.35">
      <c r="A791" t="s">
        <v>1180</v>
      </c>
      <c r="B791" s="3">
        <v>45869</v>
      </c>
      <c r="C791" t="s">
        <v>31</v>
      </c>
      <c r="D791" t="s">
        <v>145</v>
      </c>
      <c r="E791" t="s">
        <v>403</v>
      </c>
      <c r="F791">
        <v>9</v>
      </c>
      <c r="G791" s="6">
        <v>269694</v>
      </c>
      <c r="H791">
        <f>COUNTBLANK(Sales_Data[[#This Row],[Revenue]])</f>
        <v>0</v>
      </c>
      <c r="I791">
        <f>COUNTBLANK(Sales_Data[[#This Row],[Quantity]])</f>
        <v>0</v>
      </c>
      <c r="J791" t="str">
        <f>TEXT(Sales_Data[[#This Row],[Date]],"yyyy-mm")</f>
        <v>2025-07</v>
      </c>
    </row>
    <row r="792" spans="1:10" x14ac:dyDescent="0.35">
      <c r="A792" t="s">
        <v>1181</v>
      </c>
      <c r="B792" s="3">
        <v>45791</v>
      </c>
      <c r="C792" t="s">
        <v>16</v>
      </c>
      <c r="D792" t="s">
        <v>333</v>
      </c>
      <c r="E792" t="s">
        <v>389</v>
      </c>
      <c r="F792">
        <v>3</v>
      </c>
      <c r="G792" s="6">
        <v>95886</v>
      </c>
      <c r="H792">
        <f>COUNTBLANK(Sales_Data[[#This Row],[Revenue]])</f>
        <v>0</v>
      </c>
      <c r="I792">
        <f>COUNTBLANK(Sales_Data[[#This Row],[Quantity]])</f>
        <v>0</v>
      </c>
      <c r="J792" t="str">
        <f>TEXT(Sales_Data[[#This Row],[Date]],"yyyy-mm")</f>
        <v>2025-05</v>
      </c>
    </row>
    <row r="793" spans="1:10" x14ac:dyDescent="0.35">
      <c r="A793" t="s">
        <v>1182</v>
      </c>
      <c r="B793" s="3">
        <v>45832</v>
      </c>
      <c r="C793" t="s">
        <v>57</v>
      </c>
      <c r="D793" t="s">
        <v>101</v>
      </c>
      <c r="E793" t="s">
        <v>403</v>
      </c>
      <c r="F793">
        <v>5</v>
      </c>
      <c r="G793" s="6">
        <v>243945</v>
      </c>
      <c r="H793">
        <f>COUNTBLANK(Sales_Data[[#This Row],[Revenue]])</f>
        <v>0</v>
      </c>
      <c r="I793">
        <f>COUNTBLANK(Sales_Data[[#This Row],[Quantity]])</f>
        <v>0</v>
      </c>
      <c r="J793" t="str">
        <f>TEXT(Sales_Data[[#This Row],[Date]],"yyyy-mm")</f>
        <v>2025-06</v>
      </c>
    </row>
    <row r="794" spans="1:10" x14ac:dyDescent="0.35">
      <c r="A794" t="s">
        <v>1183</v>
      </c>
      <c r="B794" s="3">
        <v>45721</v>
      </c>
      <c r="C794" t="s">
        <v>21</v>
      </c>
      <c r="D794" t="s">
        <v>263</v>
      </c>
      <c r="E794" t="s">
        <v>387</v>
      </c>
      <c r="F794">
        <v>10</v>
      </c>
      <c r="G794" s="6">
        <v>152090</v>
      </c>
      <c r="H794">
        <f>COUNTBLANK(Sales_Data[[#This Row],[Revenue]])</f>
        <v>0</v>
      </c>
      <c r="I794">
        <f>COUNTBLANK(Sales_Data[[#This Row],[Quantity]])</f>
        <v>0</v>
      </c>
      <c r="J794" t="str">
        <f>TEXT(Sales_Data[[#This Row],[Date]],"yyyy-mm")</f>
        <v>2025-03</v>
      </c>
    </row>
    <row r="795" spans="1:10" x14ac:dyDescent="0.35">
      <c r="A795" t="s">
        <v>1184</v>
      </c>
      <c r="B795" s="3">
        <v>45797</v>
      </c>
      <c r="C795" t="s">
        <v>19</v>
      </c>
      <c r="D795" t="s">
        <v>135</v>
      </c>
      <c r="E795" t="s">
        <v>391</v>
      </c>
      <c r="F795">
        <v>10</v>
      </c>
      <c r="G795" s="6">
        <v>421590</v>
      </c>
      <c r="H795">
        <f>COUNTBLANK(Sales_Data[[#This Row],[Revenue]])</f>
        <v>0</v>
      </c>
      <c r="I795">
        <f>COUNTBLANK(Sales_Data[[#This Row],[Quantity]])</f>
        <v>0</v>
      </c>
      <c r="J795" t="str">
        <f>TEXT(Sales_Data[[#This Row],[Date]],"yyyy-mm")</f>
        <v>2025-05</v>
      </c>
    </row>
    <row r="796" spans="1:10" x14ac:dyDescent="0.35">
      <c r="A796" t="s">
        <v>1185</v>
      </c>
      <c r="B796" s="3">
        <v>45989</v>
      </c>
      <c r="C796" t="s">
        <v>35</v>
      </c>
      <c r="D796" t="s">
        <v>195</v>
      </c>
      <c r="E796" t="s">
        <v>403</v>
      </c>
      <c r="F796">
        <v>7</v>
      </c>
      <c r="G796" s="6">
        <v>346220</v>
      </c>
      <c r="H796">
        <f>COUNTBLANK(Sales_Data[[#This Row],[Revenue]])</f>
        <v>0</v>
      </c>
      <c r="I796">
        <f>COUNTBLANK(Sales_Data[[#This Row],[Quantity]])</f>
        <v>0</v>
      </c>
      <c r="J796" t="str">
        <f>TEXT(Sales_Data[[#This Row],[Date]],"yyyy-mm")</f>
        <v>2025-11</v>
      </c>
    </row>
    <row r="797" spans="1:10" x14ac:dyDescent="0.35">
      <c r="A797" t="s">
        <v>1186</v>
      </c>
      <c r="B797" s="3">
        <v>45921</v>
      </c>
      <c r="C797" t="s">
        <v>55</v>
      </c>
      <c r="D797" t="s">
        <v>143</v>
      </c>
      <c r="E797" t="s">
        <v>403</v>
      </c>
      <c r="F797">
        <v>10</v>
      </c>
      <c r="G797" s="6">
        <v>114150</v>
      </c>
      <c r="H797">
        <f>COUNTBLANK(Sales_Data[[#This Row],[Revenue]])</f>
        <v>0</v>
      </c>
      <c r="I797">
        <f>COUNTBLANK(Sales_Data[[#This Row],[Quantity]])</f>
        <v>0</v>
      </c>
      <c r="J797" t="str">
        <f>TEXT(Sales_Data[[#This Row],[Date]],"yyyy-mm")</f>
        <v>2025-09</v>
      </c>
    </row>
    <row r="798" spans="1:10" x14ac:dyDescent="0.35">
      <c r="A798" t="s">
        <v>1187</v>
      </c>
      <c r="B798" s="3">
        <v>45666</v>
      </c>
      <c r="C798" t="s">
        <v>63</v>
      </c>
      <c r="D798" t="s">
        <v>223</v>
      </c>
      <c r="E798" t="s">
        <v>403</v>
      </c>
      <c r="F798">
        <v>7</v>
      </c>
      <c r="G798" s="6">
        <v>61376</v>
      </c>
      <c r="H798">
        <f>COUNTBLANK(Sales_Data[[#This Row],[Revenue]])</f>
        <v>0</v>
      </c>
      <c r="I798">
        <f>COUNTBLANK(Sales_Data[[#This Row],[Quantity]])</f>
        <v>0</v>
      </c>
      <c r="J798" t="str">
        <f>TEXT(Sales_Data[[#This Row],[Date]],"yyyy-mm")</f>
        <v>2025-01</v>
      </c>
    </row>
    <row r="799" spans="1:10" x14ac:dyDescent="0.35">
      <c r="A799" t="s">
        <v>1188</v>
      </c>
      <c r="B799" s="3">
        <v>45705</v>
      </c>
      <c r="C799" t="s">
        <v>37</v>
      </c>
      <c r="D799" t="s">
        <v>345</v>
      </c>
      <c r="E799" t="s">
        <v>403</v>
      </c>
      <c r="F799">
        <v>9</v>
      </c>
      <c r="G799" s="6">
        <v>17577</v>
      </c>
      <c r="H799">
        <f>COUNTBLANK(Sales_Data[[#This Row],[Revenue]])</f>
        <v>0</v>
      </c>
      <c r="I799">
        <f>COUNTBLANK(Sales_Data[[#This Row],[Quantity]])</f>
        <v>0</v>
      </c>
      <c r="J799" t="str">
        <f>TEXT(Sales_Data[[#This Row],[Date]],"yyyy-mm")</f>
        <v>2025-02</v>
      </c>
    </row>
    <row r="800" spans="1:10" x14ac:dyDescent="0.35">
      <c r="A800" t="s">
        <v>1189</v>
      </c>
      <c r="B800" s="3">
        <v>45662</v>
      </c>
      <c r="C800" t="s">
        <v>47</v>
      </c>
      <c r="D800" t="s">
        <v>129</v>
      </c>
      <c r="E800" t="s">
        <v>394</v>
      </c>
      <c r="F800">
        <v>10</v>
      </c>
      <c r="G800" s="6">
        <v>220620</v>
      </c>
      <c r="H800">
        <f>COUNTBLANK(Sales_Data[[#This Row],[Revenue]])</f>
        <v>0</v>
      </c>
      <c r="I800">
        <f>COUNTBLANK(Sales_Data[[#This Row],[Quantity]])</f>
        <v>0</v>
      </c>
      <c r="J800" t="str">
        <f>TEXT(Sales_Data[[#This Row],[Date]],"yyyy-mm")</f>
        <v>2025-01</v>
      </c>
    </row>
    <row r="801" spans="1:10" x14ac:dyDescent="0.35">
      <c r="A801" t="s">
        <v>1190</v>
      </c>
      <c r="B801" s="3">
        <v>45678</v>
      </c>
      <c r="C801" t="s">
        <v>33</v>
      </c>
      <c r="D801" t="s">
        <v>159</v>
      </c>
      <c r="E801" t="s">
        <v>389</v>
      </c>
      <c r="F801">
        <v>9</v>
      </c>
      <c r="G801" s="6">
        <v>326277</v>
      </c>
      <c r="H801">
        <f>COUNTBLANK(Sales_Data[[#This Row],[Revenue]])</f>
        <v>0</v>
      </c>
      <c r="I801">
        <f>COUNTBLANK(Sales_Data[[#This Row],[Quantity]])</f>
        <v>0</v>
      </c>
      <c r="J801" t="str">
        <f>TEXT(Sales_Data[[#This Row],[Date]],"yyyy-mm")</f>
        <v>2025-01</v>
      </c>
    </row>
    <row r="802" spans="1:10" x14ac:dyDescent="0.35">
      <c r="A802" t="s">
        <v>1191</v>
      </c>
      <c r="B802" s="3">
        <v>45721</v>
      </c>
      <c r="C802" t="s">
        <v>21</v>
      </c>
      <c r="D802" t="s">
        <v>347</v>
      </c>
      <c r="E802" t="s">
        <v>389</v>
      </c>
      <c r="F802">
        <v>7</v>
      </c>
      <c r="G802" s="6">
        <v>106463</v>
      </c>
      <c r="H802">
        <f>COUNTBLANK(Sales_Data[[#This Row],[Revenue]])</f>
        <v>0</v>
      </c>
      <c r="I802">
        <f>COUNTBLANK(Sales_Data[[#This Row],[Quantity]])</f>
        <v>0</v>
      </c>
      <c r="J802" t="str">
        <f>TEXT(Sales_Data[[#This Row],[Date]],"yyyy-mm")</f>
        <v>2025-03</v>
      </c>
    </row>
    <row r="803" spans="1:10" x14ac:dyDescent="0.35">
      <c r="A803" t="s">
        <v>1192</v>
      </c>
      <c r="B803" s="3">
        <v>45716</v>
      </c>
      <c r="C803" t="s">
        <v>67</v>
      </c>
      <c r="D803" t="s">
        <v>359</v>
      </c>
      <c r="E803" t="s">
        <v>403</v>
      </c>
      <c r="F803">
        <v>4</v>
      </c>
      <c r="G803" s="6">
        <v>86464</v>
      </c>
      <c r="H803">
        <f>COUNTBLANK(Sales_Data[[#This Row],[Revenue]])</f>
        <v>0</v>
      </c>
      <c r="I803">
        <f>COUNTBLANK(Sales_Data[[#This Row],[Quantity]])</f>
        <v>0</v>
      </c>
      <c r="J803" t="str">
        <f>TEXT(Sales_Data[[#This Row],[Date]],"yyyy-mm")</f>
        <v>2025-02</v>
      </c>
    </row>
    <row r="804" spans="1:10" x14ac:dyDescent="0.35">
      <c r="A804" t="s">
        <v>1193</v>
      </c>
      <c r="B804" s="3">
        <v>45983</v>
      </c>
      <c r="C804" t="s">
        <v>47</v>
      </c>
      <c r="D804" t="s">
        <v>88</v>
      </c>
      <c r="E804" t="s">
        <v>403</v>
      </c>
      <c r="F804">
        <v>4</v>
      </c>
      <c r="G804" s="6">
        <v>88248</v>
      </c>
      <c r="H804">
        <f>COUNTBLANK(Sales_Data[[#This Row],[Revenue]])</f>
        <v>0</v>
      </c>
      <c r="I804">
        <f>COUNTBLANK(Sales_Data[[#This Row],[Quantity]])</f>
        <v>0</v>
      </c>
      <c r="J804" t="str">
        <f>TEXT(Sales_Data[[#This Row],[Date]],"yyyy-mm")</f>
        <v>2025-11</v>
      </c>
    </row>
    <row r="805" spans="1:10" x14ac:dyDescent="0.35">
      <c r="A805" t="s">
        <v>1194</v>
      </c>
      <c r="B805" s="3">
        <v>45912</v>
      </c>
      <c r="C805" t="s">
        <v>51</v>
      </c>
      <c r="D805" t="s">
        <v>129</v>
      </c>
      <c r="E805" t="s">
        <v>394</v>
      </c>
      <c r="F805">
        <v>7</v>
      </c>
      <c r="G805" s="6">
        <v>220073</v>
      </c>
      <c r="H805">
        <f>COUNTBLANK(Sales_Data[[#This Row],[Revenue]])</f>
        <v>0</v>
      </c>
      <c r="I805">
        <f>COUNTBLANK(Sales_Data[[#This Row],[Quantity]])</f>
        <v>0</v>
      </c>
      <c r="J805" t="str">
        <f>TEXT(Sales_Data[[#This Row],[Date]],"yyyy-mm")</f>
        <v>2025-09</v>
      </c>
    </row>
    <row r="806" spans="1:10" x14ac:dyDescent="0.35">
      <c r="A806" t="s">
        <v>1195</v>
      </c>
      <c r="B806" s="3">
        <v>45810</v>
      </c>
      <c r="C806" t="s">
        <v>41</v>
      </c>
      <c r="D806" t="s">
        <v>221</v>
      </c>
      <c r="E806" t="s">
        <v>387</v>
      </c>
      <c r="F806">
        <v>5</v>
      </c>
      <c r="G806" s="6">
        <v>106310</v>
      </c>
      <c r="H806">
        <f>COUNTBLANK(Sales_Data[[#This Row],[Revenue]])</f>
        <v>0</v>
      </c>
      <c r="I806">
        <f>COUNTBLANK(Sales_Data[[#This Row],[Quantity]])</f>
        <v>0</v>
      </c>
      <c r="J806" t="str">
        <f>TEXT(Sales_Data[[#This Row],[Date]],"yyyy-mm")</f>
        <v>2025-06</v>
      </c>
    </row>
    <row r="807" spans="1:10" x14ac:dyDescent="0.35">
      <c r="A807" t="s">
        <v>1196</v>
      </c>
      <c r="B807" s="3">
        <v>45743</v>
      </c>
      <c r="C807" t="s">
        <v>23</v>
      </c>
      <c r="D807" t="s">
        <v>101</v>
      </c>
      <c r="E807" t="s">
        <v>391</v>
      </c>
      <c r="F807">
        <v>7</v>
      </c>
      <c r="G807" s="6">
        <v>42483</v>
      </c>
      <c r="H807">
        <f>COUNTBLANK(Sales_Data[[#This Row],[Revenue]])</f>
        <v>0</v>
      </c>
      <c r="I807">
        <f>COUNTBLANK(Sales_Data[[#This Row],[Quantity]])</f>
        <v>0</v>
      </c>
      <c r="J807" t="str">
        <f>TEXT(Sales_Data[[#This Row],[Date]],"yyyy-mm")</f>
        <v>2025-03</v>
      </c>
    </row>
    <row r="808" spans="1:10" x14ac:dyDescent="0.35">
      <c r="A808" t="s">
        <v>1197</v>
      </c>
      <c r="B808" s="3">
        <v>45690</v>
      </c>
      <c r="C808" t="s">
        <v>13</v>
      </c>
      <c r="D808" t="s">
        <v>155</v>
      </c>
      <c r="E808" t="s">
        <v>394</v>
      </c>
      <c r="F808">
        <v>10</v>
      </c>
      <c r="G808" s="6">
        <v>301770</v>
      </c>
      <c r="H808">
        <f>COUNTBLANK(Sales_Data[[#This Row],[Revenue]])</f>
        <v>0</v>
      </c>
      <c r="I808">
        <f>COUNTBLANK(Sales_Data[[#This Row],[Quantity]])</f>
        <v>0</v>
      </c>
      <c r="J808" t="str">
        <f>TEXT(Sales_Data[[#This Row],[Date]],"yyyy-mm")</f>
        <v>2025-02</v>
      </c>
    </row>
    <row r="809" spans="1:10" x14ac:dyDescent="0.35">
      <c r="A809" t="s">
        <v>1198</v>
      </c>
      <c r="B809" s="3">
        <v>45827</v>
      </c>
      <c r="C809" t="s">
        <v>63</v>
      </c>
      <c r="D809" t="s">
        <v>277</v>
      </c>
      <c r="E809" t="s">
        <v>403</v>
      </c>
      <c r="F809">
        <v>9</v>
      </c>
      <c r="G809" s="6">
        <v>78912</v>
      </c>
      <c r="H809">
        <f>COUNTBLANK(Sales_Data[[#This Row],[Revenue]])</f>
        <v>0</v>
      </c>
      <c r="I809">
        <f>COUNTBLANK(Sales_Data[[#This Row],[Quantity]])</f>
        <v>0</v>
      </c>
      <c r="J809" t="str">
        <f>TEXT(Sales_Data[[#This Row],[Date]],"yyyy-mm")</f>
        <v>2025-06</v>
      </c>
    </row>
    <row r="810" spans="1:10" x14ac:dyDescent="0.35">
      <c r="A810" t="s">
        <v>1199</v>
      </c>
      <c r="B810" s="3">
        <v>45745</v>
      </c>
      <c r="C810" t="s">
        <v>53</v>
      </c>
      <c r="D810" t="s">
        <v>235</v>
      </c>
      <c r="E810" t="s">
        <v>394</v>
      </c>
      <c r="F810">
        <v>3</v>
      </c>
      <c r="G810" s="6">
        <v>12624</v>
      </c>
      <c r="H810">
        <f>COUNTBLANK(Sales_Data[[#This Row],[Revenue]])</f>
        <v>0</v>
      </c>
      <c r="I810">
        <f>COUNTBLANK(Sales_Data[[#This Row],[Quantity]])</f>
        <v>0</v>
      </c>
      <c r="J810" t="str">
        <f>TEXT(Sales_Data[[#This Row],[Date]],"yyyy-mm")</f>
        <v>2025-03</v>
      </c>
    </row>
    <row r="811" spans="1:10" x14ac:dyDescent="0.35">
      <c r="A811" t="s">
        <v>1200</v>
      </c>
      <c r="B811" s="3">
        <v>45693</v>
      </c>
      <c r="C811" t="s">
        <v>16</v>
      </c>
      <c r="D811" t="s">
        <v>95</v>
      </c>
      <c r="E811" t="s">
        <v>387</v>
      </c>
      <c r="F811">
        <v>9</v>
      </c>
      <c r="G811" s="6">
        <v>287658</v>
      </c>
      <c r="H811">
        <f>COUNTBLANK(Sales_Data[[#This Row],[Revenue]])</f>
        <v>0</v>
      </c>
      <c r="I811">
        <f>COUNTBLANK(Sales_Data[[#This Row],[Quantity]])</f>
        <v>0</v>
      </c>
      <c r="J811" t="str">
        <f>TEXT(Sales_Data[[#This Row],[Date]],"yyyy-mm")</f>
        <v>2025-02</v>
      </c>
    </row>
    <row r="812" spans="1:10" x14ac:dyDescent="0.35">
      <c r="A812" t="s">
        <v>1201</v>
      </c>
      <c r="B812" s="3">
        <v>45834</v>
      </c>
      <c r="C812" t="s">
        <v>51</v>
      </c>
      <c r="D812" t="s">
        <v>331</v>
      </c>
      <c r="E812" t="s">
        <v>387</v>
      </c>
      <c r="F812">
        <v>10</v>
      </c>
      <c r="G812" s="6">
        <v>314390</v>
      </c>
      <c r="H812">
        <f>COUNTBLANK(Sales_Data[[#This Row],[Revenue]])</f>
        <v>0</v>
      </c>
      <c r="I812">
        <f>COUNTBLANK(Sales_Data[[#This Row],[Quantity]])</f>
        <v>0</v>
      </c>
      <c r="J812" t="str">
        <f>TEXT(Sales_Data[[#This Row],[Date]],"yyyy-mm")</f>
        <v>2025-06</v>
      </c>
    </row>
    <row r="813" spans="1:10" x14ac:dyDescent="0.35">
      <c r="A813" t="s">
        <v>1202</v>
      </c>
      <c r="B813" s="3">
        <v>45914</v>
      </c>
      <c r="C813" t="s">
        <v>55</v>
      </c>
      <c r="D813" t="s">
        <v>257</v>
      </c>
      <c r="E813" t="s">
        <v>394</v>
      </c>
      <c r="F813">
        <v>7</v>
      </c>
      <c r="G813" s="6">
        <v>79905</v>
      </c>
      <c r="H813">
        <f>COUNTBLANK(Sales_Data[[#This Row],[Revenue]])</f>
        <v>0</v>
      </c>
      <c r="I813">
        <f>COUNTBLANK(Sales_Data[[#This Row],[Quantity]])</f>
        <v>0</v>
      </c>
      <c r="J813" t="str">
        <f>TEXT(Sales_Data[[#This Row],[Date]],"yyyy-mm")</f>
        <v>2025-09</v>
      </c>
    </row>
    <row r="814" spans="1:10" x14ac:dyDescent="0.35">
      <c r="A814" t="s">
        <v>1203</v>
      </c>
      <c r="B814" s="3">
        <v>45952</v>
      </c>
      <c r="C814" t="s">
        <v>65</v>
      </c>
      <c r="D814" t="s">
        <v>303</v>
      </c>
      <c r="E814" t="s">
        <v>394</v>
      </c>
      <c r="F814">
        <v>9</v>
      </c>
      <c r="G814" s="6">
        <v>4905</v>
      </c>
      <c r="H814">
        <f>COUNTBLANK(Sales_Data[[#This Row],[Revenue]])</f>
        <v>0</v>
      </c>
      <c r="I814">
        <f>COUNTBLANK(Sales_Data[[#This Row],[Quantity]])</f>
        <v>0</v>
      </c>
      <c r="J814" t="str">
        <f>TEXT(Sales_Data[[#This Row],[Date]],"yyyy-mm")</f>
        <v>2025-10</v>
      </c>
    </row>
    <row r="815" spans="1:10" x14ac:dyDescent="0.35">
      <c r="A815" t="s">
        <v>1204</v>
      </c>
      <c r="B815" s="3">
        <v>45981</v>
      </c>
      <c r="C815" t="s">
        <v>39</v>
      </c>
      <c r="D815" t="s">
        <v>269</v>
      </c>
      <c r="E815" t="s">
        <v>389</v>
      </c>
      <c r="F815">
        <v>7</v>
      </c>
      <c r="G815" s="6">
        <v>338016</v>
      </c>
      <c r="H815">
        <f>COUNTBLANK(Sales_Data[[#This Row],[Revenue]])</f>
        <v>0</v>
      </c>
      <c r="I815">
        <f>COUNTBLANK(Sales_Data[[#This Row],[Quantity]])</f>
        <v>0</v>
      </c>
      <c r="J815" t="str">
        <f>TEXT(Sales_Data[[#This Row],[Date]],"yyyy-mm")</f>
        <v>2025-11</v>
      </c>
    </row>
    <row r="816" spans="1:10" x14ac:dyDescent="0.35">
      <c r="A816" t="s">
        <v>1205</v>
      </c>
      <c r="B816" s="3">
        <v>45750</v>
      </c>
      <c r="C816" t="s">
        <v>10</v>
      </c>
      <c r="D816" t="s">
        <v>345</v>
      </c>
      <c r="E816" t="s">
        <v>403</v>
      </c>
      <c r="F816">
        <v>8</v>
      </c>
      <c r="G816" s="6">
        <v>36128</v>
      </c>
      <c r="H816">
        <f>COUNTBLANK(Sales_Data[[#This Row],[Revenue]])</f>
        <v>0</v>
      </c>
      <c r="I816">
        <f>COUNTBLANK(Sales_Data[[#This Row],[Quantity]])</f>
        <v>0</v>
      </c>
      <c r="J816" t="str">
        <f>TEXT(Sales_Data[[#This Row],[Date]],"yyyy-mm")</f>
        <v>2025-04</v>
      </c>
    </row>
    <row r="817" spans="1:10" x14ac:dyDescent="0.35">
      <c r="A817" t="s">
        <v>1206</v>
      </c>
      <c r="B817" s="3">
        <v>45706</v>
      </c>
      <c r="C817" t="s">
        <v>33</v>
      </c>
      <c r="D817" t="s">
        <v>149</v>
      </c>
      <c r="E817" t="s">
        <v>391</v>
      </c>
      <c r="F817">
        <v>1</v>
      </c>
      <c r="G817" s="6">
        <v>36253</v>
      </c>
      <c r="H817">
        <f>COUNTBLANK(Sales_Data[[#This Row],[Revenue]])</f>
        <v>0</v>
      </c>
      <c r="I817">
        <f>COUNTBLANK(Sales_Data[[#This Row],[Quantity]])</f>
        <v>0</v>
      </c>
      <c r="J817" t="str">
        <f>TEXT(Sales_Data[[#This Row],[Date]],"yyyy-mm")</f>
        <v>2025-02</v>
      </c>
    </row>
    <row r="818" spans="1:10" x14ac:dyDescent="0.35">
      <c r="A818" t="s">
        <v>1207</v>
      </c>
      <c r="B818" s="3">
        <v>45719</v>
      </c>
      <c r="C818" t="s">
        <v>43</v>
      </c>
      <c r="D818" t="s">
        <v>269</v>
      </c>
      <c r="E818" t="s">
        <v>403</v>
      </c>
      <c r="F818">
        <v>1</v>
      </c>
      <c r="G818" s="6">
        <v>37825</v>
      </c>
      <c r="H818">
        <f>COUNTBLANK(Sales_Data[[#This Row],[Revenue]])</f>
        <v>0</v>
      </c>
      <c r="I818">
        <f>COUNTBLANK(Sales_Data[[#This Row],[Quantity]])</f>
        <v>0</v>
      </c>
      <c r="J818" t="str">
        <f>TEXT(Sales_Data[[#This Row],[Date]],"yyyy-mm")</f>
        <v>2025-03</v>
      </c>
    </row>
    <row r="819" spans="1:10" x14ac:dyDescent="0.35">
      <c r="A819" t="s">
        <v>1208</v>
      </c>
      <c r="B819" s="3">
        <v>45765</v>
      </c>
      <c r="C819" t="s">
        <v>61</v>
      </c>
      <c r="D819" t="s">
        <v>343</v>
      </c>
      <c r="E819" t="s">
        <v>394</v>
      </c>
      <c r="F819">
        <v>5</v>
      </c>
      <c r="G819" s="6">
        <v>125080</v>
      </c>
      <c r="H819">
        <f>COUNTBLANK(Sales_Data[[#This Row],[Revenue]])</f>
        <v>0</v>
      </c>
      <c r="I819">
        <f>COUNTBLANK(Sales_Data[[#This Row],[Quantity]])</f>
        <v>0</v>
      </c>
      <c r="J819" t="str">
        <f>TEXT(Sales_Data[[#This Row],[Date]],"yyyy-mm")</f>
        <v>2025-04</v>
      </c>
    </row>
    <row r="820" spans="1:10" x14ac:dyDescent="0.35">
      <c r="A820" t="s">
        <v>1209</v>
      </c>
      <c r="B820" s="3">
        <v>45780</v>
      </c>
      <c r="C820" t="s">
        <v>63</v>
      </c>
      <c r="D820" t="s">
        <v>159</v>
      </c>
      <c r="E820" t="s">
        <v>403</v>
      </c>
      <c r="F820">
        <v>8</v>
      </c>
      <c r="G820" s="6">
        <v>70144</v>
      </c>
      <c r="H820">
        <f>COUNTBLANK(Sales_Data[[#This Row],[Revenue]])</f>
        <v>0</v>
      </c>
      <c r="I820">
        <f>COUNTBLANK(Sales_Data[[#This Row],[Quantity]])</f>
        <v>0</v>
      </c>
      <c r="J820" t="str">
        <f>TEXT(Sales_Data[[#This Row],[Date]],"yyyy-mm")</f>
        <v>2025-05</v>
      </c>
    </row>
    <row r="821" spans="1:10" x14ac:dyDescent="0.35">
      <c r="A821" t="s">
        <v>1210</v>
      </c>
      <c r="B821" s="3">
        <v>45976</v>
      </c>
      <c r="C821" t="s">
        <v>39</v>
      </c>
      <c r="D821" t="s">
        <v>379</v>
      </c>
      <c r="E821" t="s">
        <v>394</v>
      </c>
      <c r="F821">
        <v>3</v>
      </c>
      <c r="G821" s="6">
        <v>144864</v>
      </c>
      <c r="H821">
        <f>COUNTBLANK(Sales_Data[[#This Row],[Revenue]])</f>
        <v>0</v>
      </c>
      <c r="I821">
        <f>COUNTBLANK(Sales_Data[[#This Row],[Quantity]])</f>
        <v>0</v>
      </c>
      <c r="J821" t="str">
        <f>TEXT(Sales_Data[[#This Row],[Date]],"yyyy-mm")</f>
        <v>2025-11</v>
      </c>
    </row>
    <row r="822" spans="1:10" x14ac:dyDescent="0.35">
      <c r="A822" t="s">
        <v>1211</v>
      </c>
      <c r="B822" s="3">
        <v>45976</v>
      </c>
      <c r="C822" t="s">
        <v>49</v>
      </c>
      <c r="D822" t="s">
        <v>295</v>
      </c>
      <c r="E822" t="s">
        <v>391</v>
      </c>
      <c r="F822">
        <v>3</v>
      </c>
      <c r="G822" s="6">
        <v>136542</v>
      </c>
      <c r="H822">
        <f>COUNTBLANK(Sales_Data[[#This Row],[Revenue]])</f>
        <v>0</v>
      </c>
      <c r="I822">
        <f>COUNTBLANK(Sales_Data[[#This Row],[Quantity]])</f>
        <v>0</v>
      </c>
      <c r="J822" t="str">
        <f>TEXT(Sales_Data[[#This Row],[Date]],"yyyy-mm")</f>
        <v>2025-11</v>
      </c>
    </row>
    <row r="823" spans="1:10" x14ac:dyDescent="0.35">
      <c r="A823" t="s">
        <v>1212</v>
      </c>
      <c r="B823" s="3">
        <v>45726</v>
      </c>
      <c r="C823" t="s">
        <v>13</v>
      </c>
      <c r="D823" t="s">
        <v>371</v>
      </c>
      <c r="E823" t="s">
        <v>389</v>
      </c>
      <c r="F823">
        <v>9</v>
      </c>
      <c r="G823" s="6">
        <v>271593</v>
      </c>
      <c r="H823">
        <f>COUNTBLANK(Sales_Data[[#This Row],[Revenue]])</f>
        <v>0</v>
      </c>
      <c r="I823">
        <f>COUNTBLANK(Sales_Data[[#This Row],[Quantity]])</f>
        <v>0</v>
      </c>
      <c r="J823" t="str">
        <f>TEXT(Sales_Data[[#This Row],[Date]],"yyyy-mm")</f>
        <v>2025-03</v>
      </c>
    </row>
    <row r="824" spans="1:10" x14ac:dyDescent="0.35">
      <c r="A824" t="s">
        <v>1213</v>
      </c>
      <c r="B824" s="3">
        <v>45876</v>
      </c>
      <c r="C824" t="s">
        <v>67</v>
      </c>
      <c r="D824" t="s">
        <v>333</v>
      </c>
      <c r="E824" t="s">
        <v>403</v>
      </c>
      <c r="F824">
        <v>9</v>
      </c>
      <c r="G824" s="6">
        <v>194544</v>
      </c>
      <c r="H824">
        <f>COUNTBLANK(Sales_Data[[#This Row],[Revenue]])</f>
        <v>0</v>
      </c>
      <c r="I824">
        <f>COUNTBLANK(Sales_Data[[#This Row],[Quantity]])</f>
        <v>0</v>
      </c>
      <c r="J824" t="str">
        <f>TEXT(Sales_Data[[#This Row],[Date]],"yyyy-mm")</f>
        <v>2025-08</v>
      </c>
    </row>
    <row r="825" spans="1:10" x14ac:dyDescent="0.35">
      <c r="A825" t="s">
        <v>1214</v>
      </c>
      <c r="B825" s="3">
        <v>45692</v>
      </c>
      <c r="C825" t="s">
        <v>21</v>
      </c>
      <c r="D825" t="s">
        <v>343</v>
      </c>
      <c r="E825" t="s">
        <v>387</v>
      </c>
      <c r="F825">
        <v>1</v>
      </c>
      <c r="G825" s="6">
        <v>15209</v>
      </c>
      <c r="H825">
        <f>COUNTBLANK(Sales_Data[[#This Row],[Revenue]])</f>
        <v>0</v>
      </c>
      <c r="I825">
        <f>COUNTBLANK(Sales_Data[[#This Row],[Quantity]])</f>
        <v>0</v>
      </c>
      <c r="J825" t="str">
        <f>TEXT(Sales_Data[[#This Row],[Date]],"yyyy-mm")</f>
        <v>2025-02</v>
      </c>
    </row>
    <row r="826" spans="1:10" x14ac:dyDescent="0.35">
      <c r="A826" t="s">
        <v>1215</v>
      </c>
      <c r="B826" s="3">
        <v>45927</v>
      </c>
      <c r="C826" t="s">
        <v>41</v>
      </c>
      <c r="D826" t="s">
        <v>161</v>
      </c>
      <c r="E826" t="s">
        <v>403</v>
      </c>
      <c r="F826">
        <v>8</v>
      </c>
      <c r="G826" s="6">
        <v>170096</v>
      </c>
      <c r="H826">
        <f>COUNTBLANK(Sales_Data[[#This Row],[Revenue]])</f>
        <v>0</v>
      </c>
      <c r="I826">
        <f>COUNTBLANK(Sales_Data[[#This Row],[Quantity]])</f>
        <v>0</v>
      </c>
      <c r="J826" t="str">
        <f>TEXT(Sales_Data[[#This Row],[Date]],"yyyy-mm")</f>
        <v>2025-09</v>
      </c>
    </row>
    <row r="827" spans="1:10" x14ac:dyDescent="0.35">
      <c r="A827" t="s">
        <v>1216</v>
      </c>
      <c r="B827" s="3">
        <v>45981</v>
      </c>
      <c r="C827" t="s">
        <v>43</v>
      </c>
      <c r="D827" t="s">
        <v>95</v>
      </c>
      <c r="E827" t="s">
        <v>389</v>
      </c>
      <c r="F827">
        <v>2</v>
      </c>
      <c r="G827" s="6">
        <v>75650</v>
      </c>
      <c r="H827">
        <f>COUNTBLANK(Sales_Data[[#This Row],[Revenue]])</f>
        <v>0</v>
      </c>
      <c r="I827">
        <f>COUNTBLANK(Sales_Data[[#This Row],[Quantity]])</f>
        <v>0</v>
      </c>
      <c r="J827" t="str">
        <f>TEXT(Sales_Data[[#This Row],[Date]],"yyyy-mm")</f>
        <v>2025-11</v>
      </c>
    </row>
    <row r="828" spans="1:10" x14ac:dyDescent="0.35">
      <c r="A828" t="s">
        <v>1217</v>
      </c>
      <c r="B828" s="3">
        <v>45831</v>
      </c>
      <c r="C828" t="s">
        <v>35</v>
      </c>
      <c r="D828" t="s">
        <v>353</v>
      </c>
      <c r="E828" t="s">
        <v>387</v>
      </c>
      <c r="F828">
        <v>4</v>
      </c>
      <c r="G828" s="6">
        <v>197840</v>
      </c>
      <c r="H828">
        <f>COUNTBLANK(Sales_Data[[#This Row],[Revenue]])</f>
        <v>0</v>
      </c>
      <c r="I828">
        <f>COUNTBLANK(Sales_Data[[#This Row],[Quantity]])</f>
        <v>0</v>
      </c>
      <c r="J828" t="str">
        <f>TEXT(Sales_Data[[#This Row],[Date]],"yyyy-mm")</f>
        <v>2025-06</v>
      </c>
    </row>
    <row r="829" spans="1:10" x14ac:dyDescent="0.35">
      <c r="A829" t="s">
        <v>1218</v>
      </c>
      <c r="B829" s="3">
        <v>45935</v>
      </c>
      <c r="C829" t="s">
        <v>67</v>
      </c>
      <c r="D829" t="s">
        <v>267</v>
      </c>
      <c r="E829" t="s">
        <v>403</v>
      </c>
      <c r="F829">
        <v>9</v>
      </c>
      <c r="G829" s="6">
        <v>194544</v>
      </c>
      <c r="H829">
        <f>COUNTBLANK(Sales_Data[[#This Row],[Revenue]])</f>
        <v>0</v>
      </c>
      <c r="I829">
        <f>COUNTBLANK(Sales_Data[[#This Row],[Quantity]])</f>
        <v>0</v>
      </c>
      <c r="J829" t="str">
        <f>TEXT(Sales_Data[[#This Row],[Date]],"yyyy-mm")</f>
        <v>2025-10</v>
      </c>
    </row>
    <row r="830" spans="1:10" x14ac:dyDescent="0.35">
      <c r="A830" t="s">
        <v>1219</v>
      </c>
      <c r="B830" s="3">
        <v>45697</v>
      </c>
      <c r="C830" t="s">
        <v>25</v>
      </c>
      <c r="D830" t="s">
        <v>265</v>
      </c>
      <c r="E830" t="s">
        <v>394</v>
      </c>
      <c r="F830">
        <v>7</v>
      </c>
      <c r="G830" s="6">
        <v>127701</v>
      </c>
      <c r="H830">
        <f>COUNTBLANK(Sales_Data[[#This Row],[Revenue]])</f>
        <v>0</v>
      </c>
      <c r="I830">
        <f>COUNTBLANK(Sales_Data[[#This Row],[Quantity]])</f>
        <v>0</v>
      </c>
      <c r="J830" t="str">
        <f>TEXT(Sales_Data[[#This Row],[Date]],"yyyy-mm")</f>
        <v>2025-02</v>
      </c>
    </row>
    <row r="831" spans="1:10" x14ac:dyDescent="0.35">
      <c r="A831" t="s">
        <v>1220</v>
      </c>
      <c r="B831" s="3">
        <v>45725</v>
      </c>
      <c r="C831" t="s">
        <v>41</v>
      </c>
      <c r="D831" t="s">
        <v>245</v>
      </c>
      <c r="E831" t="s">
        <v>394</v>
      </c>
      <c r="F831">
        <v>6</v>
      </c>
      <c r="G831" s="6">
        <v>127572</v>
      </c>
      <c r="H831">
        <f>COUNTBLANK(Sales_Data[[#This Row],[Revenue]])</f>
        <v>0</v>
      </c>
      <c r="I831">
        <f>COUNTBLANK(Sales_Data[[#This Row],[Quantity]])</f>
        <v>0</v>
      </c>
      <c r="J831" t="str">
        <f>TEXT(Sales_Data[[#This Row],[Date]],"yyyy-mm")</f>
        <v>2025-03</v>
      </c>
    </row>
    <row r="832" spans="1:10" x14ac:dyDescent="0.35">
      <c r="A832" t="s">
        <v>1221</v>
      </c>
      <c r="B832" s="3">
        <v>45831</v>
      </c>
      <c r="C832" t="s">
        <v>31</v>
      </c>
      <c r="D832" t="s">
        <v>277</v>
      </c>
      <c r="E832" t="s">
        <v>391</v>
      </c>
      <c r="F832">
        <v>10</v>
      </c>
      <c r="G832" s="6">
        <v>299660</v>
      </c>
      <c r="H832">
        <f>COUNTBLANK(Sales_Data[[#This Row],[Revenue]])</f>
        <v>0</v>
      </c>
      <c r="I832">
        <f>COUNTBLANK(Sales_Data[[#This Row],[Quantity]])</f>
        <v>0</v>
      </c>
      <c r="J832" t="str">
        <f>TEXT(Sales_Data[[#This Row],[Date]],"yyyy-mm")</f>
        <v>2025-06</v>
      </c>
    </row>
    <row r="833" spans="1:10" x14ac:dyDescent="0.35">
      <c r="A833" t="s">
        <v>1222</v>
      </c>
      <c r="B833" s="3">
        <v>45907</v>
      </c>
      <c r="C833" t="s">
        <v>4</v>
      </c>
      <c r="D833" t="s">
        <v>123</v>
      </c>
      <c r="E833" t="s">
        <v>394</v>
      </c>
      <c r="F833">
        <v>6</v>
      </c>
      <c r="G833" s="6">
        <v>70890</v>
      </c>
      <c r="H833">
        <f>COUNTBLANK(Sales_Data[[#This Row],[Revenue]])</f>
        <v>0</v>
      </c>
      <c r="I833">
        <f>COUNTBLANK(Sales_Data[[#This Row],[Quantity]])</f>
        <v>0</v>
      </c>
      <c r="J833" t="str">
        <f>TEXT(Sales_Data[[#This Row],[Date]],"yyyy-mm")</f>
        <v>2025-09</v>
      </c>
    </row>
    <row r="834" spans="1:10" x14ac:dyDescent="0.35">
      <c r="A834" t="s">
        <v>1223</v>
      </c>
      <c r="B834" s="3">
        <v>45967</v>
      </c>
      <c r="C834" t="s">
        <v>39</v>
      </c>
      <c r="D834" t="s">
        <v>285</v>
      </c>
      <c r="E834" t="s">
        <v>403</v>
      </c>
      <c r="F834">
        <v>10</v>
      </c>
      <c r="G834" s="6">
        <v>482880</v>
      </c>
      <c r="H834">
        <f>COUNTBLANK(Sales_Data[[#This Row],[Revenue]])</f>
        <v>0</v>
      </c>
      <c r="I834">
        <f>COUNTBLANK(Sales_Data[[#This Row],[Quantity]])</f>
        <v>0</v>
      </c>
      <c r="J834" t="str">
        <f>TEXT(Sales_Data[[#This Row],[Date]],"yyyy-mm")</f>
        <v>2025-11</v>
      </c>
    </row>
    <row r="835" spans="1:10" x14ac:dyDescent="0.35">
      <c r="A835" t="s">
        <v>1224</v>
      </c>
      <c r="B835" s="3">
        <v>45837</v>
      </c>
      <c r="C835" t="s">
        <v>13</v>
      </c>
      <c r="D835" t="s">
        <v>165</v>
      </c>
      <c r="E835" t="s">
        <v>403</v>
      </c>
      <c r="F835">
        <v>7</v>
      </c>
      <c r="G835" s="6">
        <v>211239</v>
      </c>
      <c r="H835">
        <f>COUNTBLANK(Sales_Data[[#This Row],[Revenue]])</f>
        <v>0</v>
      </c>
      <c r="I835">
        <f>COUNTBLANK(Sales_Data[[#This Row],[Quantity]])</f>
        <v>0</v>
      </c>
      <c r="J835" t="str">
        <f>TEXT(Sales_Data[[#This Row],[Date]],"yyyy-mm")</f>
        <v>2025-06</v>
      </c>
    </row>
    <row r="836" spans="1:10" x14ac:dyDescent="0.35">
      <c r="A836" t="s">
        <v>1225</v>
      </c>
      <c r="B836" s="3">
        <v>45960</v>
      </c>
      <c r="C836" t="s">
        <v>7</v>
      </c>
      <c r="D836" t="s">
        <v>353</v>
      </c>
      <c r="E836" t="s">
        <v>391</v>
      </c>
      <c r="F836">
        <v>4</v>
      </c>
      <c r="G836" s="6">
        <v>104532</v>
      </c>
      <c r="H836">
        <f>COUNTBLANK(Sales_Data[[#This Row],[Revenue]])</f>
        <v>0</v>
      </c>
      <c r="I836">
        <f>COUNTBLANK(Sales_Data[[#This Row],[Quantity]])</f>
        <v>0</v>
      </c>
      <c r="J836" t="str">
        <f>TEXT(Sales_Data[[#This Row],[Date]],"yyyy-mm")</f>
        <v>2025-10</v>
      </c>
    </row>
    <row r="837" spans="1:10" x14ac:dyDescent="0.35">
      <c r="A837" t="s">
        <v>1226</v>
      </c>
      <c r="B837" s="3">
        <v>45677</v>
      </c>
      <c r="C837" t="s">
        <v>51</v>
      </c>
      <c r="D837" t="s">
        <v>119</v>
      </c>
      <c r="E837" t="s">
        <v>403</v>
      </c>
      <c r="F837">
        <v>4</v>
      </c>
      <c r="G837" s="6">
        <v>125756</v>
      </c>
      <c r="H837">
        <f>COUNTBLANK(Sales_Data[[#This Row],[Revenue]])</f>
        <v>0</v>
      </c>
      <c r="I837">
        <f>COUNTBLANK(Sales_Data[[#This Row],[Quantity]])</f>
        <v>0</v>
      </c>
      <c r="J837" t="str">
        <f>TEXT(Sales_Data[[#This Row],[Date]],"yyyy-mm")</f>
        <v>2025-01</v>
      </c>
    </row>
    <row r="838" spans="1:10" x14ac:dyDescent="0.35">
      <c r="A838" t="s">
        <v>1227</v>
      </c>
      <c r="B838" s="3">
        <v>45814</v>
      </c>
      <c r="C838" t="s">
        <v>47</v>
      </c>
      <c r="D838" t="s">
        <v>165</v>
      </c>
      <c r="E838" t="s">
        <v>389</v>
      </c>
      <c r="F838">
        <v>7</v>
      </c>
      <c r="G838" s="6">
        <v>154434</v>
      </c>
      <c r="H838">
        <f>COUNTBLANK(Sales_Data[[#This Row],[Revenue]])</f>
        <v>0</v>
      </c>
      <c r="I838">
        <f>COUNTBLANK(Sales_Data[[#This Row],[Quantity]])</f>
        <v>0</v>
      </c>
      <c r="J838" t="str">
        <f>TEXT(Sales_Data[[#This Row],[Date]],"yyyy-mm")</f>
        <v>2025-06</v>
      </c>
    </row>
    <row r="839" spans="1:10" x14ac:dyDescent="0.35">
      <c r="A839" t="s">
        <v>1228</v>
      </c>
      <c r="B839" s="3">
        <v>45998</v>
      </c>
      <c r="C839" t="s">
        <v>47</v>
      </c>
      <c r="D839" t="s">
        <v>357</v>
      </c>
      <c r="E839" t="s">
        <v>391</v>
      </c>
      <c r="F839">
        <v>5</v>
      </c>
      <c r="G839" s="6">
        <v>110310</v>
      </c>
      <c r="H839">
        <f>COUNTBLANK(Sales_Data[[#This Row],[Revenue]])</f>
        <v>0</v>
      </c>
      <c r="I839">
        <f>COUNTBLANK(Sales_Data[[#This Row],[Quantity]])</f>
        <v>0</v>
      </c>
      <c r="J839" t="str">
        <f>TEXT(Sales_Data[[#This Row],[Date]],"yyyy-mm")</f>
        <v>2025-12</v>
      </c>
    </row>
    <row r="840" spans="1:10" x14ac:dyDescent="0.35">
      <c r="A840" t="s">
        <v>1229</v>
      </c>
      <c r="B840" s="3">
        <v>46004</v>
      </c>
      <c r="C840" t="s">
        <v>10</v>
      </c>
      <c r="D840" t="s">
        <v>239</v>
      </c>
      <c r="E840" t="s">
        <v>387</v>
      </c>
      <c r="F840">
        <v>7</v>
      </c>
      <c r="G840" s="6">
        <v>31612</v>
      </c>
      <c r="H840">
        <f>COUNTBLANK(Sales_Data[[#This Row],[Revenue]])</f>
        <v>0</v>
      </c>
      <c r="I840">
        <f>COUNTBLANK(Sales_Data[[#This Row],[Quantity]])</f>
        <v>0</v>
      </c>
      <c r="J840" t="str">
        <f>TEXT(Sales_Data[[#This Row],[Date]],"yyyy-mm")</f>
        <v>2025-12</v>
      </c>
    </row>
    <row r="841" spans="1:10" x14ac:dyDescent="0.35">
      <c r="A841" t="s">
        <v>1230</v>
      </c>
      <c r="B841" s="3">
        <v>45799</v>
      </c>
      <c r="C841" t="s">
        <v>61</v>
      </c>
      <c r="D841" t="s">
        <v>253</v>
      </c>
      <c r="E841" t="s">
        <v>391</v>
      </c>
      <c r="F841">
        <v>10</v>
      </c>
      <c r="G841" s="6">
        <v>250160</v>
      </c>
      <c r="H841">
        <f>COUNTBLANK(Sales_Data[[#This Row],[Revenue]])</f>
        <v>0</v>
      </c>
      <c r="I841">
        <f>COUNTBLANK(Sales_Data[[#This Row],[Quantity]])</f>
        <v>0</v>
      </c>
      <c r="J841" t="str">
        <f>TEXT(Sales_Data[[#This Row],[Date]],"yyyy-mm")</f>
        <v>2025-05</v>
      </c>
    </row>
    <row r="842" spans="1:10" x14ac:dyDescent="0.35">
      <c r="A842" t="s">
        <v>1231</v>
      </c>
      <c r="B842" s="3">
        <v>46017</v>
      </c>
      <c r="C842" t="s">
        <v>13</v>
      </c>
      <c r="D842" t="s">
        <v>337</v>
      </c>
      <c r="E842" t="s">
        <v>391</v>
      </c>
      <c r="F842">
        <v>7</v>
      </c>
      <c r="G842" s="6">
        <v>211239</v>
      </c>
      <c r="H842">
        <f>COUNTBLANK(Sales_Data[[#This Row],[Revenue]])</f>
        <v>0</v>
      </c>
      <c r="I842">
        <f>COUNTBLANK(Sales_Data[[#This Row],[Quantity]])</f>
        <v>0</v>
      </c>
      <c r="J842" t="str">
        <f>TEXT(Sales_Data[[#This Row],[Date]],"yyyy-mm")</f>
        <v>2025-12</v>
      </c>
    </row>
    <row r="843" spans="1:10" x14ac:dyDescent="0.35">
      <c r="A843" t="s">
        <v>1232</v>
      </c>
      <c r="B843" s="3">
        <v>45967</v>
      </c>
      <c r="C843" t="s">
        <v>39</v>
      </c>
      <c r="D843" t="s">
        <v>181</v>
      </c>
      <c r="E843" t="s">
        <v>391</v>
      </c>
      <c r="F843">
        <v>1</v>
      </c>
      <c r="G843" s="6">
        <v>48288</v>
      </c>
      <c r="H843">
        <f>COUNTBLANK(Sales_Data[[#This Row],[Revenue]])</f>
        <v>0</v>
      </c>
      <c r="I843">
        <f>COUNTBLANK(Sales_Data[[#This Row],[Quantity]])</f>
        <v>0</v>
      </c>
      <c r="J843" t="str">
        <f>TEXT(Sales_Data[[#This Row],[Date]],"yyyy-mm")</f>
        <v>2025-11</v>
      </c>
    </row>
    <row r="844" spans="1:10" x14ac:dyDescent="0.35">
      <c r="A844" t="s">
        <v>1233</v>
      </c>
      <c r="B844" s="3">
        <v>45786</v>
      </c>
      <c r="C844" t="s">
        <v>49</v>
      </c>
      <c r="D844" t="s">
        <v>281</v>
      </c>
      <c r="E844" t="s">
        <v>389</v>
      </c>
      <c r="F844">
        <v>6</v>
      </c>
      <c r="G844" s="6">
        <v>273084</v>
      </c>
      <c r="H844">
        <f>COUNTBLANK(Sales_Data[[#This Row],[Revenue]])</f>
        <v>0</v>
      </c>
      <c r="I844">
        <f>COUNTBLANK(Sales_Data[[#This Row],[Quantity]])</f>
        <v>0</v>
      </c>
      <c r="J844" t="str">
        <f>TEXT(Sales_Data[[#This Row],[Date]],"yyyy-mm")</f>
        <v>2025-05</v>
      </c>
    </row>
    <row r="845" spans="1:10" x14ac:dyDescent="0.35">
      <c r="A845" t="s">
        <v>1234</v>
      </c>
      <c r="B845" s="3">
        <v>45923</v>
      </c>
      <c r="C845" t="s">
        <v>55</v>
      </c>
      <c r="D845" t="s">
        <v>123</v>
      </c>
      <c r="E845" t="s">
        <v>387</v>
      </c>
      <c r="F845">
        <v>7</v>
      </c>
      <c r="G845" s="6">
        <v>79905</v>
      </c>
      <c r="H845">
        <f>COUNTBLANK(Sales_Data[[#This Row],[Revenue]])</f>
        <v>0</v>
      </c>
      <c r="I845">
        <f>COUNTBLANK(Sales_Data[[#This Row],[Quantity]])</f>
        <v>0</v>
      </c>
      <c r="J845" t="str">
        <f>TEXT(Sales_Data[[#This Row],[Date]],"yyyy-mm")</f>
        <v>2025-09</v>
      </c>
    </row>
    <row r="846" spans="1:10" x14ac:dyDescent="0.35">
      <c r="A846" t="s">
        <v>1235</v>
      </c>
      <c r="B846" s="3">
        <v>45844</v>
      </c>
      <c r="C846" t="s">
        <v>55</v>
      </c>
      <c r="D846" t="s">
        <v>107</v>
      </c>
      <c r="E846" t="s">
        <v>391</v>
      </c>
      <c r="F846">
        <v>1</v>
      </c>
      <c r="G846" s="6">
        <v>11415</v>
      </c>
      <c r="H846">
        <f>COUNTBLANK(Sales_Data[[#This Row],[Revenue]])</f>
        <v>0</v>
      </c>
      <c r="I846">
        <f>COUNTBLANK(Sales_Data[[#This Row],[Quantity]])</f>
        <v>0</v>
      </c>
      <c r="J846" t="str">
        <f>TEXT(Sales_Data[[#This Row],[Date]],"yyyy-mm")</f>
        <v>2025-07</v>
      </c>
    </row>
    <row r="847" spans="1:10" x14ac:dyDescent="0.35">
      <c r="A847" t="s">
        <v>1236</v>
      </c>
      <c r="B847" s="3">
        <v>45699</v>
      </c>
      <c r="C847" t="s">
        <v>47</v>
      </c>
      <c r="D847" t="s">
        <v>365</v>
      </c>
      <c r="E847" t="s">
        <v>391</v>
      </c>
      <c r="F847">
        <v>3</v>
      </c>
      <c r="G847" s="6">
        <v>66186</v>
      </c>
      <c r="H847">
        <f>COUNTBLANK(Sales_Data[[#This Row],[Revenue]])</f>
        <v>0</v>
      </c>
      <c r="I847">
        <f>COUNTBLANK(Sales_Data[[#This Row],[Quantity]])</f>
        <v>0</v>
      </c>
      <c r="J847" t="str">
        <f>TEXT(Sales_Data[[#This Row],[Date]],"yyyy-mm")</f>
        <v>2025-02</v>
      </c>
    </row>
    <row r="848" spans="1:10" x14ac:dyDescent="0.35">
      <c r="A848" t="s">
        <v>1237</v>
      </c>
      <c r="B848" s="3">
        <v>45844</v>
      </c>
      <c r="C848" t="s">
        <v>63</v>
      </c>
      <c r="D848" t="s">
        <v>315</v>
      </c>
      <c r="E848" t="s">
        <v>387</v>
      </c>
      <c r="F848">
        <v>5</v>
      </c>
      <c r="G848" s="6">
        <v>43840</v>
      </c>
      <c r="H848">
        <f>COUNTBLANK(Sales_Data[[#This Row],[Revenue]])</f>
        <v>0</v>
      </c>
      <c r="I848">
        <f>COUNTBLANK(Sales_Data[[#This Row],[Quantity]])</f>
        <v>0</v>
      </c>
      <c r="J848" t="str">
        <f>TEXT(Sales_Data[[#This Row],[Date]],"yyyy-mm")</f>
        <v>2025-07</v>
      </c>
    </row>
    <row r="849" spans="1:10" x14ac:dyDescent="0.35">
      <c r="A849" t="s">
        <v>1238</v>
      </c>
      <c r="B849" s="3">
        <v>45677</v>
      </c>
      <c r="C849" t="s">
        <v>65</v>
      </c>
      <c r="D849" t="s">
        <v>229</v>
      </c>
      <c r="E849" t="s">
        <v>387</v>
      </c>
      <c r="F849">
        <v>4</v>
      </c>
      <c r="G849" s="6">
        <v>2180</v>
      </c>
      <c r="H849">
        <f>COUNTBLANK(Sales_Data[[#This Row],[Revenue]])</f>
        <v>0</v>
      </c>
      <c r="I849">
        <f>COUNTBLANK(Sales_Data[[#This Row],[Quantity]])</f>
        <v>0</v>
      </c>
      <c r="J849" t="str">
        <f>TEXT(Sales_Data[[#This Row],[Date]],"yyyy-mm")</f>
        <v>2025-01</v>
      </c>
    </row>
    <row r="850" spans="1:10" x14ac:dyDescent="0.35">
      <c r="A850" t="s">
        <v>1239</v>
      </c>
      <c r="B850" s="3">
        <v>45929</v>
      </c>
      <c r="C850" t="s">
        <v>65</v>
      </c>
      <c r="D850" t="s">
        <v>299</v>
      </c>
      <c r="E850" t="s">
        <v>403</v>
      </c>
      <c r="F850">
        <v>10</v>
      </c>
      <c r="G850" s="6">
        <v>5450</v>
      </c>
      <c r="H850">
        <f>COUNTBLANK(Sales_Data[[#This Row],[Revenue]])</f>
        <v>0</v>
      </c>
      <c r="I850">
        <f>COUNTBLANK(Sales_Data[[#This Row],[Quantity]])</f>
        <v>0</v>
      </c>
      <c r="J850" t="str">
        <f>TEXT(Sales_Data[[#This Row],[Date]],"yyyy-mm")</f>
        <v>2025-09</v>
      </c>
    </row>
    <row r="851" spans="1:10" x14ac:dyDescent="0.35">
      <c r="A851" t="s">
        <v>1240</v>
      </c>
      <c r="B851" s="3">
        <v>45729</v>
      </c>
      <c r="C851" t="s">
        <v>33</v>
      </c>
      <c r="D851" t="s">
        <v>281</v>
      </c>
      <c r="E851" t="s">
        <v>391</v>
      </c>
      <c r="F851">
        <v>7</v>
      </c>
      <c r="G851" s="6">
        <v>253771</v>
      </c>
      <c r="H851">
        <f>COUNTBLANK(Sales_Data[[#This Row],[Revenue]])</f>
        <v>0</v>
      </c>
      <c r="I851">
        <f>COUNTBLANK(Sales_Data[[#This Row],[Quantity]])</f>
        <v>0</v>
      </c>
      <c r="J851" t="str">
        <f>TEXT(Sales_Data[[#This Row],[Date]],"yyyy-mm")</f>
        <v>2025-03</v>
      </c>
    </row>
    <row r="852" spans="1:10" x14ac:dyDescent="0.35">
      <c r="A852" t="s">
        <v>1241</v>
      </c>
      <c r="B852" s="3">
        <v>45975</v>
      </c>
      <c r="C852" t="s">
        <v>41</v>
      </c>
      <c r="D852" t="s">
        <v>169</v>
      </c>
      <c r="E852" t="s">
        <v>389</v>
      </c>
      <c r="F852">
        <v>5</v>
      </c>
      <c r="G852" s="6">
        <v>106310</v>
      </c>
      <c r="H852">
        <f>COUNTBLANK(Sales_Data[[#This Row],[Revenue]])</f>
        <v>0</v>
      </c>
      <c r="I852">
        <f>COUNTBLANK(Sales_Data[[#This Row],[Quantity]])</f>
        <v>0</v>
      </c>
      <c r="J852" t="str">
        <f>TEXT(Sales_Data[[#This Row],[Date]],"yyyy-mm")</f>
        <v>2025-11</v>
      </c>
    </row>
    <row r="853" spans="1:10" x14ac:dyDescent="0.35">
      <c r="A853" t="s">
        <v>1242</v>
      </c>
      <c r="B853" s="3">
        <v>45783</v>
      </c>
      <c r="C853" t="s">
        <v>7</v>
      </c>
      <c r="D853" t="s">
        <v>367</v>
      </c>
      <c r="E853" t="s">
        <v>394</v>
      </c>
      <c r="F853">
        <v>3</v>
      </c>
      <c r="G853" s="6">
        <v>78399</v>
      </c>
      <c r="H853">
        <f>COUNTBLANK(Sales_Data[[#This Row],[Revenue]])</f>
        <v>0</v>
      </c>
      <c r="I853">
        <f>COUNTBLANK(Sales_Data[[#This Row],[Quantity]])</f>
        <v>0</v>
      </c>
      <c r="J853" t="str">
        <f>TEXT(Sales_Data[[#This Row],[Date]],"yyyy-mm")</f>
        <v>2025-05</v>
      </c>
    </row>
    <row r="854" spans="1:10" x14ac:dyDescent="0.35">
      <c r="A854" t="s">
        <v>1243</v>
      </c>
      <c r="B854" s="3">
        <v>45838</v>
      </c>
      <c r="C854" t="s">
        <v>4</v>
      </c>
      <c r="D854" t="s">
        <v>353</v>
      </c>
      <c r="E854" t="s">
        <v>389</v>
      </c>
      <c r="F854">
        <v>4</v>
      </c>
      <c r="G854" s="6">
        <v>47260</v>
      </c>
      <c r="H854">
        <f>COUNTBLANK(Sales_Data[[#This Row],[Revenue]])</f>
        <v>0</v>
      </c>
      <c r="I854">
        <f>COUNTBLANK(Sales_Data[[#This Row],[Quantity]])</f>
        <v>0</v>
      </c>
      <c r="J854" t="str">
        <f>TEXT(Sales_Data[[#This Row],[Date]],"yyyy-mm")</f>
        <v>2025-06</v>
      </c>
    </row>
    <row r="855" spans="1:10" x14ac:dyDescent="0.35">
      <c r="A855" t="s">
        <v>1244</v>
      </c>
      <c r="B855" s="3">
        <v>45862</v>
      </c>
      <c r="C855" t="s">
        <v>35</v>
      </c>
      <c r="D855" t="s">
        <v>285</v>
      </c>
      <c r="E855" t="s">
        <v>387</v>
      </c>
      <c r="F855">
        <v>2</v>
      </c>
      <c r="G855" s="6">
        <v>98920</v>
      </c>
      <c r="H855">
        <f>COUNTBLANK(Sales_Data[[#This Row],[Revenue]])</f>
        <v>0</v>
      </c>
      <c r="I855">
        <f>COUNTBLANK(Sales_Data[[#This Row],[Quantity]])</f>
        <v>0</v>
      </c>
      <c r="J855" t="str">
        <f>TEXT(Sales_Data[[#This Row],[Date]],"yyyy-mm")</f>
        <v>2025-07</v>
      </c>
    </row>
    <row r="856" spans="1:10" x14ac:dyDescent="0.35">
      <c r="A856" t="s">
        <v>1245</v>
      </c>
      <c r="B856" s="3">
        <v>45685</v>
      </c>
      <c r="C856" t="s">
        <v>37</v>
      </c>
      <c r="D856" t="s">
        <v>253</v>
      </c>
      <c r="E856" t="s">
        <v>391</v>
      </c>
      <c r="F856">
        <v>7</v>
      </c>
      <c r="G856" s="6">
        <v>13671</v>
      </c>
      <c r="H856">
        <f>COUNTBLANK(Sales_Data[[#This Row],[Revenue]])</f>
        <v>0</v>
      </c>
      <c r="I856">
        <f>COUNTBLANK(Sales_Data[[#This Row],[Quantity]])</f>
        <v>0</v>
      </c>
      <c r="J856" t="str">
        <f>TEXT(Sales_Data[[#This Row],[Date]],"yyyy-mm")</f>
        <v>2025-01</v>
      </c>
    </row>
    <row r="857" spans="1:10" x14ac:dyDescent="0.35">
      <c r="A857" t="s">
        <v>1246</v>
      </c>
      <c r="B857" s="3">
        <v>45685</v>
      </c>
      <c r="C857" t="s">
        <v>27</v>
      </c>
      <c r="D857" t="s">
        <v>143</v>
      </c>
      <c r="E857" t="s">
        <v>389</v>
      </c>
      <c r="F857">
        <v>7</v>
      </c>
      <c r="G857" s="6">
        <v>263788</v>
      </c>
      <c r="H857">
        <f>COUNTBLANK(Sales_Data[[#This Row],[Revenue]])</f>
        <v>0</v>
      </c>
      <c r="I857">
        <f>COUNTBLANK(Sales_Data[[#This Row],[Quantity]])</f>
        <v>0</v>
      </c>
      <c r="J857" t="str">
        <f>TEXT(Sales_Data[[#This Row],[Date]],"yyyy-mm")</f>
        <v>2025-01</v>
      </c>
    </row>
    <row r="858" spans="1:10" x14ac:dyDescent="0.35">
      <c r="A858" t="s">
        <v>1247</v>
      </c>
      <c r="B858" s="3">
        <v>45711</v>
      </c>
      <c r="C858" t="s">
        <v>7</v>
      </c>
      <c r="D858" t="s">
        <v>163</v>
      </c>
      <c r="E858" t="s">
        <v>387</v>
      </c>
      <c r="F858">
        <v>1</v>
      </c>
      <c r="G858" s="6">
        <v>26133</v>
      </c>
      <c r="H858">
        <f>COUNTBLANK(Sales_Data[[#This Row],[Revenue]])</f>
        <v>0</v>
      </c>
      <c r="I858">
        <f>COUNTBLANK(Sales_Data[[#This Row],[Quantity]])</f>
        <v>0</v>
      </c>
      <c r="J858" t="str">
        <f>TEXT(Sales_Data[[#This Row],[Date]],"yyyy-mm")</f>
        <v>2025-02</v>
      </c>
    </row>
    <row r="859" spans="1:10" x14ac:dyDescent="0.35">
      <c r="A859" t="s">
        <v>1248</v>
      </c>
      <c r="B859" s="3">
        <v>45841</v>
      </c>
      <c r="C859" t="s">
        <v>41</v>
      </c>
      <c r="D859" t="s">
        <v>339</v>
      </c>
      <c r="E859" t="s">
        <v>394</v>
      </c>
      <c r="F859">
        <v>4</v>
      </c>
      <c r="G859" s="6">
        <v>85048</v>
      </c>
      <c r="H859">
        <f>COUNTBLANK(Sales_Data[[#This Row],[Revenue]])</f>
        <v>0</v>
      </c>
      <c r="I859">
        <f>COUNTBLANK(Sales_Data[[#This Row],[Quantity]])</f>
        <v>0</v>
      </c>
      <c r="J859" t="str">
        <f>TEXT(Sales_Data[[#This Row],[Date]],"yyyy-mm")</f>
        <v>2025-07</v>
      </c>
    </row>
    <row r="860" spans="1:10" x14ac:dyDescent="0.35">
      <c r="A860" t="s">
        <v>1249</v>
      </c>
      <c r="B860" s="3">
        <v>45932</v>
      </c>
      <c r="C860" t="s">
        <v>59</v>
      </c>
      <c r="D860" t="s">
        <v>335</v>
      </c>
      <c r="E860" t="s">
        <v>394</v>
      </c>
      <c r="F860">
        <v>1</v>
      </c>
      <c r="G860" s="6">
        <v>48106</v>
      </c>
      <c r="H860">
        <f>COUNTBLANK(Sales_Data[[#This Row],[Revenue]])</f>
        <v>0</v>
      </c>
      <c r="I860">
        <f>COUNTBLANK(Sales_Data[[#This Row],[Quantity]])</f>
        <v>0</v>
      </c>
      <c r="J860" t="str">
        <f>TEXT(Sales_Data[[#This Row],[Date]],"yyyy-mm")</f>
        <v>2025-10</v>
      </c>
    </row>
    <row r="861" spans="1:10" x14ac:dyDescent="0.35">
      <c r="A861" t="s">
        <v>1250</v>
      </c>
      <c r="B861" s="3">
        <v>45776</v>
      </c>
      <c r="C861" t="s">
        <v>45</v>
      </c>
      <c r="D861" t="s">
        <v>357</v>
      </c>
      <c r="E861" t="s">
        <v>391</v>
      </c>
      <c r="F861">
        <v>5</v>
      </c>
      <c r="G861" s="6">
        <v>39130</v>
      </c>
      <c r="H861">
        <f>COUNTBLANK(Sales_Data[[#This Row],[Revenue]])</f>
        <v>0</v>
      </c>
      <c r="I861">
        <f>COUNTBLANK(Sales_Data[[#This Row],[Quantity]])</f>
        <v>0</v>
      </c>
      <c r="J861" t="str">
        <f>TEXT(Sales_Data[[#This Row],[Date]],"yyyy-mm")</f>
        <v>2025-04</v>
      </c>
    </row>
    <row r="862" spans="1:10" x14ac:dyDescent="0.35">
      <c r="A862" t="s">
        <v>1251</v>
      </c>
      <c r="B862" s="3">
        <v>45921</v>
      </c>
      <c r="C862" t="s">
        <v>59</v>
      </c>
      <c r="D862" t="s">
        <v>349</v>
      </c>
      <c r="E862" t="s">
        <v>387</v>
      </c>
      <c r="F862">
        <v>9</v>
      </c>
      <c r="G862" s="6">
        <v>432954</v>
      </c>
      <c r="H862">
        <f>COUNTBLANK(Sales_Data[[#This Row],[Revenue]])</f>
        <v>0</v>
      </c>
      <c r="I862">
        <f>COUNTBLANK(Sales_Data[[#This Row],[Quantity]])</f>
        <v>0</v>
      </c>
      <c r="J862" t="str">
        <f>TEXT(Sales_Data[[#This Row],[Date]],"yyyy-mm")</f>
        <v>2025-09</v>
      </c>
    </row>
    <row r="863" spans="1:10" x14ac:dyDescent="0.35">
      <c r="A863" t="s">
        <v>1252</v>
      </c>
      <c r="B863" s="3">
        <v>45849</v>
      </c>
      <c r="C863" t="s">
        <v>27</v>
      </c>
      <c r="D863" t="s">
        <v>161</v>
      </c>
      <c r="E863" t="s">
        <v>403</v>
      </c>
      <c r="F863">
        <v>6</v>
      </c>
      <c r="G863" s="6">
        <v>226104</v>
      </c>
      <c r="H863">
        <f>COUNTBLANK(Sales_Data[[#This Row],[Revenue]])</f>
        <v>0</v>
      </c>
      <c r="I863">
        <f>COUNTBLANK(Sales_Data[[#This Row],[Quantity]])</f>
        <v>0</v>
      </c>
      <c r="J863" t="str">
        <f>TEXT(Sales_Data[[#This Row],[Date]],"yyyy-mm")</f>
        <v>2025-07</v>
      </c>
    </row>
    <row r="864" spans="1:10" x14ac:dyDescent="0.35">
      <c r="A864" t="s">
        <v>1253</v>
      </c>
      <c r="B864" s="3">
        <v>45721</v>
      </c>
      <c r="C864" t="s">
        <v>23</v>
      </c>
      <c r="D864" t="s">
        <v>319</v>
      </c>
      <c r="E864" t="s">
        <v>391</v>
      </c>
      <c r="F864">
        <v>10</v>
      </c>
      <c r="G864" s="6">
        <v>60690</v>
      </c>
      <c r="H864">
        <f>COUNTBLANK(Sales_Data[[#This Row],[Revenue]])</f>
        <v>0</v>
      </c>
      <c r="I864">
        <f>COUNTBLANK(Sales_Data[[#This Row],[Quantity]])</f>
        <v>0</v>
      </c>
      <c r="J864" t="str">
        <f>TEXT(Sales_Data[[#This Row],[Date]],"yyyy-mm")</f>
        <v>2025-03</v>
      </c>
    </row>
    <row r="865" spans="1:10" x14ac:dyDescent="0.35">
      <c r="A865" t="s">
        <v>1254</v>
      </c>
      <c r="B865" s="3">
        <v>45678</v>
      </c>
      <c r="C865" t="s">
        <v>31</v>
      </c>
      <c r="D865" t="s">
        <v>375</v>
      </c>
      <c r="E865" t="s">
        <v>387</v>
      </c>
      <c r="F865">
        <v>9</v>
      </c>
      <c r="G865" s="6">
        <v>269694</v>
      </c>
      <c r="H865">
        <f>COUNTBLANK(Sales_Data[[#This Row],[Revenue]])</f>
        <v>0</v>
      </c>
      <c r="I865">
        <f>COUNTBLANK(Sales_Data[[#This Row],[Quantity]])</f>
        <v>0</v>
      </c>
      <c r="J865" t="str">
        <f>TEXT(Sales_Data[[#This Row],[Date]],"yyyy-mm")</f>
        <v>2025-01</v>
      </c>
    </row>
    <row r="866" spans="1:10" x14ac:dyDescent="0.35">
      <c r="A866" t="s">
        <v>1255</v>
      </c>
      <c r="B866" s="3">
        <v>45810</v>
      </c>
      <c r="C866" t="s">
        <v>57</v>
      </c>
      <c r="D866" t="s">
        <v>213</v>
      </c>
      <c r="E866" t="s">
        <v>391</v>
      </c>
      <c r="F866">
        <v>3</v>
      </c>
      <c r="G866" s="6">
        <v>146367</v>
      </c>
      <c r="H866">
        <f>COUNTBLANK(Sales_Data[[#This Row],[Revenue]])</f>
        <v>0</v>
      </c>
      <c r="I866">
        <f>COUNTBLANK(Sales_Data[[#This Row],[Quantity]])</f>
        <v>0</v>
      </c>
      <c r="J866" t="str">
        <f>TEXT(Sales_Data[[#This Row],[Date]],"yyyy-mm")</f>
        <v>2025-06</v>
      </c>
    </row>
    <row r="867" spans="1:10" x14ac:dyDescent="0.35">
      <c r="A867" t="s">
        <v>1256</v>
      </c>
      <c r="B867" s="3">
        <v>45835</v>
      </c>
      <c r="C867" t="s">
        <v>41</v>
      </c>
      <c r="D867" t="s">
        <v>81</v>
      </c>
      <c r="E867" t="s">
        <v>394</v>
      </c>
      <c r="F867">
        <v>7</v>
      </c>
      <c r="G867" s="6">
        <v>148834</v>
      </c>
      <c r="H867">
        <f>COUNTBLANK(Sales_Data[[#This Row],[Revenue]])</f>
        <v>0</v>
      </c>
      <c r="I867">
        <f>COUNTBLANK(Sales_Data[[#This Row],[Quantity]])</f>
        <v>0</v>
      </c>
      <c r="J867" t="str">
        <f>TEXT(Sales_Data[[#This Row],[Date]],"yyyy-mm")</f>
        <v>2025-06</v>
      </c>
    </row>
    <row r="868" spans="1:10" x14ac:dyDescent="0.35">
      <c r="A868" t="s">
        <v>1257</v>
      </c>
      <c r="B868" s="3">
        <v>45854</v>
      </c>
      <c r="C868" t="s">
        <v>51</v>
      </c>
      <c r="D868" t="s">
        <v>339</v>
      </c>
      <c r="E868" t="s">
        <v>403</v>
      </c>
      <c r="F868">
        <v>9</v>
      </c>
      <c r="G868" s="6">
        <v>282951</v>
      </c>
      <c r="H868">
        <f>COUNTBLANK(Sales_Data[[#This Row],[Revenue]])</f>
        <v>0</v>
      </c>
      <c r="I868">
        <f>COUNTBLANK(Sales_Data[[#This Row],[Quantity]])</f>
        <v>0</v>
      </c>
      <c r="J868" t="str">
        <f>TEXT(Sales_Data[[#This Row],[Date]],"yyyy-mm")</f>
        <v>2025-07</v>
      </c>
    </row>
    <row r="869" spans="1:10" x14ac:dyDescent="0.35">
      <c r="A869" t="s">
        <v>1258</v>
      </c>
      <c r="B869" s="3">
        <v>46009</v>
      </c>
      <c r="C869" t="s">
        <v>31</v>
      </c>
      <c r="D869" t="s">
        <v>253</v>
      </c>
      <c r="E869" t="s">
        <v>403</v>
      </c>
      <c r="F869">
        <v>6</v>
      </c>
      <c r="G869" s="6">
        <v>179796</v>
      </c>
      <c r="H869">
        <f>COUNTBLANK(Sales_Data[[#This Row],[Revenue]])</f>
        <v>0</v>
      </c>
      <c r="I869">
        <f>COUNTBLANK(Sales_Data[[#This Row],[Quantity]])</f>
        <v>0</v>
      </c>
      <c r="J869" t="str">
        <f>TEXT(Sales_Data[[#This Row],[Date]],"yyyy-mm")</f>
        <v>2025-12</v>
      </c>
    </row>
    <row r="870" spans="1:10" x14ac:dyDescent="0.35">
      <c r="A870" t="s">
        <v>1259</v>
      </c>
      <c r="B870" s="3">
        <v>45771</v>
      </c>
      <c r="C870" t="s">
        <v>4</v>
      </c>
      <c r="D870" t="s">
        <v>191</v>
      </c>
      <c r="E870" t="s">
        <v>391</v>
      </c>
      <c r="F870">
        <v>5</v>
      </c>
      <c r="G870" s="6">
        <v>59075</v>
      </c>
      <c r="H870">
        <f>COUNTBLANK(Sales_Data[[#This Row],[Revenue]])</f>
        <v>0</v>
      </c>
      <c r="I870">
        <f>COUNTBLANK(Sales_Data[[#This Row],[Quantity]])</f>
        <v>0</v>
      </c>
      <c r="J870" t="str">
        <f>TEXT(Sales_Data[[#This Row],[Date]],"yyyy-mm")</f>
        <v>2025-04</v>
      </c>
    </row>
    <row r="871" spans="1:10" x14ac:dyDescent="0.35">
      <c r="A871" t="s">
        <v>1260</v>
      </c>
      <c r="B871" s="3">
        <v>45877</v>
      </c>
      <c r="C871" t="s">
        <v>29</v>
      </c>
      <c r="D871" t="s">
        <v>211</v>
      </c>
      <c r="E871" t="s">
        <v>389</v>
      </c>
      <c r="F871">
        <v>9</v>
      </c>
      <c r="G871" s="6">
        <v>383796</v>
      </c>
      <c r="H871">
        <f>COUNTBLANK(Sales_Data[[#This Row],[Revenue]])</f>
        <v>0</v>
      </c>
      <c r="I871">
        <f>COUNTBLANK(Sales_Data[[#This Row],[Quantity]])</f>
        <v>0</v>
      </c>
      <c r="J871" t="str">
        <f>TEXT(Sales_Data[[#This Row],[Date]],"yyyy-mm")</f>
        <v>2025-08</v>
      </c>
    </row>
    <row r="872" spans="1:10" x14ac:dyDescent="0.35">
      <c r="A872" t="s">
        <v>1261</v>
      </c>
      <c r="B872" s="3">
        <v>45687</v>
      </c>
      <c r="C872" t="s">
        <v>57</v>
      </c>
      <c r="D872" t="s">
        <v>335</v>
      </c>
      <c r="E872" t="s">
        <v>389</v>
      </c>
      <c r="F872">
        <v>4</v>
      </c>
      <c r="G872" s="6">
        <v>195156</v>
      </c>
      <c r="H872">
        <f>COUNTBLANK(Sales_Data[[#This Row],[Revenue]])</f>
        <v>0</v>
      </c>
      <c r="I872">
        <f>COUNTBLANK(Sales_Data[[#This Row],[Quantity]])</f>
        <v>0</v>
      </c>
      <c r="J872" t="str">
        <f>TEXT(Sales_Data[[#This Row],[Date]],"yyyy-mm")</f>
        <v>2025-01</v>
      </c>
    </row>
    <row r="873" spans="1:10" x14ac:dyDescent="0.35">
      <c r="A873" t="s">
        <v>1262</v>
      </c>
      <c r="B873" s="3">
        <v>45913</v>
      </c>
      <c r="C873" t="s">
        <v>4</v>
      </c>
      <c r="D873" t="s">
        <v>343</v>
      </c>
      <c r="E873" t="s">
        <v>394</v>
      </c>
      <c r="F873">
        <v>7</v>
      </c>
      <c r="G873" s="6">
        <v>82705</v>
      </c>
      <c r="H873">
        <f>COUNTBLANK(Sales_Data[[#This Row],[Revenue]])</f>
        <v>0</v>
      </c>
      <c r="I873">
        <f>COUNTBLANK(Sales_Data[[#This Row],[Quantity]])</f>
        <v>0</v>
      </c>
      <c r="J873" t="str">
        <f>TEXT(Sales_Data[[#This Row],[Date]],"yyyy-mm")</f>
        <v>2025-09</v>
      </c>
    </row>
    <row r="874" spans="1:10" x14ac:dyDescent="0.35">
      <c r="A874" t="s">
        <v>1263</v>
      </c>
      <c r="B874" s="3">
        <v>45979</v>
      </c>
      <c r="C874" t="s">
        <v>16</v>
      </c>
      <c r="D874" t="s">
        <v>215</v>
      </c>
      <c r="E874" t="s">
        <v>387</v>
      </c>
      <c r="F874">
        <v>4</v>
      </c>
      <c r="G874" s="6">
        <v>127848</v>
      </c>
      <c r="H874">
        <f>COUNTBLANK(Sales_Data[[#This Row],[Revenue]])</f>
        <v>0</v>
      </c>
      <c r="I874">
        <f>COUNTBLANK(Sales_Data[[#This Row],[Quantity]])</f>
        <v>0</v>
      </c>
      <c r="J874" t="str">
        <f>TEXT(Sales_Data[[#This Row],[Date]],"yyyy-mm")</f>
        <v>2025-11</v>
      </c>
    </row>
    <row r="875" spans="1:10" x14ac:dyDescent="0.35">
      <c r="A875" t="s">
        <v>1264</v>
      </c>
      <c r="B875" s="3">
        <v>45884</v>
      </c>
      <c r="C875" t="s">
        <v>43</v>
      </c>
      <c r="D875" t="s">
        <v>227</v>
      </c>
      <c r="E875" t="s">
        <v>387</v>
      </c>
      <c r="F875">
        <v>7</v>
      </c>
      <c r="G875" s="6">
        <v>264775</v>
      </c>
      <c r="H875">
        <f>COUNTBLANK(Sales_Data[[#This Row],[Revenue]])</f>
        <v>0</v>
      </c>
      <c r="I875">
        <f>COUNTBLANK(Sales_Data[[#This Row],[Quantity]])</f>
        <v>0</v>
      </c>
      <c r="J875" t="str">
        <f>TEXT(Sales_Data[[#This Row],[Date]],"yyyy-mm")</f>
        <v>2025-08</v>
      </c>
    </row>
    <row r="876" spans="1:10" x14ac:dyDescent="0.35">
      <c r="A876" t="s">
        <v>1265</v>
      </c>
      <c r="B876" s="3">
        <v>45813</v>
      </c>
      <c r="C876" t="s">
        <v>51</v>
      </c>
      <c r="D876" t="s">
        <v>99</v>
      </c>
      <c r="E876" t="s">
        <v>389</v>
      </c>
      <c r="F876">
        <v>9</v>
      </c>
      <c r="G876" s="6">
        <v>282951</v>
      </c>
      <c r="H876">
        <f>COUNTBLANK(Sales_Data[[#This Row],[Revenue]])</f>
        <v>0</v>
      </c>
      <c r="I876">
        <f>COUNTBLANK(Sales_Data[[#This Row],[Quantity]])</f>
        <v>0</v>
      </c>
      <c r="J876" t="str">
        <f>TEXT(Sales_Data[[#This Row],[Date]],"yyyy-mm")</f>
        <v>2025-06</v>
      </c>
    </row>
    <row r="877" spans="1:10" x14ac:dyDescent="0.35">
      <c r="A877" t="s">
        <v>1266</v>
      </c>
      <c r="B877" s="3">
        <v>45807</v>
      </c>
      <c r="C877" t="s">
        <v>41</v>
      </c>
      <c r="D877" t="s">
        <v>141</v>
      </c>
      <c r="E877" t="s">
        <v>391</v>
      </c>
      <c r="F877">
        <v>1</v>
      </c>
      <c r="G877" s="6">
        <v>21262</v>
      </c>
      <c r="H877">
        <f>COUNTBLANK(Sales_Data[[#This Row],[Revenue]])</f>
        <v>0</v>
      </c>
      <c r="I877">
        <f>COUNTBLANK(Sales_Data[[#This Row],[Quantity]])</f>
        <v>0</v>
      </c>
      <c r="J877" t="str">
        <f>TEXT(Sales_Data[[#This Row],[Date]],"yyyy-mm")</f>
        <v>2025-05</v>
      </c>
    </row>
    <row r="878" spans="1:10" x14ac:dyDescent="0.35">
      <c r="A878" t="s">
        <v>1267</v>
      </c>
      <c r="B878" s="3">
        <v>45892</v>
      </c>
      <c r="C878" t="s">
        <v>4</v>
      </c>
      <c r="D878" t="s">
        <v>303</v>
      </c>
      <c r="E878" t="s">
        <v>391</v>
      </c>
      <c r="F878">
        <v>10</v>
      </c>
      <c r="G878" s="6">
        <v>118150</v>
      </c>
      <c r="H878">
        <f>COUNTBLANK(Sales_Data[[#This Row],[Revenue]])</f>
        <v>0</v>
      </c>
      <c r="I878">
        <f>COUNTBLANK(Sales_Data[[#This Row],[Quantity]])</f>
        <v>0</v>
      </c>
      <c r="J878" t="str">
        <f>TEXT(Sales_Data[[#This Row],[Date]],"yyyy-mm")</f>
        <v>2025-08</v>
      </c>
    </row>
    <row r="879" spans="1:10" x14ac:dyDescent="0.35">
      <c r="A879" t="s">
        <v>1268</v>
      </c>
      <c r="B879" s="3">
        <v>45941</v>
      </c>
      <c r="C879" t="s">
        <v>37</v>
      </c>
      <c r="D879" t="s">
        <v>131</v>
      </c>
      <c r="E879" t="s">
        <v>387</v>
      </c>
      <c r="F879">
        <v>6</v>
      </c>
      <c r="G879" s="6">
        <v>11718</v>
      </c>
      <c r="H879">
        <f>COUNTBLANK(Sales_Data[[#This Row],[Revenue]])</f>
        <v>0</v>
      </c>
      <c r="I879">
        <f>COUNTBLANK(Sales_Data[[#This Row],[Quantity]])</f>
        <v>0</v>
      </c>
      <c r="J879" t="str">
        <f>TEXT(Sales_Data[[#This Row],[Date]],"yyyy-mm")</f>
        <v>2025-10</v>
      </c>
    </row>
    <row r="880" spans="1:10" x14ac:dyDescent="0.35">
      <c r="A880" t="s">
        <v>1269</v>
      </c>
      <c r="B880" s="3">
        <v>45696</v>
      </c>
      <c r="C880" t="s">
        <v>65</v>
      </c>
      <c r="D880" t="s">
        <v>323</v>
      </c>
      <c r="E880" t="s">
        <v>391</v>
      </c>
      <c r="F880">
        <v>1</v>
      </c>
      <c r="G880" s="6">
        <v>545</v>
      </c>
      <c r="H880">
        <f>COUNTBLANK(Sales_Data[[#This Row],[Revenue]])</f>
        <v>0</v>
      </c>
      <c r="I880">
        <f>COUNTBLANK(Sales_Data[[#This Row],[Quantity]])</f>
        <v>0</v>
      </c>
      <c r="J880" t="str">
        <f>TEXT(Sales_Data[[#This Row],[Date]],"yyyy-mm")</f>
        <v>2025-02</v>
      </c>
    </row>
    <row r="881" spans="1:10" x14ac:dyDescent="0.35">
      <c r="A881" t="s">
        <v>1270</v>
      </c>
      <c r="B881" s="3">
        <v>45698</v>
      </c>
      <c r="C881" t="s">
        <v>31</v>
      </c>
      <c r="D881" t="s">
        <v>139</v>
      </c>
      <c r="E881" t="s">
        <v>391</v>
      </c>
      <c r="F881">
        <v>8</v>
      </c>
      <c r="G881" s="6">
        <v>239728</v>
      </c>
      <c r="H881">
        <f>COUNTBLANK(Sales_Data[[#This Row],[Revenue]])</f>
        <v>0</v>
      </c>
      <c r="I881">
        <f>COUNTBLANK(Sales_Data[[#This Row],[Quantity]])</f>
        <v>0</v>
      </c>
      <c r="J881" t="str">
        <f>TEXT(Sales_Data[[#This Row],[Date]],"yyyy-mm")</f>
        <v>2025-02</v>
      </c>
    </row>
    <row r="882" spans="1:10" x14ac:dyDescent="0.35">
      <c r="A882" t="s">
        <v>1271</v>
      </c>
      <c r="B882" s="3">
        <v>45847</v>
      </c>
      <c r="C882" t="s">
        <v>10</v>
      </c>
      <c r="D882" t="s">
        <v>243</v>
      </c>
      <c r="E882" t="s">
        <v>389</v>
      </c>
      <c r="F882">
        <v>5</v>
      </c>
      <c r="G882" s="6">
        <v>22580</v>
      </c>
      <c r="H882">
        <f>COUNTBLANK(Sales_Data[[#This Row],[Revenue]])</f>
        <v>0</v>
      </c>
      <c r="I882">
        <f>COUNTBLANK(Sales_Data[[#This Row],[Quantity]])</f>
        <v>0</v>
      </c>
      <c r="J882" t="str">
        <f>TEXT(Sales_Data[[#This Row],[Date]],"yyyy-mm")</f>
        <v>2025-07</v>
      </c>
    </row>
    <row r="883" spans="1:10" x14ac:dyDescent="0.35">
      <c r="A883" t="s">
        <v>1272</v>
      </c>
      <c r="B883" s="3">
        <v>45870</v>
      </c>
      <c r="C883" t="s">
        <v>25</v>
      </c>
      <c r="D883" t="s">
        <v>99</v>
      </c>
      <c r="E883" t="s">
        <v>387</v>
      </c>
      <c r="F883">
        <v>3</v>
      </c>
      <c r="G883" s="6">
        <v>54729</v>
      </c>
      <c r="H883">
        <f>COUNTBLANK(Sales_Data[[#This Row],[Revenue]])</f>
        <v>0</v>
      </c>
      <c r="I883">
        <f>COUNTBLANK(Sales_Data[[#This Row],[Quantity]])</f>
        <v>0</v>
      </c>
      <c r="J883" t="str">
        <f>TEXT(Sales_Data[[#This Row],[Date]],"yyyy-mm")</f>
        <v>2025-08</v>
      </c>
    </row>
    <row r="884" spans="1:10" x14ac:dyDescent="0.35">
      <c r="A884" t="s">
        <v>1273</v>
      </c>
      <c r="B884" s="3">
        <v>45736</v>
      </c>
      <c r="C884" t="s">
        <v>23</v>
      </c>
      <c r="D884" t="s">
        <v>293</v>
      </c>
      <c r="E884" t="s">
        <v>394</v>
      </c>
      <c r="F884">
        <v>5</v>
      </c>
      <c r="G884" s="6">
        <v>30345</v>
      </c>
      <c r="H884">
        <f>COUNTBLANK(Sales_Data[[#This Row],[Revenue]])</f>
        <v>0</v>
      </c>
      <c r="I884">
        <f>COUNTBLANK(Sales_Data[[#This Row],[Quantity]])</f>
        <v>0</v>
      </c>
      <c r="J884" t="str">
        <f>TEXT(Sales_Data[[#This Row],[Date]],"yyyy-mm")</f>
        <v>2025-03</v>
      </c>
    </row>
    <row r="885" spans="1:10" x14ac:dyDescent="0.35">
      <c r="A885" t="s">
        <v>1274</v>
      </c>
      <c r="B885" s="3">
        <v>45695</v>
      </c>
      <c r="C885" t="s">
        <v>53</v>
      </c>
      <c r="D885" t="s">
        <v>207</v>
      </c>
      <c r="E885" t="s">
        <v>389</v>
      </c>
      <c r="F885">
        <v>5</v>
      </c>
      <c r="G885" s="6">
        <v>21040</v>
      </c>
      <c r="H885">
        <f>COUNTBLANK(Sales_Data[[#This Row],[Revenue]])</f>
        <v>0</v>
      </c>
      <c r="I885">
        <f>COUNTBLANK(Sales_Data[[#This Row],[Quantity]])</f>
        <v>0</v>
      </c>
      <c r="J885" t="str">
        <f>TEXT(Sales_Data[[#This Row],[Date]],"yyyy-mm")</f>
        <v>2025-02</v>
      </c>
    </row>
    <row r="886" spans="1:10" x14ac:dyDescent="0.35">
      <c r="A886" t="s">
        <v>1275</v>
      </c>
      <c r="B886" s="3">
        <v>45858</v>
      </c>
      <c r="C886" t="s">
        <v>43</v>
      </c>
      <c r="D886" t="s">
        <v>283</v>
      </c>
      <c r="E886" t="s">
        <v>387</v>
      </c>
      <c r="F886">
        <v>6</v>
      </c>
      <c r="G886" s="6">
        <v>226950</v>
      </c>
      <c r="H886">
        <f>COUNTBLANK(Sales_Data[[#This Row],[Revenue]])</f>
        <v>0</v>
      </c>
      <c r="I886">
        <f>COUNTBLANK(Sales_Data[[#This Row],[Quantity]])</f>
        <v>0</v>
      </c>
      <c r="J886" t="str">
        <f>TEXT(Sales_Data[[#This Row],[Date]],"yyyy-mm")</f>
        <v>2025-07</v>
      </c>
    </row>
    <row r="887" spans="1:10" x14ac:dyDescent="0.35">
      <c r="A887" t="s">
        <v>1276</v>
      </c>
      <c r="B887" s="3">
        <v>46008</v>
      </c>
      <c r="C887" t="s">
        <v>7</v>
      </c>
      <c r="D887" t="s">
        <v>225</v>
      </c>
      <c r="E887" t="s">
        <v>394</v>
      </c>
      <c r="F887">
        <v>4</v>
      </c>
      <c r="G887" s="6">
        <v>104532</v>
      </c>
      <c r="H887">
        <f>COUNTBLANK(Sales_Data[[#This Row],[Revenue]])</f>
        <v>0</v>
      </c>
      <c r="I887">
        <f>COUNTBLANK(Sales_Data[[#This Row],[Quantity]])</f>
        <v>0</v>
      </c>
      <c r="J887" t="str">
        <f>TEXT(Sales_Data[[#This Row],[Date]],"yyyy-mm")</f>
        <v>2025-12</v>
      </c>
    </row>
    <row r="888" spans="1:10" x14ac:dyDescent="0.35">
      <c r="A888" t="s">
        <v>1277</v>
      </c>
      <c r="B888" s="3">
        <v>45789</v>
      </c>
      <c r="C888" t="s">
        <v>4</v>
      </c>
      <c r="D888" t="s">
        <v>201</v>
      </c>
      <c r="E888" t="s">
        <v>394</v>
      </c>
      <c r="F888">
        <v>2</v>
      </c>
      <c r="G888" s="6">
        <v>23630</v>
      </c>
      <c r="H888">
        <f>COUNTBLANK(Sales_Data[[#This Row],[Revenue]])</f>
        <v>0</v>
      </c>
      <c r="I888">
        <f>COUNTBLANK(Sales_Data[[#This Row],[Quantity]])</f>
        <v>0</v>
      </c>
      <c r="J888" t="str">
        <f>TEXT(Sales_Data[[#This Row],[Date]],"yyyy-mm")</f>
        <v>2025-05</v>
      </c>
    </row>
    <row r="889" spans="1:10" x14ac:dyDescent="0.35">
      <c r="A889" t="s">
        <v>1278</v>
      </c>
      <c r="B889" s="3">
        <v>45659</v>
      </c>
      <c r="C889" t="s">
        <v>65</v>
      </c>
      <c r="D889" t="s">
        <v>125</v>
      </c>
      <c r="E889" t="s">
        <v>391</v>
      </c>
      <c r="F889">
        <v>3</v>
      </c>
      <c r="G889" s="6">
        <v>1635</v>
      </c>
      <c r="H889">
        <f>COUNTBLANK(Sales_Data[[#This Row],[Revenue]])</f>
        <v>0</v>
      </c>
      <c r="I889">
        <f>COUNTBLANK(Sales_Data[[#This Row],[Quantity]])</f>
        <v>0</v>
      </c>
      <c r="J889" t="str">
        <f>TEXT(Sales_Data[[#This Row],[Date]],"yyyy-mm")</f>
        <v>2025-01</v>
      </c>
    </row>
    <row r="890" spans="1:10" x14ac:dyDescent="0.35">
      <c r="A890" t="s">
        <v>1279</v>
      </c>
      <c r="B890" s="3">
        <v>45887</v>
      </c>
      <c r="C890" t="s">
        <v>67</v>
      </c>
      <c r="D890" t="s">
        <v>223</v>
      </c>
      <c r="E890" t="s">
        <v>391</v>
      </c>
      <c r="F890">
        <v>7</v>
      </c>
      <c r="G890" s="6">
        <v>151312</v>
      </c>
      <c r="H890">
        <f>COUNTBLANK(Sales_Data[[#This Row],[Revenue]])</f>
        <v>0</v>
      </c>
      <c r="I890">
        <f>COUNTBLANK(Sales_Data[[#This Row],[Quantity]])</f>
        <v>0</v>
      </c>
      <c r="J890" t="str">
        <f>TEXT(Sales_Data[[#This Row],[Date]],"yyyy-mm")</f>
        <v>2025-08</v>
      </c>
    </row>
    <row r="891" spans="1:10" x14ac:dyDescent="0.35">
      <c r="A891" t="s">
        <v>1280</v>
      </c>
      <c r="B891" s="3">
        <v>45918</v>
      </c>
      <c r="C891" t="s">
        <v>53</v>
      </c>
      <c r="D891" t="s">
        <v>137</v>
      </c>
      <c r="E891" t="s">
        <v>403</v>
      </c>
      <c r="F891">
        <v>4</v>
      </c>
      <c r="G891" s="6">
        <v>16832</v>
      </c>
      <c r="H891">
        <f>COUNTBLANK(Sales_Data[[#This Row],[Revenue]])</f>
        <v>0</v>
      </c>
      <c r="I891">
        <f>COUNTBLANK(Sales_Data[[#This Row],[Quantity]])</f>
        <v>0</v>
      </c>
      <c r="J891" t="str">
        <f>TEXT(Sales_Data[[#This Row],[Date]],"yyyy-mm")</f>
        <v>2025-09</v>
      </c>
    </row>
    <row r="892" spans="1:10" x14ac:dyDescent="0.35">
      <c r="A892" t="s">
        <v>1281</v>
      </c>
      <c r="B892" s="3">
        <v>45783</v>
      </c>
      <c r="C892" t="s">
        <v>27</v>
      </c>
      <c r="D892" t="s">
        <v>321</v>
      </c>
      <c r="E892" t="s">
        <v>394</v>
      </c>
      <c r="F892">
        <v>3</v>
      </c>
      <c r="G892" s="6">
        <v>113052</v>
      </c>
      <c r="H892">
        <f>COUNTBLANK(Sales_Data[[#This Row],[Revenue]])</f>
        <v>0</v>
      </c>
      <c r="I892">
        <f>COUNTBLANK(Sales_Data[[#This Row],[Quantity]])</f>
        <v>0</v>
      </c>
      <c r="J892" t="str">
        <f>TEXT(Sales_Data[[#This Row],[Date]],"yyyy-mm")</f>
        <v>2025-05</v>
      </c>
    </row>
    <row r="893" spans="1:10" x14ac:dyDescent="0.35">
      <c r="A893" t="s">
        <v>1282</v>
      </c>
      <c r="B893" s="3">
        <v>45886</v>
      </c>
      <c r="C893" t="s">
        <v>25</v>
      </c>
      <c r="D893" t="s">
        <v>97</v>
      </c>
      <c r="E893" t="s">
        <v>389</v>
      </c>
      <c r="F893">
        <v>10</v>
      </c>
      <c r="G893" s="6">
        <v>182430</v>
      </c>
      <c r="H893">
        <f>COUNTBLANK(Sales_Data[[#This Row],[Revenue]])</f>
        <v>0</v>
      </c>
      <c r="I893">
        <f>COUNTBLANK(Sales_Data[[#This Row],[Quantity]])</f>
        <v>0</v>
      </c>
      <c r="J893" t="str">
        <f>TEXT(Sales_Data[[#This Row],[Date]],"yyyy-mm")</f>
        <v>2025-08</v>
      </c>
    </row>
    <row r="894" spans="1:10" x14ac:dyDescent="0.35">
      <c r="A894" t="s">
        <v>1283</v>
      </c>
      <c r="B894" s="3">
        <v>45854</v>
      </c>
      <c r="C894" t="s">
        <v>23</v>
      </c>
      <c r="D894" t="s">
        <v>363</v>
      </c>
      <c r="E894" t="s">
        <v>403</v>
      </c>
      <c r="F894">
        <v>9</v>
      </c>
      <c r="G894" s="6">
        <v>54621</v>
      </c>
      <c r="H894">
        <f>COUNTBLANK(Sales_Data[[#This Row],[Revenue]])</f>
        <v>0</v>
      </c>
      <c r="I894">
        <f>COUNTBLANK(Sales_Data[[#This Row],[Quantity]])</f>
        <v>0</v>
      </c>
      <c r="J894" t="str">
        <f>TEXT(Sales_Data[[#This Row],[Date]],"yyyy-mm")</f>
        <v>2025-07</v>
      </c>
    </row>
    <row r="895" spans="1:10" x14ac:dyDescent="0.35">
      <c r="A895" t="s">
        <v>1284</v>
      </c>
      <c r="B895" s="3">
        <v>45831</v>
      </c>
      <c r="C895" t="s">
        <v>39</v>
      </c>
      <c r="D895" t="s">
        <v>371</v>
      </c>
      <c r="E895" t="s">
        <v>403</v>
      </c>
      <c r="F895">
        <v>2</v>
      </c>
      <c r="G895" s="6">
        <v>96576</v>
      </c>
      <c r="H895">
        <f>COUNTBLANK(Sales_Data[[#This Row],[Revenue]])</f>
        <v>0</v>
      </c>
      <c r="I895">
        <f>COUNTBLANK(Sales_Data[[#This Row],[Quantity]])</f>
        <v>0</v>
      </c>
      <c r="J895" t="str">
        <f>TEXT(Sales_Data[[#This Row],[Date]],"yyyy-mm")</f>
        <v>2025-06</v>
      </c>
    </row>
    <row r="896" spans="1:10" x14ac:dyDescent="0.35">
      <c r="A896" t="s">
        <v>1285</v>
      </c>
      <c r="B896" s="3">
        <v>45784</v>
      </c>
      <c r="C896" t="s">
        <v>33</v>
      </c>
      <c r="D896" t="s">
        <v>263</v>
      </c>
      <c r="E896" t="s">
        <v>394</v>
      </c>
      <c r="F896">
        <v>6</v>
      </c>
      <c r="G896" s="6">
        <v>217518</v>
      </c>
      <c r="H896">
        <f>COUNTBLANK(Sales_Data[[#This Row],[Revenue]])</f>
        <v>0</v>
      </c>
      <c r="I896">
        <f>COUNTBLANK(Sales_Data[[#This Row],[Quantity]])</f>
        <v>0</v>
      </c>
      <c r="J896" t="str">
        <f>TEXT(Sales_Data[[#This Row],[Date]],"yyyy-mm")</f>
        <v>2025-05</v>
      </c>
    </row>
    <row r="897" spans="1:10" x14ac:dyDescent="0.35">
      <c r="A897" t="s">
        <v>1286</v>
      </c>
      <c r="B897" s="3">
        <v>45850</v>
      </c>
      <c r="C897" t="s">
        <v>57</v>
      </c>
      <c r="D897" t="s">
        <v>377</v>
      </c>
      <c r="E897" t="s">
        <v>391</v>
      </c>
      <c r="F897">
        <v>7</v>
      </c>
      <c r="G897" s="6">
        <v>341523</v>
      </c>
      <c r="H897">
        <f>COUNTBLANK(Sales_Data[[#This Row],[Revenue]])</f>
        <v>0</v>
      </c>
      <c r="I897">
        <f>COUNTBLANK(Sales_Data[[#This Row],[Quantity]])</f>
        <v>0</v>
      </c>
      <c r="J897" t="str">
        <f>TEXT(Sales_Data[[#This Row],[Date]],"yyyy-mm")</f>
        <v>2025-07</v>
      </c>
    </row>
    <row r="898" spans="1:10" x14ac:dyDescent="0.35">
      <c r="A898" t="s">
        <v>1287</v>
      </c>
      <c r="B898" s="3">
        <v>45786</v>
      </c>
      <c r="C898" t="s">
        <v>65</v>
      </c>
      <c r="D898" t="s">
        <v>99</v>
      </c>
      <c r="E898" t="s">
        <v>389</v>
      </c>
      <c r="F898">
        <v>3</v>
      </c>
      <c r="G898" s="6">
        <v>1635</v>
      </c>
      <c r="H898">
        <f>COUNTBLANK(Sales_Data[[#This Row],[Revenue]])</f>
        <v>0</v>
      </c>
      <c r="I898">
        <f>COUNTBLANK(Sales_Data[[#This Row],[Quantity]])</f>
        <v>0</v>
      </c>
      <c r="J898" t="str">
        <f>TEXT(Sales_Data[[#This Row],[Date]],"yyyy-mm")</f>
        <v>2025-05</v>
      </c>
    </row>
    <row r="899" spans="1:10" x14ac:dyDescent="0.35">
      <c r="A899" t="s">
        <v>1288</v>
      </c>
      <c r="B899" s="3">
        <v>45973</v>
      </c>
      <c r="C899" t="s">
        <v>10</v>
      </c>
      <c r="D899" t="s">
        <v>279</v>
      </c>
      <c r="E899" t="s">
        <v>387</v>
      </c>
      <c r="F899">
        <v>10</v>
      </c>
      <c r="G899" s="6">
        <v>45160</v>
      </c>
      <c r="H899">
        <f>COUNTBLANK(Sales_Data[[#This Row],[Revenue]])</f>
        <v>0</v>
      </c>
      <c r="I899">
        <f>COUNTBLANK(Sales_Data[[#This Row],[Quantity]])</f>
        <v>0</v>
      </c>
      <c r="J899" t="str">
        <f>TEXT(Sales_Data[[#This Row],[Date]],"yyyy-mm")</f>
        <v>2025-11</v>
      </c>
    </row>
    <row r="900" spans="1:10" x14ac:dyDescent="0.35">
      <c r="A900" t="s">
        <v>1289</v>
      </c>
      <c r="B900" s="3">
        <v>45918</v>
      </c>
      <c r="C900" t="s">
        <v>35</v>
      </c>
      <c r="D900" t="s">
        <v>113</v>
      </c>
      <c r="E900" t="s">
        <v>391</v>
      </c>
      <c r="F900">
        <v>3</v>
      </c>
      <c r="G900" s="6">
        <v>148380</v>
      </c>
      <c r="H900">
        <f>COUNTBLANK(Sales_Data[[#This Row],[Revenue]])</f>
        <v>0</v>
      </c>
      <c r="I900">
        <f>COUNTBLANK(Sales_Data[[#This Row],[Quantity]])</f>
        <v>0</v>
      </c>
      <c r="J900" t="str">
        <f>TEXT(Sales_Data[[#This Row],[Date]],"yyyy-mm")</f>
        <v>2025-09</v>
      </c>
    </row>
    <row r="901" spans="1:10" x14ac:dyDescent="0.35">
      <c r="A901" t="s">
        <v>1290</v>
      </c>
      <c r="B901" s="3">
        <v>45796</v>
      </c>
      <c r="C901" t="s">
        <v>61</v>
      </c>
      <c r="D901" t="s">
        <v>199</v>
      </c>
      <c r="E901" t="s">
        <v>389</v>
      </c>
      <c r="F901">
        <v>3</v>
      </c>
      <c r="G901" s="6">
        <v>75048</v>
      </c>
      <c r="H901">
        <f>COUNTBLANK(Sales_Data[[#This Row],[Revenue]])</f>
        <v>0</v>
      </c>
      <c r="I901">
        <f>COUNTBLANK(Sales_Data[[#This Row],[Quantity]])</f>
        <v>0</v>
      </c>
      <c r="J901" t="str">
        <f>TEXT(Sales_Data[[#This Row],[Date]],"yyyy-mm")</f>
        <v>2025-05</v>
      </c>
    </row>
    <row r="902" spans="1:10" x14ac:dyDescent="0.35">
      <c r="A902" t="s">
        <v>1291</v>
      </c>
      <c r="B902" s="3">
        <v>45946</v>
      </c>
      <c r="C902" t="s">
        <v>49</v>
      </c>
      <c r="D902" t="s">
        <v>125</v>
      </c>
      <c r="E902" t="s">
        <v>394</v>
      </c>
      <c r="F902">
        <v>10</v>
      </c>
      <c r="G902" s="6">
        <v>455140</v>
      </c>
      <c r="H902">
        <f>COUNTBLANK(Sales_Data[[#This Row],[Revenue]])</f>
        <v>0</v>
      </c>
      <c r="I902">
        <f>COUNTBLANK(Sales_Data[[#This Row],[Quantity]])</f>
        <v>0</v>
      </c>
      <c r="J902" t="str">
        <f>TEXT(Sales_Data[[#This Row],[Date]],"yyyy-mm")</f>
        <v>2025-10</v>
      </c>
    </row>
    <row r="903" spans="1:10" x14ac:dyDescent="0.35">
      <c r="A903" t="s">
        <v>1292</v>
      </c>
      <c r="B903" s="3">
        <v>45981</v>
      </c>
      <c r="C903" t="s">
        <v>27</v>
      </c>
      <c r="D903" t="s">
        <v>349</v>
      </c>
      <c r="E903" t="s">
        <v>394</v>
      </c>
      <c r="F903">
        <v>5</v>
      </c>
      <c r="G903" s="6">
        <v>188420</v>
      </c>
      <c r="H903">
        <f>COUNTBLANK(Sales_Data[[#This Row],[Revenue]])</f>
        <v>0</v>
      </c>
      <c r="I903">
        <f>COUNTBLANK(Sales_Data[[#This Row],[Quantity]])</f>
        <v>0</v>
      </c>
      <c r="J903" t="str">
        <f>TEXT(Sales_Data[[#This Row],[Date]],"yyyy-mm")</f>
        <v>2025-11</v>
      </c>
    </row>
    <row r="904" spans="1:10" x14ac:dyDescent="0.35">
      <c r="A904" t="s">
        <v>1293</v>
      </c>
      <c r="B904" s="3">
        <v>45899</v>
      </c>
      <c r="C904" t="s">
        <v>13</v>
      </c>
      <c r="D904" t="s">
        <v>173</v>
      </c>
      <c r="E904" t="s">
        <v>391</v>
      </c>
      <c r="F904">
        <v>6</v>
      </c>
      <c r="G904" s="6">
        <v>181062</v>
      </c>
      <c r="H904">
        <f>COUNTBLANK(Sales_Data[[#This Row],[Revenue]])</f>
        <v>0</v>
      </c>
      <c r="I904">
        <f>COUNTBLANK(Sales_Data[[#This Row],[Quantity]])</f>
        <v>0</v>
      </c>
      <c r="J904" t="str">
        <f>TEXT(Sales_Data[[#This Row],[Date]],"yyyy-mm")</f>
        <v>2025-08</v>
      </c>
    </row>
    <row r="905" spans="1:10" x14ac:dyDescent="0.35">
      <c r="A905" t="s">
        <v>1294</v>
      </c>
      <c r="B905" s="3">
        <v>45723</v>
      </c>
      <c r="C905" t="s">
        <v>7</v>
      </c>
      <c r="D905" t="s">
        <v>143</v>
      </c>
      <c r="E905" t="s">
        <v>387</v>
      </c>
      <c r="F905">
        <v>10</v>
      </c>
      <c r="G905" s="6">
        <v>261330</v>
      </c>
      <c r="H905">
        <f>COUNTBLANK(Sales_Data[[#This Row],[Revenue]])</f>
        <v>0</v>
      </c>
      <c r="I905">
        <f>COUNTBLANK(Sales_Data[[#This Row],[Quantity]])</f>
        <v>0</v>
      </c>
      <c r="J905" t="str">
        <f>TEXT(Sales_Data[[#This Row],[Date]],"yyyy-mm")</f>
        <v>2025-03</v>
      </c>
    </row>
    <row r="906" spans="1:10" x14ac:dyDescent="0.35">
      <c r="A906" t="s">
        <v>1295</v>
      </c>
      <c r="B906" s="3">
        <v>45908</v>
      </c>
      <c r="C906" t="s">
        <v>51</v>
      </c>
      <c r="D906" t="s">
        <v>137</v>
      </c>
      <c r="E906" t="s">
        <v>387</v>
      </c>
      <c r="F906">
        <v>8</v>
      </c>
      <c r="G906" s="6">
        <v>251512</v>
      </c>
      <c r="H906">
        <f>COUNTBLANK(Sales_Data[[#This Row],[Revenue]])</f>
        <v>0</v>
      </c>
      <c r="I906">
        <f>COUNTBLANK(Sales_Data[[#This Row],[Quantity]])</f>
        <v>0</v>
      </c>
      <c r="J906" t="str">
        <f>TEXT(Sales_Data[[#This Row],[Date]],"yyyy-mm")</f>
        <v>2025-09</v>
      </c>
    </row>
    <row r="907" spans="1:10" x14ac:dyDescent="0.35">
      <c r="A907" t="s">
        <v>1296</v>
      </c>
      <c r="B907" s="3">
        <v>45909</v>
      </c>
      <c r="C907" t="s">
        <v>55</v>
      </c>
      <c r="D907" t="s">
        <v>111</v>
      </c>
      <c r="E907" t="s">
        <v>389</v>
      </c>
      <c r="F907">
        <v>1</v>
      </c>
      <c r="G907" s="6">
        <v>11415</v>
      </c>
      <c r="H907">
        <f>COUNTBLANK(Sales_Data[[#This Row],[Revenue]])</f>
        <v>0</v>
      </c>
      <c r="I907">
        <f>COUNTBLANK(Sales_Data[[#This Row],[Quantity]])</f>
        <v>0</v>
      </c>
      <c r="J907" t="str">
        <f>TEXT(Sales_Data[[#This Row],[Date]],"yyyy-mm")</f>
        <v>2025-09</v>
      </c>
    </row>
    <row r="908" spans="1:10" x14ac:dyDescent="0.35">
      <c r="A908" t="s">
        <v>1297</v>
      </c>
      <c r="B908" s="3">
        <v>45944</v>
      </c>
      <c r="C908" t="s">
        <v>27</v>
      </c>
      <c r="D908" t="s">
        <v>233</v>
      </c>
      <c r="E908" t="s">
        <v>389</v>
      </c>
      <c r="F908">
        <v>9</v>
      </c>
      <c r="G908" s="6">
        <v>339156</v>
      </c>
      <c r="H908">
        <f>COUNTBLANK(Sales_Data[[#This Row],[Revenue]])</f>
        <v>0</v>
      </c>
      <c r="I908">
        <f>COUNTBLANK(Sales_Data[[#This Row],[Quantity]])</f>
        <v>0</v>
      </c>
      <c r="J908" t="str">
        <f>TEXT(Sales_Data[[#This Row],[Date]],"yyyy-mm")</f>
        <v>2025-10</v>
      </c>
    </row>
    <row r="909" spans="1:10" x14ac:dyDescent="0.35">
      <c r="A909" t="s">
        <v>1298</v>
      </c>
      <c r="B909" s="3">
        <v>45694</v>
      </c>
      <c r="C909" t="s">
        <v>31</v>
      </c>
      <c r="D909" t="s">
        <v>111</v>
      </c>
      <c r="E909" t="s">
        <v>389</v>
      </c>
      <c r="F909">
        <v>1</v>
      </c>
      <c r="G909" s="6">
        <v>29966</v>
      </c>
      <c r="H909">
        <f>COUNTBLANK(Sales_Data[[#This Row],[Revenue]])</f>
        <v>0</v>
      </c>
      <c r="I909">
        <f>COUNTBLANK(Sales_Data[[#This Row],[Quantity]])</f>
        <v>0</v>
      </c>
      <c r="J909" t="str">
        <f>TEXT(Sales_Data[[#This Row],[Date]],"yyyy-mm")</f>
        <v>2025-02</v>
      </c>
    </row>
    <row r="910" spans="1:10" x14ac:dyDescent="0.35">
      <c r="A910" t="s">
        <v>1299</v>
      </c>
      <c r="B910" s="3">
        <v>45930</v>
      </c>
      <c r="C910" t="s">
        <v>57</v>
      </c>
      <c r="D910" t="s">
        <v>305</v>
      </c>
      <c r="E910" t="s">
        <v>391</v>
      </c>
      <c r="F910">
        <v>9</v>
      </c>
      <c r="G910" s="6">
        <v>439101</v>
      </c>
      <c r="H910">
        <f>COUNTBLANK(Sales_Data[[#This Row],[Revenue]])</f>
        <v>0</v>
      </c>
      <c r="I910">
        <f>COUNTBLANK(Sales_Data[[#This Row],[Quantity]])</f>
        <v>0</v>
      </c>
      <c r="J910" t="str">
        <f>TEXT(Sales_Data[[#This Row],[Date]],"yyyy-mm")</f>
        <v>2025-09</v>
      </c>
    </row>
    <row r="911" spans="1:10" x14ac:dyDescent="0.35">
      <c r="A911" t="s">
        <v>1300</v>
      </c>
      <c r="B911" s="3">
        <v>45943</v>
      </c>
      <c r="C911" t="s">
        <v>65</v>
      </c>
      <c r="D911" t="s">
        <v>187</v>
      </c>
      <c r="E911" t="s">
        <v>389</v>
      </c>
      <c r="F911">
        <v>9</v>
      </c>
      <c r="G911" s="6">
        <v>4905</v>
      </c>
      <c r="H911">
        <f>COUNTBLANK(Sales_Data[[#This Row],[Revenue]])</f>
        <v>0</v>
      </c>
      <c r="I911">
        <f>COUNTBLANK(Sales_Data[[#This Row],[Quantity]])</f>
        <v>0</v>
      </c>
      <c r="J911" t="str">
        <f>TEXT(Sales_Data[[#This Row],[Date]],"yyyy-mm")</f>
        <v>2025-10</v>
      </c>
    </row>
    <row r="912" spans="1:10" x14ac:dyDescent="0.35">
      <c r="A912" t="s">
        <v>1301</v>
      </c>
      <c r="B912" s="3">
        <v>45946</v>
      </c>
      <c r="C912" t="s">
        <v>67</v>
      </c>
      <c r="D912" t="s">
        <v>249</v>
      </c>
      <c r="E912" t="s">
        <v>389</v>
      </c>
      <c r="F912">
        <v>4</v>
      </c>
      <c r="G912" s="6">
        <v>86464</v>
      </c>
      <c r="H912">
        <f>COUNTBLANK(Sales_Data[[#This Row],[Revenue]])</f>
        <v>0</v>
      </c>
      <c r="I912">
        <f>COUNTBLANK(Sales_Data[[#This Row],[Quantity]])</f>
        <v>0</v>
      </c>
      <c r="J912" t="str">
        <f>TEXT(Sales_Data[[#This Row],[Date]],"yyyy-mm")</f>
        <v>2025-10</v>
      </c>
    </row>
    <row r="913" spans="1:10" x14ac:dyDescent="0.35">
      <c r="A913" t="s">
        <v>1302</v>
      </c>
      <c r="B913" s="3">
        <v>45692</v>
      </c>
      <c r="C913" t="s">
        <v>37</v>
      </c>
      <c r="D913" t="s">
        <v>129</v>
      </c>
      <c r="E913" t="s">
        <v>391</v>
      </c>
      <c r="F913">
        <v>3</v>
      </c>
      <c r="G913" s="6">
        <v>5859</v>
      </c>
      <c r="H913">
        <f>COUNTBLANK(Sales_Data[[#This Row],[Revenue]])</f>
        <v>0</v>
      </c>
      <c r="I913">
        <f>COUNTBLANK(Sales_Data[[#This Row],[Quantity]])</f>
        <v>0</v>
      </c>
      <c r="J913" t="str">
        <f>TEXT(Sales_Data[[#This Row],[Date]],"yyyy-mm")</f>
        <v>2025-02</v>
      </c>
    </row>
    <row r="914" spans="1:10" x14ac:dyDescent="0.35">
      <c r="A914" t="s">
        <v>1303</v>
      </c>
      <c r="B914" s="3">
        <v>45673</v>
      </c>
      <c r="C914" t="s">
        <v>53</v>
      </c>
      <c r="D914" t="s">
        <v>125</v>
      </c>
      <c r="E914" t="s">
        <v>389</v>
      </c>
      <c r="F914">
        <v>5</v>
      </c>
      <c r="G914" s="6">
        <v>21040</v>
      </c>
      <c r="H914">
        <f>COUNTBLANK(Sales_Data[[#This Row],[Revenue]])</f>
        <v>0</v>
      </c>
      <c r="I914">
        <f>COUNTBLANK(Sales_Data[[#This Row],[Quantity]])</f>
        <v>0</v>
      </c>
      <c r="J914" t="str">
        <f>TEXT(Sales_Data[[#This Row],[Date]],"yyyy-mm")</f>
        <v>2025-01</v>
      </c>
    </row>
    <row r="915" spans="1:10" x14ac:dyDescent="0.35">
      <c r="A915" t="s">
        <v>1304</v>
      </c>
      <c r="B915" s="3">
        <v>45888</v>
      </c>
      <c r="C915" t="s">
        <v>21</v>
      </c>
      <c r="D915" t="s">
        <v>337</v>
      </c>
      <c r="E915" t="s">
        <v>403</v>
      </c>
      <c r="F915">
        <v>3</v>
      </c>
      <c r="G915" s="6">
        <v>45627</v>
      </c>
      <c r="H915">
        <f>COUNTBLANK(Sales_Data[[#This Row],[Revenue]])</f>
        <v>0</v>
      </c>
      <c r="I915">
        <f>COUNTBLANK(Sales_Data[[#This Row],[Quantity]])</f>
        <v>0</v>
      </c>
      <c r="J915" t="str">
        <f>TEXT(Sales_Data[[#This Row],[Date]],"yyyy-mm")</f>
        <v>2025-08</v>
      </c>
    </row>
    <row r="916" spans="1:10" x14ac:dyDescent="0.35">
      <c r="A916" t="s">
        <v>1305</v>
      </c>
      <c r="B916" s="3">
        <v>45665</v>
      </c>
      <c r="C916" t="s">
        <v>31</v>
      </c>
      <c r="D916" t="s">
        <v>333</v>
      </c>
      <c r="E916" t="s">
        <v>389</v>
      </c>
      <c r="F916">
        <v>7</v>
      </c>
      <c r="G916" s="6">
        <v>209762</v>
      </c>
      <c r="H916">
        <f>COUNTBLANK(Sales_Data[[#This Row],[Revenue]])</f>
        <v>0</v>
      </c>
      <c r="I916">
        <f>COUNTBLANK(Sales_Data[[#This Row],[Quantity]])</f>
        <v>0</v>
      </c>
      <c r="J916" t="str">
        <f>TEXT(Sales_Data[[#This Row],[Date]],"yyyy-mm")</f>
        <v>2025-01</v>
      </c>
    </row>
    <row r="917" spans="1:10" x14ac:dyDescent="0.35">
      <c r="A917" t="s">
        <v>1306</v>
      </c>
      <c r="B917" s="3">
        <v>45796</v>
      </c>
      <c r="C917" t="s">
        <v>67</v>
      </c>
      <c r="D917" t="s">
        <v>193</v>
      </c>
      <c r="E917" t="s">
        <v>389</v>
      </c>
      <c r="F917">
        <v>6</v>
      </c>
      <c r="G917" s="6">
        <v>129696</v>
      </c>
      <c r="H917">
        <f>COUNTBLANK(Sales_Data[[#This Row],[Revenue]])</f>
        <v>0</v>
      </c>
      <c r="I917">
        <f>COUNTBLANK(Sales_Data[[#This Row],[Quantity]])</f>
        <v>0</v>
      </c>
      <c r="J917" t="str">
        <f>TEXT(Sales_Data[[#This Row],[Date]],"yyyy-mm")</f>
        <v>2025-05</v>
      </c>
    </row>
    <row r="918" spans="1:10" x14ac:dyDescent="0.35">
      <c r="A918" t="s">
        <v>1307</v>
      </c>
      <c r="B918" s="3">
        <v>45670</v>
      </c>
      <c r="C918" t="s">
        <v>27</v>
      </c>
      <c r="D918" t="s">
        <v>93</v>
      </c>
      <c r="E918" t="s">
        <v>387</v>
      </c>
      <c r="F918">
        <v>9</v>
      </c>
      <c r="G918" s="6">
        <v>339156</v>
      </c>
      <c r="H918">
        <f>COUNTBLANK(Sales_Data[[#This Row],[Revenue]])</f>
        <v>0</v>
      </c>
      <c r="I918">
        <f>COUNTBLANK(Sales_Data[[#This Row],[Quantity]])</f>
        <v>0</v>
      </c>
      <c r="J918" t="str">
        <f>TEXT(Sales_Data[[#This Row],[Date]],"yyyy-mm")</f>
        <v>2025-01</v>
      </c>
    </row>
    <row r="919" spans="1:10" x14ac:dyDescent="0.35">
      <c r="A919" t="s">
        <v>1308</v>
      </c>
      <c r="B919" s="3">
        <v>45949</v>
      </c>
      <c r="C919" t="s">
        <v>49</v>
      </c>
      <c r="D919" t="s">
        <v>327</v>
      </c>
      <c r="E919" t="s">
        <v>389</v>
      </c>
      <c r="F919">
        <v>9</v>
      </c>
      <c r="G919" s="6">
        <v>409626</v>
      </c>
      <c r="H919">
        <f>COUNTBLANK(Sales_Data[[#This Row],[Revenue]])</f>
        <v>0</v>
      </c>
      <c r="I919">
        <f>COUNTBLANK(Sales_Data[[#This Row],[Quantity]])</f>
        <v>0</v>
      </c>
      <c r="J919" t="str">
        <f>TEXT(Sales_Data[[#This Row],[Date]],"yyyy-mm")</f>
        <v>2025-10</v>
      </c>
    </row>
    <row r="920" spans="1:10" x14ac:dyDescent="0.35">
      <c r="A920" t="s">
        <v>1309</v>
      </c>
      <c r="B920" s="3">
        <v>45763</v>
      </c>
      <c r="C920" t="s">
        <v>65</v>
      </c>
      <c r="D920" t="s">
        <v>255</v>
      </c>
      <c r="E920" t="s">
        <v>403</v>
      </c>
      <c r="F920">
        <v>9</v>
      </c>
      <c r="G920" s="6">
        <v>4905</v>
      </c>
      <c r="H920">
        <f>COUNTBLANK(Sales_Data[[#This Row],[Revenue]])</f>
        <v>0</v>
      </c>
      <c r="I920">
        <f>COUNTBLANK(Sales_Data[[#This Row],[Quantity]])</f>
        <v>0</v>
      </c>
      <c r="J920" t="str">
        <f>TEXT(Sales_Data[[#This Row],[Date]],"yyyy-mm")</f>
        <v>2025-04</v>
      </c>
    </row>
    <row r="921" spans="1:10" x14ac:dyDescent="0.35">
      <c r="A921" t="s">
        <v>1310</v>
      </c>
      <c r="B921" s="3">
        <v>45710</v>
      </c>
      <c r="C921" t="s">
        <v>67</v>
      </c>
      <c r="D921" t="s">
        <v>339</v>
      </c>
      <c r="E921" t="s">
        <v>387</v>
      </c>
      <c r="F921">
        <v>2</v>
      </c>
      <c r="G921" s="6">
        <v>43232</v>
      </c>
      <c r="H921">
        <f>COUNTBLANK(Sales_Data[[#This Row],[Revenue]])</f>
        <v>0</v>
      </c>
      <c r="I921">
        <f>COUNTBLANK(Sales_Data[[#This Row],[Quantity]])</f>
        <v>0</v>
      </c>
      <c r="J921" t="str">
        <f>TEXT(Sales_Data[[#This Row],[Date]],"yyyy-mm")</f>
        <v>2025-02</v>
      </c>
    </row>
    <row r="922" spans="1:10" x14ac:dyDescent="0.35">
      <c r="A922" t="s">
        <v>1311</v>
      </c>
      <c r="B922" s="3">
        <v>45891</v>
      </c>
      <c r="C922" t="s">
        <v>35</v>
      </c>
      <c r="D922" t="s">
        <v>119</v>
      </c>
      <c r="E922" t="s">
        <v>387</v>
      </c>
      <c r="F922">
        <v>7</v>
      </c>
      <c r="G922" s="6">
        <v>346220</v>
      </c>
      <c r="H922">
        <f>COUNTBLANK(Sales_Data[[#This Row],[Revenue]])</f>
        <v>0</v>
      </c>
      <c r="I922">
        <f>COUNTBLANK(Sales_Data[[#This Row],[Quantity]])</f>
        <v>0</v>
      </c>
      <c r="J922" t="str">
        <f>TEXT(Sales_Data[[#This Row],[Date]],"yyyy-mm")</f>
        <v>2025-08</v>
      </c>
    </row>
    <row r="923" spans="1:10" x14ac:dyDescent="0.35">
      <c r="A923" t="s">
        <v>1312</v>
      </c>
      <c r="B923" s="3">
        <v>45953</v>
      </c>
      <c r="C923" t="s">
        <v>55</v>
      </c>
      <c r="D923" t="s">
        <v>211</v>
      </c>
      <c r="E923" t="s">
        <v>403</v>
      </c>
      <c r="F923">
        <v>6</v>
      </c>
      <c r="G923" s="6">
        <v>68490</v>
      </c>
      <c r="H923">
        <f>COUNTBLANK(Sales_Data[[#This Row],[Revenue]])</f>
        <v>0</v>
      </c>
      <c r="I923">
        <f>COUNTBLANK(Sales_Data[[#This Row],[Quantity]])</f>
        <v>0</v>
      </c>
      <c r="J923" t="str">
        <f>TEXT(Sales_Data[[#This Row],[Date]],"yyyy-mm")</f>
        <v>2025-10</v>
      </c>
    </row>
    <row r="924" spans="1:10" x14ac:dyDescent="0.35">
      <c r="A924" t="s">
        <v>1313</v>
      </c>
      <c r="B924" s="3">
        <v>45895</v>
      </c>
      <c r="C924" t="s">
        <v>41</v>
      </c>
      <c r="D924" t="s">
        <v>233</v>
      </c>
      <c r="E924" t="s">
        <v>389</v>
      </c>
      <c r="F924">
        <v>8</v>
      </c>
      <c r="G924" s="6">
        <v>170096</v>
      </c>
      <c r="H924">
        <f>COUNTBLANK(Sales_Data[[#This Row],[Revenue]])</f>
        <v>0</v>
      </c>
      <c r="I924">
        <f>COUNTBLANK(Sales_Data[[#This Row],[Quantity]])</f>
        <v>0</v>
      </c>
      <c r="J924" t="str">
        <f>TEXT(Sales_Data[[#This Row],[Date]],"yyyy-mm")</f>
        <v>2025-08</v>
      </c>
    </row>
    <row r="925" spans="1:10" x14ac:dyDescent="0.35">
      <c r="A925" t="s">
        <v>1314</v>
      </c>
      <c r="B925" s="3">
        <v>45818</v>
      </c>
      <c r="C925" t="s">
        <v>37</v>
      </c>
      <c r="D925" t="s">
        <v>293</v>
      </c>
      <c r="E925" t="s">
        <v>403</v>
      </c>
      <c r="F925">
        <v>6</v>
      </c>
      <c r="G925" s="6">
        <v>11718</v>
      </c>
      <c r="H925">
        <f>COUNTBLANK(Sales_Data[[#This Row],[Revenue]])</f>
        <v>0</v>
      </c>
      <c r="I925">
        <f>COUNTBLANK(Sales_Data[[#This Row],[Quantity]])</f>
        <v>0</v>
      </c>
      <c r="J925" t="str">
        <f>TEXT(Sales_Data[[#This Row],[Date]],"yyyy-mm")</f>
        <v>2025-06</v>
      </c>
    </row>
    <row r="926" spans="1:10" x14ac:dyDescent="0.35">
      <c r="A926" t="s">
        <v>1315</v>
      </c>
      <c r="B926" s="3">
        <v>45775</v>
      </c>
      <c r="C926" t="s">
        <v>25</v>
      </c>
      <c r="D926" t="s">
        <v>343</v>
      </c>
      <c r="E926" t="s">
        <v>403</v>
      </c>
      <c r="F926">
        <v>9</v>
      </c>
      <c r="G926" s="6">
        <v>164187</v>
      </c>
      <c r="H926">
        <f>COUNTBLANK(Sales_Data[[#This Row],[Revenue]])</f>
        <v>0</v>
      </c>
      <c r="I926">
        <f>COUNTBLANK(Sales_Data[[#This Row],[Quantity]])</f>
        <v>0</v>
      </c>
      <c r="J926" t="str">
        <f>TEXT(Sales_Data[[#This Row],[Date]],"yyyy-mm")</f>
        <v>2025-04</v>
      </c>
    </row>
    <row r="927" spans="1:10" x14ac:dyDescent="0.35">
      <c r="A927" t="s">
        <v>1316</v>
      </c>
      <c r="B927" s="3">
        <v>45720</v>
      </c>
      <c r="C927" t="s">
        <v>53</v>
      </c>
      <c r="D927" t="s">
        <v>281</v>
      </c>
      <c r="E927" t="s">
        <v>389</v>
      </c>
      <c r="F927">
        <v>10</v>
      </c>
      <c r="G927" s="6">
        <v>42080</v>
      </c>
      <c r="H927">
        <f>COUNTBLANK(Sales_Data[[#This Row],[Revenue]])</f>
        <v>0</v>
      </c>
      <c r="I927">
        <f>COUNTBLANK(Sales_Data[[#This Row],[Quantity]])</f>
        <v>0</v>
      </c>
      <c r="J927" t="str">
        <f>TEXT(Sales_Data[[#This Row],[Date]],"yyyy-mm")</f>
        <v>2025-03</v>
      </c>
    </row>
    <row r="928" spans="1:10" x14ac:dyDescent="0.35">
      <c r="A928" t="s">
        <v>1317</v>
      </c>
      <c r="B928" s="3">
        <v>45883</v>
      </c>
      <c r="C928" t="s">
        <v>21</v>
      </c>
      <c r="D928" t="s">
        <v>283</v>
      </c>
      <c r="E928" t="s">
        <v>389</v>
      </c>
      <c r="F928">
        <v>8</v>
      </c>
      <c r="G928" s="6">
        <v>121672</v>
      </c>
      <c r="H928">
        <f>COUNTBLANK(Sales_Data[[#This Row],[Revenue]])</f>
        <v>0</v>
      </c>
      <c r="I928">
        <f>COUNTBLANK(Sales_Data[[#This Row],[Quantity]])</f>
        <v>0</v>
      </c>
      <c r="J928" t="str">
        <f>TEXT(Sales_Data[[#This Row],[Date]],"yyyy-mm")</f>
        <v>2025-08</v>
      </c>
    </row>
    <row r="929" spans="1:10" x14ac:dyDescent="0.35">
      <c r="A929" t="s">
        <v>1318</v>
      </c>
      <c r="B929" s="3">
        <v>45873</v>
      </c>
      <c r="C929" t="s">
        <v>61</v>
      </c>
      <c r="D929" t="s">
        <v>221</v>
      </c>
      <c r="E929" t="s">
        <v>394</v>
      </c>
      <c r="F929">
        <v>7</v>
      </c>
      <c r="G929" s="6">
        <v>175112</v>
      </c>
      <c r="H929">
        <f>COUNTBLANK(Sales_Data[[#This Row],[Revenue]])</f>
        <v>0</v>
      </c>
      <c r="I929">
        <f>COUNTBLANK(Sales_Data[[#This Row],[Quantity]])</f>
        <v>0</v>
      </c>
      <c r="J929" t="str">
        <f>TEXT(Sales_Data[[#This Row],[Date]],"yyyy-mm")</f>
        <v>2025-08</v>
      </c>
    </row>
    <row r="930" spans="1:10" x14ac:dyDescent="0.35">
      <c r="A930" t="s">
        <v>1319</v>
      </c>
      <c r="B930" s="3">
        <v>46007</v>
      </c>
      <c r="C930" t="s">
        <v>39</v>
      </c>
      <c r="D930" t="s">
        <v>153</v>
      </c>
      <c r="E930" t="s">
        <v>389</v>
      </c>
      <c r="F930">
        <v>1</v>
      </c>
      <c r="G930" s="6">
        <v>48288</v>
      </c>
      <c r="H930">
        <f>COUNTBLANK(Sales_Data[[#This Row],[Revenue]])</f>
        <v>0</v>
      </c>
      <c r="I930">
        <f>COUNTBLANK(Sales_Data[[#This Row],[Quantity]])</f>
        <v>0</v>
      </c>
      <c r="J930" t="str">
        <f>TEXT(Sales_Data[[#This Row],[Date]],"yyyy-mm")</f>
        <v>2025-12</v>
      </c>
    </row>
    <row r="931" spans="1:10" x14ac:dyDescent="0.35">
      <c r="A931" t="s">
        <v>1320</v>
      </c>
      <c r="B931" s="3">
        <v>45988</v>
      </c>
      <c r="C931" t="s">
        <v>41</v>
      </c>
      <c r="D931" t="s">
        <v>281</v>
      </c>
      <c r="E931" t="s">
        <v>389</v>
      </c>
      <c r="F931">
        <v>4</v>
      </c>
      <c r="G931" s="6">
        <v>85048</v>
      </c>
      <c r="H931">
        <f>COUNTBLANK(Sales_Data[[#This Row],[Revenue]])</f>
        <v>0</v>
      </c>
      <c r="I931">
        <f>COUNTBLANK(Sales_Data[[#This Row],[Quantity]])</f>
        <v>0</v>
      </c>
      <c r="J931" t="str">
        <f>TEXT(Sales_Data[[#This Row],[Date]],"yyyy-mm")</f>
        <v>2025-11</v>
      </c>
    </row>
    <row r="932" spans="1:10" x14ac:dyDescent="0.35">
      <c r="A932" t="s">
        <v>1321</v>
      </c>
      <c r="B932" s="3">
        <v>46011</v>
      </c>
      <c r="C932" t="s">
        <v>7</v>
      </c>
      <c r="D932" t="s">
        <v>279</v>
      </c>
      <c r="E932" t="s">
        <v>391</v>
      </c>
      <c r="F932">
        <v>8</v>
      </c>
      <c r="G932" s="6">
        <v>209064</v>
      </c>
      <c r="H932">
        <f>COUNTBLANK(Sales_Data[[#This Row],[Revenue]])</f>
        <v>0</v>
      </c>
      <c r="I932">
        <f>COUNTBLANK(Sales_Data[[#This Row],[Quantity]])</f>
        <v>0</v>
      </c>
      <c r="J932" t="str">
        <f>TEXT(Sales_Data[[#This Row],[Date]],"yyyy-mm")</f>
        <v>2025-12</v>
      </c>
    </row>
    <row r="933" spans="1:10" x14ac:dyDescent="0.35">
      <c r="A933" t="s">
        <v>1322</v>
      </c>
      <c r="B933" s="3">
        <v>45922</v>
      </c>
      <c r="C933" t="s">
        <v>67</v>
      </c>
      <c r="D933" t="s">
        <v>279</v>
      </c>
      <c r="E933" t="s">
        <v>389</v>
      </c>
      <c r="F933">
        <v>2</v>
      </c>
      <c r="G933" s="6">
        <v>43232</v>
      </c>
      <c r="H933">
        <f>COUNTBLANK(Sales_Data[[#This Row],[Revenue]])</f>
        <v>0</v>
      </c>
      <c r="I933">
        <f>COUNTBLANK(Sales_Data[[#This Row],[Quantity]])</f>
        <v>0</v>
      </c>
      <c r="J933" t="str">
        <f>TEXT(Sales_Data[[#This Row],[Date]],"yyyy-mm")</f>
        <v>2025-09</v>
      </c>
    </row>
    <row r="934" spans="1:10" x14ac:dyDescent="0.35">
      <c r="A934" t="s">
        <v>1323</v>
      </c>
      <c r="B934" s="3">
        <v>45880</v>
      </c>
      <c r="C934" t="s">
        <v>57</v>
      </c>
      <c r="D934" t="s">
        <v>161</v>
      </c>
      <c r="E934" t="s">
        <v>403</v>
      </c>
      <c r="F934">
        <v>2</v>
      </c>
      <c r="G934" s="6">
        <v>97578</v>
      </c>
      <c r="H934">
        <f>COUNTBLANK(Sales_Data[[#This Row],[Revenue]])</f>
        <v>0</v>
      </c>
      <c r="I934">
        <f>COUNTBLANK(Sales_Data[[#This Row],[Quantity]])</f>
        <v>0</v>
      </c>
      <c r="J934" t="str">
        <f>TEXT(Sales_Data[[#This Row],[Date]],"yyyy-mm")</f>
        <v>2025-08</v>
      </c>
    </row>
    <row r="935" spans="1:10" x14ac:dyDescent="0.35">
      <c r="A935" t="s">
        <v>1324</v>
      </c>
      <c r="B935" s="3">
        <v>45805</v>
      </c>
      <c r="C935" t="s">
        <v>61</v>
      </c>
      <c r="D935" t="s">
        <v>197</v>
      </c>
      <c r="E935" t="s">
        <v>391</v>
      </c>
      <c r="F935">
        <v>7</v>
      </c>
      <c r="G935" s="6">
        <v>175112</v>
      </c>
      <c r="H935">
        <f>COUNTBLANK(Sales_Data[[#This Row],[Revenue]])</f>
        <v>0</v>
      </c>
      <c r="I935">
        <f>COUNTBLANK(Sales_Data[[#This Row],[Quantity]])</f>
        <v>0</v>
      </c>
      <c r="J935" t="str">
        <f>TEXT(Sales_Data[[#This Row],[Date]],"yyyy-mm")</f>
        <v>2025-05</v>
      </c>
    </row>
    <row r="936" spans="1:10" x14ac:dyDescent="0.35">
      <c r="A936" t="s">
        <v>1325</v>
      </c>
      <c r="B936" s="3">
        <v>45953</v>
      </c>
      <c r="C936" t="s">
        <v>39</v>
      </c>
      <c r="D936" t="s">
        <v>261</v>
      </c>
      <c r="E936" t="s">
        <v>391</v>
      </c>
      <c r="F936">
        <v>4</v>
      </c>
      <c r="G936" s="6">
        <v>193152</v>
      </c>
      <c r="H936">
        <f>COUNTBLANK(Sales_Data[[#This Row],[Revenue]])</f>
        <v>0</v>
      </c>
      <c r="I936">
        <f>COUNTBLANK(Sales_Data[[#This Row],[Quantity]])</f>
        <v>0</v>
      </c>
      <c r="J936" t="str">
        <f>TEXT(Sales_Data[[#This Row],[Date]],"yyyy-mm")</f>
        <v>2025-10</v>
      </c>
    </row>
    <row r="937" spans="1:10" x14ac:dyDescent="0.35">
      <c r="A937" t="s">
        <v>1326</v>
      </c>
      <c r="B937" s="3">
        <v>46011</v>
      </c>
      <c r="C937" t="s">
        <v>10</v>
      </c>
      <c r="D937" t="s">
        <v>259</v>
      </c>
      <c r="E937" t="s">
        <v>403</v>
      </c>
      <c r="F937">
        <v>2</v>
      </c>
      <c r="G937" s="6">
        <v>9032</v>
      </c>
      <c r="H937">
        <f>COUNTBLANK(Sales_Data[[#This Row],[Revenue]])</f>
        <v>0</v>
      </c>
      <c r="I937">
        <f>COUNTBLANK(Sales_Data[[#This Row],[Quantity]])</f>
        <v>0</v>
      </c>
      <c r="J937" t="str">
        <f>TEXT(Sales_Data[[#This Row],[Date]],"yyyy-mm")</f>
        <v>2025-12</v>
      </c>
    </row>
    <row r="938" spans="1:10" x14ac:dyDescent="0.35">
      <c r="A938" t="s">
        <v>1327</v>
      </c>
      <c r="B938" s="3">
        <v>45966</v>
      </c>
      <c r="C938" t="s">
        <v>49</v>
      </c>
      <c r="D938" t="s">
        <v>273</v>
      </c>
      <c r="E938" t="s">
        <v>403</v>
      </c>
      <c r="F938">
        <v>9</v>
      </c>
      <c r="G938" s="6">
        <v>409626</v>
      </c>
      <c r="H938">
        <f>COUNTBLANK(Sales_Data[[#This Row],[Revenue]])</f>
        <v>0</v>
      </c>
      <c r="I938">
        <f>COUNTBLANK(Sales_Data[[#This Row],[Quantity]])</f>
        <v>0</v>
      </c>
      <c r="J938" t="str">
        <f>TEXT(Sales_Data[[#This Row],[Date]],"yyyy-mm")</f>
        <v>2025-11</v>
      </c>
    </row>
    <row r="939" spans="1:10" x14ac:dyDescent="0.35">
      <c r="A939" t="s">
        <v>1328</v>
      </c>
      <c r="B939" s="3">
        <v>45765</v>
      </c>
      <c r="C939" t="s">
        <v>61</v>
      </c>
      <c r="D939" t="s">
        <v>81</v>
      </c>
      <c r="E939" t="s">
        <v>391</v>
      </c>
      <c r="F939">
        <v>9</v>
      </c>
      <c r="G939" s="6">
        <v>225144</v>
      </c>
      <c r="H939">
        <f>COUNTBLANK(Sales_Data[[#This Row],[Revenue]])</f>
        <v>0</v>
      </c>
      <c r="I939">
        <f>COUNTBLANK(Sales_Data[[#This Row],[Quantity]])</f>
        <v>0</v>
      </c>
      <c r="J939" t="str">
        <f>TEXT(Sales_Data[[#This Row],[Date]],"yyyy-mm")</f>
        <v>2025-04</v>
      </c>
    </row>
    <row r="940" spans="1:10" x14ac:dyDescent="0.35">
      <c r="A940" t="s">
        <v>1329</v>
      </c>
      <c r="B940" s="3">
        <v>45670</v>
      </c>
      <c r="C940" t="s">
        <v>53</v>
      </c>
      <c r="D940" t="s">
        <v>195</v>
      </c>
      <c r="E940" t="s">
        <v>391</v>
      </c>
      <c r="F940">
        <v>10</v>
      </c>
      <c r="G940" s="6">
        <v>42080</v>
      </c>
      <c r="H940">
        <f>COUNTBLANK(Sales_Data[[#This Row],[Revenue]])</f>
        <v>0</v>
      </c>
      <c r="I940">
        <f>COUNTBLANK(Sales_Data[[#This Row],[Quantity]])</f>
        <v>0</v>
      </c>
      <c r="J940" t="str">
        <f>TEXT(Sales_Data[[#This Row],[Date]],"yyyy-mm")</f>
        <v>2025-01</v>
      </c>
    </row>
    <row r="941" spans="1:10" x14ac:dyDescent="0.35">
      <c r="A941" t="s">
        <v>1330</v>
      </c>
      <c r="B941" s="3">
        <v>45916</v>
      </c>
      <c r="C941" t="s">
        <v>35</v>
      </c>
      <c r="D941" t="s">
        <v>323</v>
      </c>
      <c r="E941" t="s">
        <v>387</v>
      </c>
      <c r="F941">
        <v>8</v>
      </c>
      <c r="G941" s="6">
        <v>395680</v>
      </c>
      <c r="H941">
        <f>COUNTBLANK(Sales_Data[[#This Row],[Revenue]])</f>
        <v>0</v>
      </c>
      <c r="I941">
        <f>COUNTBLANK(Sales_Data[[#This Row],[Quantity]])</f>
        <v>0</v>
      </c>
      <c r="J941" t="str">
        <f>TEXT(Sales_Data[[#This Row],[Date]],"yyyy-mm")</f>
        <v>2025-09</v>
      </c>
    </row>
    <row r="942" spans="1:10" x14ac:dyDescent="0.35">
      <c r="A942" t="s">
        <v>1331</v>
      </c>
      <c r="B942" s="3">
        <v>45888</v>
      </c>
      <c r="C942" t="s">
        <v>63</v>
      </c>
      <c r="D942" t="s">
        <v>95</v>
      </c>
      <c r="E942" t="s">
        <v>391</v>
      </c>
      <c r="F942">
        <v>4</v>
      </c>
      <c r="G942" s="6">
        <v>35072</v>
      </c>
      <c r="H942">
        <f>COUNTBLANK(Sales_Data[[#This Row],[Revenue]])</f>
        <v>0</v>
      </c>
      <c r="I942">
        <f>COUNTBLANK(Sales_Data[[#This Row],[Quantity]])</f>
        <v>0</v>
      </c>
      <c r="J942" t="str">
        <f>TEXT(Sales_Data[[#This Row],[Date]],"yyyy-mm")</f>
        <v>2025-08</v>
      </c>
    </row>
    <row r="943" spans="1:10" x14ac:dyDescent="0.35">
      <c r="A943" t="s">
        <v>1332</v>
      </c>
      <c r="B943" s="3">
        <v>45912</v>
      </c>
      <c r="C943" t="s">
        <v>29</v>
      </c>
      <c r="D943" t="s">
        <v>323</v>
      </c>
      <c r="E943" t="s">
        <v>387</v>
      </c>
      <c r="F943">
        <v>4</v>
      </c>
      <c r="G943" s="6">
        <v>170576</v>
      </c>
      <c r="H943">
        <f>COUNTBLANK(Sales_Data[[#This Row],[Revenue]])</f>
        <v>0</v>
      </c>
      <c r="I943">
        <f>COUNTBLANK(Sales_Data[[#This Row],[Quantity]])</f>
        <v>0</v>
      </c>
      <c r="J943" t="str">
        <f>TEXT(Sales_Data[[#This Row],[Date]],"yyyy-mm")</f>
        <v>2025-09</v>
      </c>
    </row>
    <row r="944" spans="1:10" x14ac:dyDescent="0.35">
      <c r="A944" t="s">
        <v>1333</v>
      </c>
      <c r="B944" s="3">
        <v>45897</v>
      </c>
      <c r="C944" t="s">
        <v>23</v>
      </c>
      <c r="D944" t="s">
        <v>283</v>
      </c>
      <c r="E944" t="s">
        <v>403</v>
      </c>
      <c r="F944">
        <v>3</v>
      </c>
      <c r="G944" s="6">
        <v>18207</v>
      </c>
      <c r="H944">
        <f>COUNTBLANK(Sales_Data[[#This Row],[Revenue]])</f>
        <v>0</v>
      </c>
      <c r="I944">
        <f>COUNTBLANK(Sales_Data[[#This Row],[Quantity]])</f>
        <v>0</v>
      </c>
      <c r="J944" t="str">
        <f>TEXT(Sales_Data[[#This Row],[Date]],"yyyy-mm")</f>
        <v>2025-08</v>
      </c>
    </row>
    <row r="945" spans="1:10" x14ac:dyDescent="0.35">
      <c r="A945" t="s">
        <v>1334</v>
      </c>
      <c r="B945" s="3">
        <v>45781</v>
      </c>
      <c r="C945" t="s">
        <v>33</v>
      </c>
      <c r="D945" t="s">
        <v>265</v>
      </c>
      <c r="E945" t="s">
        <v>391</v>
      </c>
      <c r="F945">
        <v>8</v>
      </c>
      <c r="G945" s="6">
        <v>290024</v>
      </c>
      <c r="H945">
        <f>COUNTBLANK(Sales_Data[[#This Row],[Revenue]])</f>
        <v>0</v>
      </c>
      <c r="I945">
        <f>COUNTBLANK(Sales_Data[[#This Row],[Quantity]])</f>
        <v>0</v>
      </c>
      <c r="J945" t="str">
        <f>TEXT(Sales_Data[[#This Row],[Date]],"yyyy-mm")</f>
        <v>2025-05</v>
      </c>
    </row>
    <row r="946" spans="1:10" x14ac:dyDescent="0.35">
      <c r="A946" t="s">
        <v>1335</v>
      </c>
      <c r="B946" s="3">
        <v>45947</v>
      </c>
      <c r="C946" t="s">
        <v>57</v>
      </c>
      <c r="D946" t="s">
        <v>193</v>
      </c>
      <c r="E946" t="s">
        <v>391</v>
      </c>
      <c r="F946">
        <v>6</v>
      </c>
      <c r="G946" s="6">
        <v>292734</v>
      </c>
      <c r="H946">
        <f>COUNTBLANK(Sales_Data[[#This Row],[Revenue]])</f>
        <v>0</v>
      </c>
      <c r="I946">
        <f>COUNTBLANK(Sales_Data[[#This Row],[Quantity]])</f>
        <v>0</v>
      </c>
      <c r="J946" t="str">
        <f>TEXT(Sales_Data[[#This Row],[Date]],"yyyy-mm")</f>
        <v>2025-10</v>
      </c>
    </row>
    <row r="947" spans="1:10" x14ac:dyDescent="0.35">
      <c r="A947" t="s">
        <v>1336</v>
      </c>
      <c r="B947" s="3">
        <v>45827</v>
      </c>
      <c r="C947" t="s">
        <v>55</v>
      </c>
      <c r="D947" t="s">
        <v>271</v>
      </c>
      <c r="E947" t="s">
        <v>389</v>
      </c>
      <c r="F947">
        <v>8</v>
      </c>
      <c r="G947" s="6">
        <v>91320</v>
      </c>
      <c r="H947">
        <f>COUNTBLANK(Sales_Data[[#This Row],[Revenue]])</f>
        <v>0</v>
      </c>
      <c r="I947">
        <f>COUNTBLANK(Sales_Data[[#This Row],[Quantity]])</f>
        <v>0</v>
      </c>
      <c r="J947" t="str">
        <f>TEXT(Sales_Data[[#This Row],[Date]],"yyyy-mm")</f>
        <v>2025-06</v>
      </c>
    </row>
    <row r="948" spans="1:10" x14ac:dyDescent="0.35">
      <c r="A948" t="s">
        <v>1337</v>
      </c>
      <c r="B948" s="3">
        <v>45789</v>
      </c>
      <c r="C948" t="s">
        <v>4</v>
      </c>
      <c r="D948" t="s">
        <v>333</v>
      </c>
      <c r="E948" t="s">
        <v>387</v>
      </c>
      <c r="F948">
        <v>5</v>
      </c>
      <c r="G948" s="6">
        <v>59075</v>
      </c>
      <c r="H948">
        <f>COUNTBLANK(Sales_Data[[#This Row],[Revenue]])</f>
        <v>0</v>
      </c>
      <c r="I948">
        <f>COUNTBLANK(Sales_Data[[#This Row],[Quantity]])</f>
        <v>0</v>
      </c>
      <c r="J948" t="str">
        <f>TEXT(Sales_Data[[#This Row],[Date]],"yyyy-mm")</f>
        <v>2025-05</v>
      </c>
    </row>
    <row r="949" spans="1:10" x14ac:dyDescent="0.35">
      <c r="A949" t="s">
        <v>1338</v>
      </c>
      <c r="B949" s="3">
        <v>45881</v>
      </c>
      <c r="C949" t="s">
        <v>33</v>
      </c>
      <c r="D949" t="s">
        <v>181</v>
      </c>
      <c r="E949" t="s">
        <v>403</v>
      </c>
      <c r="F949">
        <v>5</v>
      </c>
      <c r="G949" s="6">
        <v>181265</v>
      </c>
      <c r="H949">
        <f>COUNTBLANK(Sales_Data[[#This Row],[Revenue]])</f>
        <v>0</v>
      </c>
      <c r="I949">
        <f>COUNTBLANK(Sales_Data[[#This Row],[Quantity]])</f>
        <v>0</v>
      </c>
      <c r="J949" t="str">
        <f>TEXT(Sales_Data[[#This Row],[Date]],"yyyy-mm")</f>
        <v>2025-08</v>
      </c>
    </row>
    <row r="950" spans="1:10" x14ac:dyDescent="0.35">
      <c r="A950" t="s">
        <v>1339</v>
      </c>
      <c r="B950" s="3">
        <v>45890</v>
      </c>
      <c r="C950" t="s">
        <v>23</v>
      </c>
      <c r="D950" t="s">
        <v>169</v>
      </c>
      <c r="E950" t="s">
        <v>403</v>
      </c>
      <c r="F950">
        <v>10</v>
      </c>
      <c r="G950" s="6">
        <v>60690</v>
      </c>
      <c r="H950">
        <f>COUNTBLANK(Sales_Data[[#This Row],[Revenue]])</f>
        <v>0</v>
      </c>
      <c r="I950">
        <f>COUNTBLANK(Sales_Data[[#This Row],[Quantity]])</f>
        <v>0</v>
      </c>
      <c r="J950" t="str">
        <f>TEXT(Sales_Data[[#This Row],[Date]],"yyyy-mm")</f>
        <v>2025-08</v>
      </c>
    </row>
    <row r="951" spans="1:10" x14ac:dyDescent="0.35">
      <c r="A951" t="s">
        <v>1340</v>
      </c>
      <c r="B951" s="3">
        <v>45661</v>
      </c>
      <c r="C951" t="s">
        <v>27</v>
      </c>
      <c r="D951" t="s">
        <v>149</v>
      </c>
      <c r="E951" t="s">
        <v>403</v>
      </c>
      <c r="F951">
        <v>10</v>
      </c>
      <c r="G951" s="6">
        <v>376840</v>
      </c>
      <c r="H951">
        <f>COUNTBLANK(Sales_Data[[#This Row],[Revenue]])</f>
        <v>0</v>
      </c>
      <c r="I951">
        <f>COUNTBLANK(Sales_Data[[#This Row],[Quantity]])</f>
        <v>0</v>
      </c>
      <c r="J951" t="str">
        <f>TEXT(Sales_Data[[#This Row],[Date]],"yyyy-mm")</f>
        <v>2025-01</v>
      </c>
    </row>
    <row r="952" spans="1:10" x14ac:dyDescent="0.35">
      <c r="A952" t="s">
        <v>1341</v>
      </c>
      <c r="B952" s="3">
        <v>45778</v>
      </c>
      <c r="C952" t="s">
        <v>47</v>
      </c>
      <c r="D952" t="s">
        <v>141</v>
      </c>
      <c r="E952" t="s">
        <v>391</v>
      </c>
      <c r="F952">
        <v>7</v>
      </c>
      <c r="G952" s="6">
        <v>154434</v>
      </c>
      <c r="H952">
        <f>COUNTBLANK(Sales_Data[[#This Row],[Revenue]])</f>
        <v>0</v>
      </c>
      <c r="I952">
        <f>COUNTBLANK(Sales_Data[[#This Row],[Quantity]])</f>
        <v>0</v>
      </c>
      <c r="J952" t="str">
        <f>TEXT(Sales_Data[[#This Row],[Date]],"yyyy-mm")</f>
        <v>2025-05</v>
      </c>
    </row>
    <row r="953" spans="1:10" x14ac:dyDescent="0.35">
      <c r="A953" t="s">
        <v>1342</v>
      </c>
      <c r="B953" s="3">
        <v>45806</v>
      </c>
      <c r="C953" t="s">
        <v>7</v>
      </c>
      <c r="D953" t="s">
        <v>97</v>
      </c>
      <c r="E953" t="s">
        <v>394</v>
      </c>
      <c r="F953">
        <v>7</v>
      </c>
      <c r="G953" s="6">
        <v>182931</v>
      </c>
      <c r="H953">
        <f>COUNTBLANK(Sales_Data[[#This Row],[Revenue]])</f>
        <v>0</v>
      </c>
      <c r="I953">
        <f>COUNTBLANK(Sales_Data[[#This Row],[Quantity]])</f>
        <v>0</v>
      </c>
      <c r="J953" t="str">
        <f>TEXT(Sales_Data[[#This Row],[Date]],"yyyy-mm")</f>
        <v>2025-05</v>
      </c>
    </row>
    <row r="954" spans="1:10" x14ac:dyDescent="0.35">
      <c r="A954" t="s">
        <v>1343</v>
      </c>
      <c r="B954" s="3">
        <v>45805</v>
      </c>
      <c r="C954" t="s">
        <v>41</v>
      </c>
      <c r="D954" t="s">
        <v>333</v>
      </c>
      <c r="E954" t="s">
        <v>389</v>
      </c>
      <c r="F954">
        <v>9</v>
      </c>
      <c r="G954" s="6">
        <v>191358</v>
      </c>
      <c r="H954">
        <f>COUNTBLANK(Sales_Data[[#This Row],[Revenue]])</f>
        <v>0</v>
      </c>
      <c r="I954">
        <f>COUNTBLANK(Sales_Data[[#This Row],[Quantity]])</f>
        <v>0</v>
      </c>
      <c r="J954" t="str">
        <f>TEXT(Sales_Data[[#This Row],[Date]],"yyyy-mm")</f>
        <v>2025-05</v>
      </c>
    </row>
    <row r="955" spans="1:10" x14ac:dyDescent="0.35">
      <c r="A955" t="s">
        <v>1344</v>
      </c>
      <c r="B955" s="3">
        <v>45840</v>
      </c>
      <c r="C955" t="s">
        <v>63</v>
      </c>
      <c r="D955" t="s">
        <v>259</v>
      </c>
      <c r="E955" t="s">
        <v>391</v>
      </c>
      <c r="F955">
        <v>3</v>
      </c>
      <c r="G955" s="6">
        <v>26304</v>
      </c>
      <c r="H955">
        <f>COUNTBLANK(Sales_Data[[#This Row],[Revenue]])</f>
        <v>0</v>
      </c>
      <c r="I955">
        <f>COUNTBLANK(Sales_Data[[#This Row],[Quantity]])</f>
        <v>0</v>
      </c>
      <c r="J955" t="str">
        <f>TEXT(Sales_Data[[#This Row],[Date]],"yyyy-mm")</f>
        <v>2025-07</v>
      </c>
    </row>
    <row r="956" spans="1:10" x14ac:dyDescent="0.35">
      <c r="A956" t="s">
        <v>1345</v>
      </c>
      <c r="B956" s="3">
        <v>45988</v>
      </c>
      <c r="C956" t="s">
        <v>43</v>
      </c>
      <c r="D956" t="s">
        <v>207</v>
      </c>
      <c r="E956" t="s">
        <v>403</v>
      </c>
      <c r="F956">
        <v>9</v>
      </c>
      <c r="G956" s="6">
        <v>340425</v>
      </c>
      <c r="H956">
        <f>COUNTBLANK(Sales_Data[[#This Row],[Revenue]])</f>
        <v>0</v>
      </c>
      <c r="I956">
        <f>COUNTBLANK(Sales_Data[[#This Row],[Quantity]])</f>
        <v>0</v>
      </c>
      <c r="J956" t="str">
        <f>TEXT(Sales_Data[[#This Row],[Date]],"yyyy-mm")</f>
        <v>2025-11</v>
      </c>
    </row>
    <row r="957" spans="1:10" x14ac:dyDescent="0.35">
      <c r="A957" t="s">
        <v>1346</v>
      </c>
      <c r="B957" s="3">
        <v>45847</v>
      </c>
      <c r="C957" t="s">
        <v>53</v>
      </c>
      <c r="D957" t="s">
        <v>129</v>
      </c>
      <c r="E957" t="s">
        <v>391</v>
      </c>
      <c r="F957">
        <v>1</v>
      </c>
      <c r="G957" s="6">
        <v>4208</v>
      </c>
      <c r="H957">
        <f>COUNTBLANK(Sales_Data[[#This Row],[Revenue]])</f>
        <v>0</v>
      </c>
      <c r="I957">
        <f>COUNTBLANK(Sales_Data[[#This Row],[Quantity]])</f>
        <v>0</v>
      </c>
      <c r="J957" t="str">
        <f>TEXT(Sales_Data[[#This Row],[Date]],"yyyy-mm")</f>
        <v>2025-07</v>
      </c>
    </row>
    <row r="958" spans="1:10" x14ac:dyDescent="0.35">
      <c r="A958" t="s">
        <v>1347</v>
      </c>
      <c r="B958" s="3">
        <v>45893</v>
      </c>
      <c r="C958" t="s">
        <v>49</v>
      </c>
      <c r="D958" t="s">
        <v>223</v>
      </c>
      <c r="E958" t="s">
        <v>389</v>
      </c>
      <c r="F958">
        <v>8</v>
      </c>
      <c r="G958" s="6">
        <v>364112</v>
      </c>
      <c r="H958">
        <f>COUNTBLANK(Sales_Data[[#This Row],[Revenue]])</f>
        <v>0</v>
      </c>
      <c r="I958">
        <f>COUNTBLANK(Sales_Data[[#This Row],[Quantity]])</f>
        <v>0</v>
      </c>
      <c r="J958" t="str">
        <f>TEXT(Sales_Data[[#This Row],[Date]],"yyyy-mm")</f>
        <v>2025-08</v>
      </c>
    </row>
    <row r="959" spans="1:10" x14ac:dyDescent="0.35">
      <c r="A959" t="s">
        <v>1348</v>
      </c>
      <c r="B959" s="3">
        <v>45928</v>
      </c>
      <c r="C959" t="s">
        <v>63</v>
      </c>
      <c r="D959" t="s">
        <v>109</v>
      </c>
      <c r="E959" t="s">
        <v>387</v>
      </c>
      <c r="F959">
        <v>5</v>
      </c>
      <c r="G959" s="6">
        <v>43840</v>
      </c>
      <c r="H959">
        <f>COUNTBLANK(Sales_Data[[#This Row],[Revenue]])</f>
        <v>0</v>
      </c>
      <c r="I959">
        <f>COUNTBLANK(Sales_Data[[#This Row],[Quantity]])</f>
        <v>0</v>
      </c>
      <c r="J959" t="str">
        <f>TEXT(Sales_Data[[#This Row],[Date]],"yyyy-mm")</f>
        <v>2025-09</v>
      </c>
    </row>
    <row r="960" spans="1:10" x14ac:dyDescent="0.35">
      <c r="A960" t="s">
        <v>1349</v>
      </c>
      <c r="B960" s="3">
        <v>45899</v>
      </c>
      <c r="C960" t="s">
        <v>45</v>
      </c>
      <c r="D960" t="s">
        <v>259</v>
      </c>
      <c r="E960" t="s">
        <v>403</v>
      </c>
      <c r="F960">
        <v>1</v>
      </c>
      <c r="G960" s="6">
        <v>7826</v>
      </c>
      <c r="H960">
        <f>COUNTBLANK(Sales_Data[[#This Row],[Revenue]])</f>
        <v>0</v>
      </c>
      <c r="I960">
        <f>COUNTBLANK(Sales_Data[[#This Row],[Quantity]])</f>
        <v>0</v>
      </c>
      <c r="J960" t="str">
        <f>TEXT(Sales_Data[[#This Row],[Date]],"yyyy-mm")</f>
        <v>2025-08</v>
      </c>
    </row>
    <row r="961" spans="1:10" x14ac:dyDescent="0.35">
      <c r="A961" t="s">
        <v>1350</v>
      </c>
      <c r="B961" s="3">
        <v>45871</v>
      </c>
      <c r="C961" t="s">
        <v>43</v>
      </c>
      <c r="D961" t="s">
        <v>261</v>
      </c>
      <c r="E961" t="s">
        <v>394</v>
      </c>
      <c r="F961">
        <v>5</v>
      </c>
      <c r="G961" s="6">
        <v>189125</v>
      </c>
      <c r="H961">
        <f>COUNTBLANK(Sales_Data[[#This Row],[Revenue]])</f>
        <v>0</v>
      </c>
      <c r="I961">
        <f>COUNTBLANK(Sales_Data[[#This Row],[Quantity]])</f>
        <v>0</v>
      </c>
      <c r="J961" t="str">
        <f>TEXT(Sales_Data[[#This Row],[Date]],"yyyy-mm")</f>
        <v>2025-08</v>
      </c>
    </row>
    <row r="962" spans="1:10" x14ac:dyDescent="0.35">
      <c r="A962" t="s">
        <v>1351</v>
      </c>
      <c r="B962" s="3">
        <v>45969</v>
      </c>
      <c r="C962" t="s">
        <v>43</v>
      </c>
      <c r="D962" t="s">
        <v>173</v>
      </c>
      <c r="E962" t="s">
        <v>394</v>
      </c>
      <c r="F962">
        <v>5</v>
      </c>
      <c r="G962" s="6">
        <v>189125</v>
      </c>
      <c r="H962">
        <f>COUNTBLANK(Sales_Data[[#This Row],[Revenue]])</f>
        <v>0</v>
      </c>
      <c r="I962">
        <f>COUNTBLANK(Sales_Data[[#This Row],[Quantity]])</f>
        <v>0</v>
      </c>
      <c r="J962" t="str">
        <f>TEXT(Sales_Data[[#This Row],[Date]],"yyyy-mm")</f>
        <v>2025-11</v>
      </c>
    </row>
    <row r="963" spans="1:10" x14ac:dyDescent="0.35">
      <c r="A963" t="s">
        <v>1352</v>
      </c>
      <c r="B963" s="3">
        <v>45873</v>
      </c>
      <c r="C963" t="s">
        <v>13</v>
      </c>
      <c r="D963" t="s">
        <v>123</v>
      </c>
      <c r="E963" t="s">
        <v>403</v>
      </c>
      <c r="F963">
        <v>6</v>
      </c>
      <c r="G963" s="6">
        <v>181062</v>
      </c>
      <c r="H963">
        <f>COUNTBLANK(Sales_Data[[#This Row],[Revenue]])</f>
        <v>0</v>
      </c>
      <c r="I963">
        <f>COUNTBLANK(Sales_Data[[#This Row],[Quantity]])</f>
        <v>0</v>
      </c>
      <c r="J963" t="str">
        <f>TEXT(Sales_Data[[#This Row],[Date]],"yyyy-mm")</f>
        <v>2025-08</v>
      </c>
    </row>
    <row r="964" spans="1:10" x14ac:dyDescent="0.35">
      <c r="A964" t="s">
        <v>1353</v>
      </c>
      <c r="B964" s="3">
        <v>45942</v>
      </c>
      <c r="C964" t="s">
        <v>27</v>
      </c>
      <c r="D964" t="s">
        <v>149</v>
      </c>
      <c r="E964" t="s">
        <v>394</v>
      </c>
      <c r="F964">
        <v>4</v>
      </c>
      <c r="G964" s="6">
        <v>150736</v>
      </c>
      <c r="H964">
        <f>COUNTBLANK(Sales_Data[[#This Row],[Revenue]])</f>
        <v>0</v>
      </c>
      <c r="I964">
        <f>COUNTBLANK(Sales_Data[[#This Row],[Quantity]])</f>
        <v>0</v>
      </c>
      <c r="J964" t="str">
        <f>TEXT(Sales_Data[[#This Row],[Date]],"yyyy-mm")</f>
        <v>2025-10</v>
      </c>
    </row>
    <row r="965" spans="1:10" x14ac:dyDescent="0.35">
      <c r="A965" t="s">
        <v>1354</v>
      </c>
      <c r="B965" s="3">
        <v>45761</v>
      </c>
      <c r="C965" t="s">
        <v>49</v>
      </c>
      <c r="D965" t="s">
        <v>305</v>
      </c>
      <c r="E965" t="s">
        <v>394</v>
      </c>
      <c r="F965">
        <v>4</v>
      </c>
      <c r="G965" s="6">
        <v>182056</v>
      </c>
      <c r="H965">
        <f>COUNTBLANK(Sales_Data[[#This Row],[Revenue]])</f>
        <v>0</v>
      </c>
      <c r="I965">
        <f>COUNTBLANK(Sales_Data[[#This Row],[Quantity]])</f>
        <v>0</v>
      </c>
      <c r="J965" t="str">
        <f>TEXT(Sales_Data[[#This Row],[Date]],"yyyy-mm")</f>
        <v>2025-04</v>
      </c>
    </row>
    <row r="966" spans="1:10" x14ac:dyDescent="0.35">
      <c r="A966" t="s">
        <v>1355</v>
      </c>
      <c r="B966" s="3">
        <v>45838</v>
      </c>
      <c r="C966" t="s">
        <v>25</v>
      </c>
      <c r="D966" t="s">
        <v>237</v>
      </c>
      <c r="E966" t="s">
        <v>387</v>
      </c>
      <c r="F966">
        <v>4</v>
      </c>
      <c r="G966" s="6">
        <v>72972</v>
      </c>
      <c r="H966">
        <f>COUNTBLANK(Sales_Data[[#This Row],[Revenue]])</f>
        <v>0</v>
      </c>
      <c r="I966">
        <f>COUNTBLANK(Sales_Data[[#This Row],[Quantity]])</f>
        <v>0</v>
      </c>
      <c r="J966" t="str">
        <f>TEXT(Sales_Data[[#This Row],[Date]],"yyyy-mm")</f>
        <v>2025-06</v>
      </c>
    </row>
    <row r="967" spans="1:10" x14ac:dyDescent="0.35">
      <c r="A967" t="s">
        <v>1356</v>
      </c>
      <c r="B967" s="3">
        <v>45926</v>
      </c>
      <c r="C967" t="s">
        <v>39</v>
      </c>
      <c r="D967" t="s">
        <v>147</v>
      </c>
      <c r="E967" t="s">
        <v>394</v>
      </c>
      <c r="F967">
        <v>7</v>
      </c>
      <c r="G967" s="6">
        <v>338016</v>
      </c>
      <c r="H967">
        <f>COUNTBLANK(Sales_Data[[#This Row],[Revenue]])</f>
        <v>0</v>
      </c>
      <c r="I967">
        <f>COUNTBLANK(Sales_Data[[#This Row],[Quantity]])</f>
        <v>0</v>
      </c>
      <c r="J967" t="str">
        <f>TEXT(Sales_Data[[#This Row],[Date]],"yyyy-mm")</f>
        <v>2025-09</v>
      </c>
    </row>
    <row r="968" spans="1:10" x14ac:dyDescent="0.35">
      <c r="A968" t="s">
        <v>1357</v>
      </c>
      <c r="B968" s="3">
        <v>45746</v>
      </c>
      <c r="C968" t="s">
        <v>33</v>
      </c>
      <c r="D968" t="s">
        <v>373</v>
      </c>
      <c r="E968" t="s">
        <v>394</v>
      </c>
      <c r="F968">
        <v>1</v>
      </c>
      <c r="G968" s="6">
        <v>36253</v>
      </c>
      <c r="H968">
        <f>COUNTBLANK(Sales_Data[[#This Row],[Revenue]])</f>
        <v>0</v>
      </c>
      <c r="I968">
        <f>COUNTBLANK(Sales_Data[[#This Row],[Quantity]])</f>
        <v>0</v>
      </c>
      <c r="J968" t="str">
        <f>TEXT(Sales_Data[[#This Row],[Date]],"yyyy-mm")</f>
        <v>2025-03</v>
      </c>
    </row>
    <row r="969" spans="1:10" x14ac:dyDescent="0.35">
      <c r="A969" t="s">
        <v>1358</v>
      </c>
      <c r="B969" s="3">
        <v>45702</v>
      </c>
      <c r="C969" t="s">
        <v>39</v>
      </c>
      <c r="D969" t="s">
        <v>363</v>
      </c>
      <c r="E969" t="s">
        <v>403</v>
      </c>
      <c r="F969">
        <v>1</v>
      </c>
      <c r="G969" s="6">
        <v>48288</v>
      </c>
      <c r="H969">
        <f>COUNTBLANK(Sales_Data[[#This Row],[Revenue]])</f>
        <v>0</v>
      </c>
      <c r="I969">
        <f>COUNTBLANK(Sales_Data[[#This Row],[Quantity]])</f>
        <v>0</v>
      </c>
      <c r="J969" t="str">
        <f>TEXT(Sales_Data[[#This Row],[Date]],"yyyy-mm")</f>
        <v>2025-02</v>
      </c>
    </row>
    <row r="970" spans="1:10" x14ac:dyDescent="0.35">
      <c r="A970" t="s">
        <v>1359</v>
      </c>
      <c r="B970" s="3">
        <v>45885</v>
      </c>
      <c r="C970" t="s">
        <v>59</v>
      </c>
      <c r="D970" t="s">
        <v>335</v>
      </c>
      <c r="E970" t="s">
        <v>394</v>
      </c>
      <c r="F970">
        <v>5</v>
      </c>
      <c r="G970" s="6">
        <v>240530</v>
      </c>
      <c r="H970">
        <f>COUNTBLANK(Sales_Data[[#This Row],[Revenue]])</f>
        <v>0</v>
      </c>
      <c r="I970">
        <f>COUNTBLANK(Sales_Data[[#This Row],[Quantity]])</f>
        <v>0</v>
      </c>
      <c r="J970" t="str">
        <f>TEXT(Sales_Data[[#This Row],[Date]],"yyyy-mm")</f>
        <v>2025-08</v>
      </c>
    </row>
    <row r="971" spans="1:10" x14ac:dyDescent="0.35">
      <c r="A971" t="s">
        <v>1360</v>
      </c>
      <c r="B971" s="3">
        <v>45660</v>
      </c>
      <c r="C971" t="s">
        <v>37</v>
      </c>
      <c r="D971" t="s">
        <v>317</v>
      </c>
      <c r="E971" t="s">
        <v>394</v>
      </c>
      <c r="F971">
        <v>6</v>
      </c>
      <c r="G971" s="6">
        <v>11718</v>
      </c>
      <c r="H971">
        <f>COUNTBLANK(Sales_Data[[#This Row],[Revenue]])</f>
        <v>0</v>
      </c>
      <c r="I971">
        <f>COUNTBLANK(Sales_Data[[#This Row],[Quantity]])</f>
        <v>0</v>
      </c>
      <c r="J971" t="str">
        <f>TEXT(Sales_Data[[#This Row],[Date]],"yyyy-mm")</f>
        <v>2025-01</v>
      </c>
    </row>
    <row r="972" spans="1:10" x14ac:dyDescent="0.35">
      <c r="A972" t="s">
        <v>1361</v>
      </c>
      <c r="B972" s="3">
        <v>45961</v>
      </c>
      <c r="C972" t="s">
        <v>27</v>
      </c>
      <c r="D972" t="s">
        <v>313</v>
      </c>
      <c r="E972" t="s">
        <v>387</v>
      </c>
      <c r="F972">
        <v>2</v>
      </c>
      <c r="G972" s="6">
        <v>75368</v>
      </c>
      <c r="H972">
        <f>COUNTBLANK(Sales_Data[[#This Row],[Revenue]])</f>
        <v>0</v>
      </c>
      <c r="I972">
        <f>COUNTBLANK(Sales_Data[[#This Row],[Quantity]])</f>
        <v>0</v>
      </c>
      <c r="J972" t="str">
        <f>TEXT(Sales_Data[[#This Row],[Date]],"yyyy-mm")</f>
        <v>2025-10</v>
      </c>
    </row>
    <row r="973" spans="1:10" x14ac:dyDescent="0.35">
      <c r="A973" t="s">
        <v>1362</v>
      </c>
      <c r="B973" s="3">
        <v>45899</v>
      </c>
      <c r="C973" t="s">
        <v>27</v>
      </c>
      <c r="D973" t="s">
        <v>311</v>
      </c>
      <c r="E973" t="s">
        <v>394</v>
      </c>
      <c r="F973">
        <v>10</v>
      </c>
      <c r="G973" s="6">
        <v>376840</v>
      </c>
      <c r="H973">
        <f>COUNTBLANK(Sales_Data[[#This Row],[Revenue]])</f>
        <v>0</v>
      </c>
      <c r="I973">
        <f>COUNTBLANK(Sales_Data[[#This Row],[Quantity]])</f>
        <v>0</v>
      </c>
      <c r="J973" t="str">
        <f>TEXT(Sales_Data[[#This Row],[Date]],"yyyy-mm")</f>
        <v>2025-08</v>
      </c>
    </row>
    <row r="974" spans="1:10" x14ac:dyDescent="0.35">
      <c r="A974" t="s">
        <v>1363</v>
      </c>
      <c r="B974" s="3">
        <v>45754</v>
      </c>
      <c r="C974" t="s">
        <v>47</v>
      </c>
      <c r="D974" t="s">
        <v>183</v>
      </c>
      <c r="E974" t="s">
        <v>394</v>
      </c>
      <c r="F974">
        <v>3</v>
      </c>
      <c r="G974" s="6">
        <v>66186</v>
      </c>
      <c r="H974">
        <f>COUNTBLANK(Sales_Data[[#This Row],[Revenue]])</f>
        <v>0</v>
      </c>
      <c r="I974">
        <f>COUNTBLANK(Sales_Data[[#This Row],[Quantity]])</f>
        <v>0</v>
      </c>
      <c r="J974" t="str">
        <f>TEXT(Sales_Data[[#This Row],[Date]],"yyyy-mm")</f>
        <v>2025-04</v>
      </c>
    </row>
    <row r="975" spans="1:10" x14ac:dyDescent="0.35">
      <c r="A975" t="s">
        <v>1364</v>
      </c>
      <c r="B975" s="3">
        <v>45898</v>
      </c>
      <c r="C975" t="s">
        <v>19</v>
      </c>
      <c r="D975" t="s">
        <v>361</v>
      </c>
      <c r="E975" t="s">
        <v>394</v>
      </c>
      <c r="F975">
        <v>9</v>
      </c>
      <c r="G975" s="6">
        <v>379431</v>
      </c>
      <c r="H975">
        <f>COUNTBLANK(Sales_Data[[#This Row],[Revenue]])</f>
        <v>0</v>
      </c>
      <c r="I975">
        <f>COUNTBLANK(Sales_Data[[#This Row],[Quantity]])</f>
        <v>0</v>
      </c>
      <c r="J975" t="str">
        <f>TEXT(Sales_Data[[#This Row],[Date]],"yyyy-mm")</f>
        <v>2025-08</v>
      </c>
    </row>
    <row r="976" spans="1:10" x14ac:dyDescent="0.35">
      <c r="A976" t="s">
        <v>1365</v>
      </c>
      <c r="B976" s="3">
        <v>45910</v>
      </c>
      <c r="C976" t="s">
        <v>65</v>
      </c>
      <c r="D976" t="s">
        <v>263</v>
      </c>
      <c r="E976" t="s">
        <v>387</v>
      </c>
      <c r="F976">
        <v>5</v>
      </c>
      <c r="G976" s="6">
        <v>2725</v>
      </c>
      <c r="H976">
        <f>COUNTBLANK(Sales_Data[[#This Row],[Revenue]])</f>
        <v>0</v>
      </c>
      <c r="I976">
        <f>COUNTBLANK(Sales_Data[[#This Row],[Quantity]])</f>
        <v>0</v>
      </c>
      <c r="J976" t="str">
        <f>TEXT(Sales_Data[[#This Row],[Date]],"yyyy-mm")</f>
        <v>2025-09</v>
      </c>
    </row>
    <row r="977" spans="1:10" x14ac:dyDescent="0.35">
      <c r="A977" t="s">
        <v>1366</v>
      </c>
      <c r="B977" s="3">
        <v>45877</v>
      </c>
      <c r="C977" t="s">
        <v>51</v>
      </c>
      <c r="D977" t="s">
        <v>301</v>
      </c>
      <c r="E977" t="s">
        <v>394</v>
      </c>
      <c r="F977">
        <v>2</v>
      </c>
      <c r="G977" s="6">
        <v>62878</v>
      </c>
      <c r="H977">
        <f>COUNTBLANK(Sales_Data[[#This Row],[Revenue]])</f>
        <v>0</v>
      </c>
      <c r="I977">
        <f>COUNTBLANK(Sales_Data[[#This Row],[Quantity]])</f>
        <v>0</v>
      </c>
      <c r="J977" t="str">
        <f>TEXT(Sales_Data[[#This Row],[Date]],"yyyy-mm")</f>
        <v>2025-08</v>
      </c>
    </row>
    <row r="978" spans="1:10" x14ac:dyDescent="0.35">
      <c r="A978" t="s">
        <v>1367</v>
      </c>
      <c r="B978" s="3">
        <v>45673</v>
      </c>
      <c r="C978" t="s">
        <v>23</v>
      </c>
      <c r="D978" t="s">
        <v>181</v>
      </c>
      <c r="E978" t="s">
        <v>389</v>
      </c>
      <c r="F978">
        <v>10</v>
      </c>
      <c r="G978" s="6">
        <v>60690</v>
      </c>
      <c r="H978">
        <f>COUNTBLANK(Sales_Data[[#This Row],[Revenue]])</f>
        <v>0</v>
      </c>
      <c r="I978">
        <f>COUNTBLANK(Sales_Data[[#This Row],[Quantity]])</f>
        <v>0</v>
      </c>
      <c r="J978" t="str">
        <f>TEXT(Sales_Data[[#This Row],[Date]],"yyyy-mm")</f>
        <v>2025-01</v>
      </c>
    </row>
    <row r="979" spans="1:10" x14ac:dyDescent="0.35">
      <c r="A979" t="s">
        <v>1368</v>
      </c>
      <c r="B979" s="3">
        <v>45946</v>
      </c>
      <c r="C979" t="s">
        <v>65</v>
      </c>
      <c r="D979" t="s">
        <v>173</v>
      </c>
      <c r="E979" t="s">
        <v>387</v>
      </c>
      <c r="F979">
        <v>1</v>
      </c>
      <c r="G979" s="6">
        <v>545</v>
      </c>
      <c r="H979">
        <f>COUNTBLANK(Sales_Data[[#This Row],[Revenue]])</f>
        <v>0</v>
      </c>
      <c r="I979">
        <f>COUNTBLANK(Sales_Data[[#This Row],[Quantity]])</f>
        <v>0</v>
      </c>
      <c r="J979" t="str">
        <f>TEXT(Sales_Data[[#This Row],[Date]],"yyyy-mm")</f>
        <v>2025-10</v>
      </c>
    </row>
    <row r="980" spans="1:10" x14ac:dyDescent="0.35">
      <c r="A980" t="s">
        <v>1369</v>
      </c>
      <c r="B980" s="3">
        <v>45883</v>
      </c>
      <c r="C980" t="s">
        <v>10</v>
      </c>
      <c r="D980" t="s">
        <v>353</v>
      </c>
      <c r="E980" t="s">
        <v>403</v>
      </c>
      <c r="F980">
        <v>2</v>
      </c>
      <c r="G980" s="6">
        <v>9032</v>
      </c>
      <c r="H980">
        <f>COUNTBLANK(Sales_Data[[#This Row],[Revenue]])</f>
        <v>0</v>
      </c>
      <c r="I980">
        <f>COUNTBLANK(Sales_Data[[#This Row],[Quantity]])</f>
        <v>0</v>
      </c>
      <c r="J980" t="str">
        <f>TEXT(Sales_Data[[#This Row],[Date]],"yyyy-mm")</f>
        <v>2025-08</v>
      </c>
    </row>
    <row r="981" spans="1:10" x14ac:dyDescent="0.35">
      <c r="A981" t="s">
        <v>1370</v>
      </c>
      <c r="B981" s="3">
        <v>45833</v>
      </c>
      <c r="C981" t="s">
        <v>55</v>
      </c>
      <c r="D981" t="s">
        <v>325</v>
      </c>
      <c r="E981" t="s">
        <v>389</v>
      </c>
      <c r="F981">
        <v>3</v>
      </c>
      <c r="G981" s="6">
        <v>34245</v>
      </c>
      <c r="H981">
        <f>COUNTBLANK(Sales_Data[[#This Row],[Revenue]])</f>
        <v>0</v>
      </c>
      <c r="I981">
        <f>COUNTBLANK(Sales_Data[[#This Row],[Quantity]])</f>
        <v>0</v>
      </c>
      <c r="J981" t="str">
        <f>TEXT(Sales_Data[[#This Row],[Date]],"yyyy-mm")</f>
        <v>2025-06</v>
      </c>
    </row>
    <row r="982" spans="1:10" x14ac:dyDescent="0.35">
      <c r="A982" t="s">
        <v>1371</v>
      </c>
      <c r="B982" s="3">
        <v>45983</v>
      </c>
      <c r="C982" t="s">
        <v>37</v>
      </c>
      <c r="D982" t="s">
        <v>257</v>
      </c>
      <c r="E982" t="s">
        <v>403</v>
      </c>
      <c r="F982">
        <v>2</v>
      </c>
      <c r="G982" s="6">
        <v>3906</v>
      </c>
      <c r="H982">
        <f>COUNTBLANK(Sales_Data[[#This Row],[Revenue]])</f>
        <v>0</v>
      </c>
      <c r="I982">
        <f>COUNTBLANK(Sales_Data[[#This Row],[Quantity]])</f>
        <v>0</v>
      </c>
      <c r="J982" t="str">
        <f>TEXT(Sales_Data[[#This Row],[Date]],"yyyy-mm")</f>
        <v>2025-11</v>
      </c>
    </row>
    <row r="983" spans="1:10" x14ac:dyDescent="0.35">
      <c r="A983" t="s">
        <v>1372</v>
      </c>
      <c r="B983" s="3">
        <v>45729</v>
      </c>
      <c r="C983" t="s">
        <v>67</v>
      </c>
      <c r="D983" t="s">
        <v>371</v>
      </c>
      <c r="E983" t="s">
        <v>391</v>
      </c>
      <c r="F983">
        <v>10</v>
      </c>
      <c r="G983" s="6">
        <v>216160</v>
      </c>
      <c r="H983">
        <f>COUNTBLANK(Sales_Data[[#This Row],[Revenue]])</f>
        <v>0</v>
      </c>
      <c r="I983">
        <f>COUNTBLANK(Sales_Data[[#This Row],[Quantity]])</f>
        <v>0</v>
      </c>
      <c r="J983" t="str">
        <f>TEXT(Sales_Data[[#This Row],[Date]],"yyyy-mm")</f>
        <v>2025-03</v>
      </c>
    </row>
    <row r="984" spans="1:10" x14ac:dyDescent="0.35">
      <c r="A984" t="s">
        <v>1373</v>
      </c>
      <c r="B984" s="3">
        <v>45835</v>
      </c>
      <c r="C984" t="s">
        <v>23</v>
      </c>
      <c r="D984" t="s">
        <v>249</v>
      </c>
      <c r="E984" t="s">
        <v>403</v>
      </c>
      <c r="F984">
        <v>6</v>
      </c>
      <c r="G984" s="6">
        <v>36414</v>
      </c>
      <c r="H984">
        <f>COUNTBLANK(Sales_Data[[#This Row],[Revenue]])</f>
        <v>0</v>
      </c>
      <c r="I984">
        <f>COUNTBLANK(Sales_Data[[#This Row],[Quantity]])</f>
        <v>0</v>
      </c>
      <c r="J984" t="str">
        <f>TEXT(Sales_Data[[#This Row],[Date]],"yyyy-mm")</f>
        <v>2025-06</v>
      </c>
    </row>
    <row r="985" spans="1:10" x14ac:dyDescent="0.35">
      <c r="A985" t="s">
        <v>1374</v>
      </c>
      <c r="B985" s="3">
        <v>45903</v>
      </c>
      <c r="C985" t="s">
        <v>27</v>
      </c>
      <c r="D985" t="s">
        <v>261</v>
      </c>
      <c r="E985" t="s">
        <v>403</v>
      </c>
      <c r="F985">
        <v>4</v>
      </c>
      <c r="G985" s="6">
        <v>150736</v>
      </c>
      <c r="H985">
        <f>COUNTBLANK(Sales_Data[[#This Row],[Revenue]])</f>
        <v>0</v>
      </c>
      <c r="I985">
        <f>COUNTBLANK(Sales_Data[[#This Row],[Quantity]])</f>
        <v>0</v>
      </c>
      <c r="J985" t="str">
        <f>TEXT(Sales_Data[[#This Row],[Date]],"yyyy-mm")</f>
        <v>2025-09</v>
      </c>
    </row>
    <row r="986" spans="1:10" x14ac:dyDescent="0.35">
      <c r="A986" t="s">
        <v>1375</v>
      </c>
      <c r="B986" s="3">
        <v>45994</v>
      </c>
      <c r="C986" t="s">
        <v>49</v>
      </c>
      <c r="D986" t="s">
        <v>317</v>
      </c>
      <c r="E986" t="s">
        <v>403</v>
      </c>
      <c r="F986">
        <v>9</v>
      </c>
      <c r="G986" s="6">
        <v>409626</v>
      </c>
      <c r="H986">
        <f>COUNTBLANK(Sales_Data[[#This Row],[Revenue]])</f>
        <v>0</v>
      </c>
      <c r="I986">
        <f>COUNTBLANK(Sales_Data[[#This Row],[Quantity]])</f>
        <v>0</v>
      </c>
      <c r="J986" t="str">
        <f>TEXT(Sales_Data[[#This Row],[Date]],"yyyy-mm")</f>
        <v>2025-12</v>
      </c>
    </row>
    <row r="987" spans="1:10" x14ac:dyDescent="0.35">
      <c r="A987" t="s">
        <v>1376</v>
      </c>
      <c r="B987" s="3">
        <v>45775</v>
      </c>
      <c r="C987" t="s">
        <v>41</v>
      </c>
      <c r="D987" t="s">
        <v>277</v>
      </c>
      <c r="E987" t="s">
        <v>389</v>
      </c>
      <c r="F987">
        <v>9</v>
      </c>
      <c r="G987" s="6">
        <v>191358</v>
      </c>
      <c r="H987">
        <f>COUNTBLANK(Sales_Data[[#This Row],[Revenue]])</f>
        <v>0</v>
      </c>
      <c r="I987">
        <f>COUNTBLANK(Sales_Data[[#This Row],[Quantity]])</f>
        <v>0</v>
      </c>
      <c r="J987" t="str">
        <f>TEXT(Sales_Data[[#This Row],[Date]],"yyyy-mm")</f>
        <v>2025-04</v>
      </c>
    </row>
    <row r="988" spans="1:10" x14ac:dyDescent="0.35">
      <c r="A988" t="s">
        <v>1377</v>
      </c>
      <c r="B988" s="3">
        <v>45727</v>
      </c>
      <c r="C988" t="s">
        <v>4</v>
      </c>
      <c r="D988" t="s">
        <v>127</v>
      </c>
      <c r="E988" t="s">
        <v>403</v>
      </c>
      <c r="F988">
        <v>4</v>
      </c>
      <c r="G988" s="6">
        <v>47260</v>
      </c>
      <c r="H988">
        <f>COUNTBLANK(Sales_Data[[#This Row],[Revenue]])</f>
        <v>0</v>
      </c>
      <c r="I988">
        <f>COUNTBLANK(Sales_Data[[#This Row],[Quantity]])</f>
        <v>0</v>
      </c>
      <c r="J988" t="str">
        <f>TEXT(Sales_Data[[#This Row],[Date]],"yyyy-mm")</f>
        <v>2025-03</v>
      </c>
    </row>
    <row r="989" spans="1:10" x14ac:dyDescent="0.35">
      <c r="A989" t="s">
        <v>1378</v>
      </c>
      <c r="B989" s="3">
        <v>46020</v>
      </c>
      <c r="C989" t="s">
        <v>33</v>
      </c>
      <c r="D989" t="s">
        <v>291</v>
      </c>
      <c r="E989" t="s">
        <v>387</v>
      </c>
      <c r="F989">
        <v>10</v>
      </c>
      <c r="G989" s="6">
        <v>362530</v>
      </c>
      <c r="H989">
        <f>COUNTBLANK(Sales_Data[[#This Row],[Revenue]])</f>
        <v>0</v>
      </c>
      <c r="I989">
        <f>COUNTBLANK(Sales_Data[[#This Row],[Quantity]])</f>
        <v>0</v>
      </c>
      <c r="J989" t="str">
        <f>TEXT(Sales_Data[[#This Row],[Date]],"yyyy-mm")</f>
        <v>2025-12</v>
      </c>
    </row>
    <row r="990" spans="1:10" x14ac:dyDescent="0.35">
      <c r="A990" t="s">
        <v>1379</v>
      </c>
      <c r="B990" s="3">
        <v>45872</v>
      </c>
      <c r="C990" t="s">
        <v>45</v>
      </c>
      <c r="D990" t="s">
        <v>201</v>
      </c>
      <c r="E990" t="s">
        <v>387</v>
      </c>
      <c r="F990">
        <v>3</v>
      </c>
      <c r="G990" s="6">
        <v>23478</v>
      </c>
      <c r="H990">
        <f>COUNTBLANK(Sales_Data[[#This Row],[Revenue]])</f>
        <v>0</v>
      </c>
      <c r="I990">
        <f>COUNTBLANK(Sales_Data[[#This Row],[Quantity]])</f>
        <v>0</v>
      </c>
      <c r="J990" t="str">
        <f>TEXT(Sales_Data[[#This Row],[Date]],"yyyy-mm")</f>
        <v>2025-08</v>
      </c>
    </row>
    <row r="991" spans="1:10" x14ac:dyDescent="0.35">
      <c r="A991" t="s">
        <v>1380</v>
      </c>
      <c r="B991" s="3">
        <v>45827</v>
      </c>
      <c r="C991" t="s">
        <v>51</v>
      </c>
      <c r="D991" t="s">
        <v>343</v>
      </c>
      <c r="E991" t="s">
        <v>394</v>
      </c>
      <c r="F991">
        <v>1</v>
      </c>
      <c r="G991" s="6">
        <v>31439</v>
      </c>
      <c r="H991">
        <f>COUNTBLANK(Sales_Data[[#This Row],[Revenue]])</f>
        <v>0</v>
      </c>
      <c r="I991">
        <f>COUNTBLANK(Sales_Data[[#This Row],[Quantity]])</f>
        <v>0</v>
      </c>
      <c r="J991" t="str">
        <f>TEXT(Sales_Data[[#This Row],[Date]],"yyyy-mm")</f>
        <v>2025-06</v>
      </c>
    </row>
    <row r="992" spans="1:10" x14ac:dyDescent="0.35">
      <c r="A992" t="s">
        <v>1381</v>
      </c>
      <c r="B992" s="3">
        <v>45910</v>
      </c>
      <c r="C992" t="s">
        <v>39</v>
      </c>
      <c r="D992" t="s">
        <v>103</v>
      </c>
      <c r="E992" t="s">
        <v>387</v>
      </c>
      <c r="F992">
        <v>4</v>
      </c>
      <c r="G992" s="6">
        <v>193152</v>
      </c>
      <c r="H992">
        <f>COUNTBLANK(Sales_Data[[#This Row],[Revenue]])</f>
        <v>0</v>
      </c>
      <c r="I992">
        <f>COUNTBLANK(Sales_Data[[#This Row],[Quantity]])</f>
        <v>0</v>
      </c>
      <c r="J992" t="str">
        <f>TEXT(Sales_Data[[#This Row],[Date]],"yyyy-mm")</f>
        <v>2025-09</v>
      </c>
    </row>
    <row r="993" spans="1:10" x14ac:dyDescent="0.35">
      <c r="A993" t="s">
        <v>1382</v>
      </c>
      <c r="B993" s="3">
        <v>45682</v>
      </c>
      <c r="C993" t="s">
        <v>35</v>
      </c>
      <c r="D993" t="s">
        <v>281</v>
      </c>
      <c r="E993" t="s">
        <v>389</v>
      </c>
      <c r="F993">
        <v>9</v>
      </c>
      <c r="G993" s="6">
        <v>445140</v>
      </c>
      <c r="H993">
        <f>COUNTBLANK(Sales_Data[[#This Row],[Revenue]])</f>
        <v>0</v>
      </c>
      <c r="I993">
        <f>COUNTBLANK(Sales_Data[[#This Row],[Quantity]])</f>
        <v>0</v>
      </c>
      <c r="J993" t="str">
        <f>TEXT(Sales_Data[[#This Row],[Date]],"yyyy-mm")</f>
        <v>2025-01</v>
      </c>
    </row>
    <row r="994" spans="1:10" x14ac:dyDescent="0.35">
      <c r="A994" t="s">
        <v>1383</v>
      </c>
      <c r="B994" s="3">
        <v>45787</v>
      </c>
      <c r="C994" t="s">
        <v>13</v>
      </c>
      <c r="D994" t="s">
        <v>309</v>
      </c>
      <c r="E994" t="s">
        <v>394</v>
      </c>
      <c r="F994">
        <v>1</v>
      </c>
      <c r="G994" s="6">
        <v>30177</v>
      </c>
      <c r="H994">
        <f>COUNTBLANK(Sales_Data[[#This Row],[Revenue]])</f>
        <v>0</v>
      </c>
      <c r="I994">
        <f>COUNTBLANK(Sales_Data[[#This Row],[Quantity]])</f>
        <v>0</v>
      </c>
      <c r="J994" t="str">
        <f>TEXT(Sales_Data[[#This Row],[Date]],"yyyy-mm")</f>
        <v>2025-05</v>
      </c>
    </row>
    <row r="995" spans="1:10" x14ac:dyDescent="0.35">
      <c r="A995" t="s">
        <v>1384</v>
      </c>
      <c r="B995" s="3">
        <v>45929</v>
      </c>
      <c r="C995" t="s">
        <v>41</v>
      </c>
      <c r="D995" t="s">
        <v>301</v>
      </c>
      <c r="E995" t="s">
        <v>391</v>
      </c>
      <c r="F995">
        <v>8</v>
      </c>
      <c r="G995" s="6">
        <v>170096</v>
      </c>
      <c r="H995">
        <f>COUNTBLANK(Sales_Data[[#This Row],[Revenue]])</f>
        <v>0</v>
      </c>
      <c r="I995">
        <f>COUNTBLANK(Sales_Data[[#This Row],[Quantity]])</f>
        <v>0</v>
      </c>
      <c r="J995" t="str">
        <f>TEXT(Sales_Data[[#This Row],[Date]],"yyyy-mm")</f>
        <v>2025-09</v>
      </c>
    </row>
    <row r="996" spans="1:10" x14ac:dyDescent="0.35">
      <c r="A996" t="s">
        <v>1385</v>
      </c>
      <c r="B996" s="3">
        <v>45718</v>
      </c>
      <c r="C996" t="s">
        <v>35</v>
      </c>
      <c r="D996" t="s">
        <v>293</v>
      </c>
      <c r="E996" t="s">
        <v>403</v>
      </c>
      <c r="F996">
        <v>6</v>
      </c>
      <c r="G996" s="6">
        <v>296760</v>
      </c>
      <c r="H996">
        <f>COUNTBLANK(Sales_Data[[#This Row],[Revenue]])</f>
        <v>0</v>
      </c>
      <c r="I996">
        <f>COUNTBLANK(Sales_Data[[#This Row],[Quantity]])</f>
        <v>0</v>
      </c>
      <c r="J996" t="str">
        <f>TEXT(Sales_Data[[#This Row],[Date]],"yyyy-mm")</f>
        <v>2025-03</v>
      </c>
    </row>
    <row r="997" spans="1:10" x14ac:dyDescent="0.35">
      <c r="A997" t="s">
        <v>1386</v>
      </c>
      <c r="B997" s="3">
        <v>45951</v>
      </c>
      <c r="C997" t="s">
        <v>59</v>
      </c>
      <c r="D997" t="s">
        <v>229</v>
      </c>
      <c r="E997" t="s">
        <v>391</v>
      </c>
      <c r="F997">
        <v>1</v>
      </c>
      <c r="G997" s="6">
        <v>48106</v>
      </c>
      <c r="H997">
        <f>COUNTBLANK(Sales_Data[[#This Row],[Revenue]])</f>
        <v>0</v>
      </c>
      <c r="I997">
        <f>COUNTBLANK(Sales_Data[[#This Row],[Quantity]])</f>
        <v>0</v>
      </c>
      <c r="J997" t="str">
        <f>TEXT(Sales_Data[[#This Row],[Date]],"yyyy-mm")</f>
        <v>2025-10</v>
      </c>
    </row>
    <row r="998" spans="1:10" x14ac:dyDescent="0.35">
      <c r="A998" t="s">
        <v>1387</v>
      </c>
      <c r="B998" s="3">
        <v>45737</v>
      </c>
      <c r="C998" t="s">
        <v>57</v>
      </c>
      <c r="D998" t="s">
        <v>293</v>
      </c>
      <c r="E998" t="s">
        <v>394</v>
      </c>
      <c r="F998">
        <v>7</v>
      </c>
      <c r="G998" s="6">
        <v>341523</v>
      </c>
      <c r="H998">
        <f>COUNTBLANK(Sales_Data[[#This Row],[Revenue]])</f>
        <v>0</v>
      </c>
      <c r="I998">
        <f>COUNTBLANK(Sales_Data[[#This Row],[Quantity]])</f>
        <v>0</v>
      </c>
      <c r="J998" t="str">
        <f>TEXT(Sales_Data[[#This Row],[Date]],"yyyy-mm")</f>
        <v>2025-03</v>
      </c>
    </row>
    <row r="999" spans="1:10" x14ac:dyDescent="0.35">
      <c r="A999" t="s">
        <v>1388</v>
      </c>
      <c r="B999" s="3">
        <v>45914</v>
      </c>
      <c r="C999" t="s">
        <v>10</v>
      </c>
      <c r="D999" t="s">
        <v>81</v>
      </c>
      <c r="E999" t="s">
        <v>389</v>
      </c>
      <c r="F999">
        <v>3</v>
      </c>
      <c r="G999" s="6">
        <v>13548</v>
      </c>
      <c r="H999">
        <f>COUNTBLANK(Sales_Data[[#This Row],[Revenue]])</f>
        <v>0</v>
      </c>
      <c r="I999">
        <f>COUNTBLANK(Sales_Data[[#This Row],[Quantity]])</f>
        <v>0</v>
      </c>
      <c r="J999" t="str">
        <f>TEXT(Sales_Data[[#This Row],[Date]],"yyyy-mm")</f>
        <v>2025-09</v>
      </c>
    </row>
    <row r="1000" spans="1:10" x14ac:dyDescent="0.35">
      <c r="A1000" t="s">
        <v>1389</v>
      </c>
      <c r="B1000" s="3">
        <v>45846</v>
      </c>
      <c r="C1000" t="s">
        <v>53</v>
      </c>
      <c r="D1000" t="s">
        <v>74</v>
      </c>
      <c r="E1000" t="s">
        <v>403</v>
      </c>
      <c r="F1000">
        <v>10</v>
      </c>
      <c r="G1000" s="6">
        <v>42080</v>
      </c>
      <c r="H1000">
        <f>COUNTBLANK(Sales_Data[[#This Row],[Revenue]])</f>
        <v>0</v>
      </c>
      <c r="I1000">
        <f>COUNTBLANK(Sales_Data[[#This Row],[Quantity]])</f>
        <v>0</v>
      </c>
      <c r="J1000" t="str">
        <f>TEXT(Sales_Data[[#This Row],[Date]],"yyyy-mm")</f>
        <v>2025-07</v>
      </c>
    </row>
    <row r="1001" spans="1:10" x14ac:dyDescent="0.35">
      <c r="A1001" t="s">
        <v>1390</v>
      </c>
      <c r="B1001" s="3">
        <v>45663</v>
      </c>
      <c r="C1001" t="s">
        <v>16</v>
      </c>
      <c r="D1001" t="s">
        <v>243</v>
      </c>
      <c r="E1001" t="s">
        <v>387</v>
      </c>
      <c r="F1001">
        <v>8</v>
      </c>
      <c r="G1001" s="6">
        <v>255696</v>
      </c>
      <c r="H1001">
        <f>COUNTBLANK(Sales_Data[[#This Row],[Revenue]])</f>
        <v>0</v>
      </c>
      <c r="I1001">
        <f>COUNTBLANK(Sales_Data[[#This Row],[Quantity]])</f>
        <v>0</v>
      </c>
      <c r="J1001" t="str">
        <f>TEXT(Sales_Data[[#This Row],[Date]],"yyyy-mm")</f>
        <v>2025-01</v>
      </c>
    </row>
    <row r="1002" spans="1:10" x14ac:dyDescent="0.35">
      <c r="A1002" t="s">
        <v>1391</v>
      </c>
      <c r="B1002" s="3">
        <v>45795</v>
      </c>
      <c r="C1002" t="s">
        <v>10</v>
      </c>
      <c r="D1002" t="s">
        <v>333</v>
      </c>
      <c r="E1002" t="s">
        <v>387</v>
      </c>
      <c r="F1002">
        <v>4</v>
      </c>
      <c r="G1002" s="6">
        <v>18064</v>
      </c>
      <c r="H1002">
        <f>COUNTBLANK(Sales_Data[[#This Row],[Revenue]])</f>
        <v>0</v>
      </c>
      <c r="I1002">
        <f>COUNTBLANK(Sales_Data[[#This Row],[Quantity]])</f>
        <v>0</v>
      </c>
      <c r="J1002" t="str">
        <f>TEXT(Sales_Data[[#This Row],[Date]],"yyyy-mm")</f>
        <v>2025-05</v>
      </c>
    </row>
    <row r="1003" spans="1:10" x14ac:dyDescent="0.35">
      <c r="A1003" t="s">
        <v>1392</v>
      </c>
      <c r="B1003" s="3">
        <v>45847</v>
      </c>
      <c r="C1003" t="s">
        <v>39</v>
      </c>
      <c r="D1003" t="s">
        <v>211</v>
      </c>
      <c r="E1003" t="s">
        <v>391</v>
      </c>
      <c r="F1003">
        <v>6</v>
      </c>
      <c r="G1003" s="6">
        <v>289728</v>
      </c>
      <c r="H1003">
        <f>COUNTBLANK(Sales_Data[[#This Row],[Revenue]])</f>
        <v>0</v>
      </c>
      <c r="I1003">
        <f>COUNTBLANK(Sales_Data[[#This Row],[Quantity]])</f>
        <v>0</v>
      </c>
      <c r="J1003" t="str">
        <f>TEXT(Sales_Data[[#This Row],[Date]],"yyyy-mm")</f>
        <v>2025-07</v>
      </c>
    </row>
    <row r="1004" spans="1:10" x14ac:dyDescent="0.35">
      <c r="A1004" t="s">
        <v>1393</v>
      </c>
      <c r="B1004" s="3">
        <v>46005</v>
      </c>
      <c r="C1004" t="s">
        <v>67</v>
      </c>
      <c r="D1004" t="s">
        <v>323</v>
      </c>
      <c r="E1004" t="s">
        <v>389</v>
      </c>
      <c r="F1004">
        <v>4</v>
      </c>
      <c r="G1004" s="6">
        <v>86464</v>
      </c>
      <c r="H1004">
        <f>COUNTBLANK(Sales_Data[[#This Row],[Revenue]])</f>
        <v>0</v>
      </c>
      <c r="I1004">
        <f>COUNTBLANK(Sales_Data[[#This Row],[Quantity]])</f>
        <v>0</v>
      </c>
      <c r="J1004" t="str">
        <f>TEXT(Sales_Data[[#This Row],[Date]],"yyyy-mm")</f>
        <v>2025-12</v>
      </c>
    </row>
    <row r="1005" spans="1:10" x14ac:dyDescent="0.35">
      <c r="A1005" t="s">
        <v>1394</v>
      </c>
      <c r="B1005" s="3">
        <v>45690</v>
      </c>
      <c r="C1005" t="s">
        <v>4</v>
      </c>
      <c r="D1005" t="s">
        <v>255</v>
      </c>
      <c r="E1005" t="s">
        <v>391</v>
      </c>
      <c r="F1005">
        <v>5</v>
      </c>
      <c r="G1005" s="6">
        <v>59075</v>
      </c>
      <c r="H1005">
        <f>COUNTBLANK(Sales_Data[[#This Row],[Revenue]])</f>
        <v>0</v>
      </c>
      <c r="I1005">
        <f>COUNTBLANK(Sales_Data[[#This Row],[Quantity]])</f>
        <v>0</v>
      </c>
      <c r="J1005" t="str">
        <f>TEXT(Sales_Data[[#This Row],[Date]],"yyyy-mm")</f>
        <v>2025-02</v>
      </c>
    </row>
    <row r="1006" spans="1:10" x14ac:dyDescent="0.35">
      <c r="A1006" t="s">
        <v>1395</v>
      </c>
      <c r="B1006" s="3">
        <v>45828</v>
      </c>
      <c r="C1006" t="s">
        <v>55</v>
      </c>
      <c r="D1006" t="s">
        <v>88</v>
      </c>
      <c r="E1006" t="s">
        <v>394</v>
      </c>
      <c r="F1006">
        <v>6</v>
      </c>
      <c r="G1006" s="6">
        <v>68490</v>
      </c>
      <c r="H1006">
        <f>COUNTBLANK(Sales_Data[[#This Row],[Revenue]])</f>
        <v>0</v>
      </c>
      <c r="I1006">
        <f>COUNTBLANK(Sales_Data[[#This Row],[Quantity]])</f>
        <v>0</v>
      </c>
      <c r="J1006" t="str">
        <f>TEXT(Sales_Data[[#This Row],[Date]],"yyyy-mm")</f>
        <v>2025-06</v>
      </c>
    </row>
    <row r="1007" spans="1:10" x14ac:dyDescent="0.35">
      <c r="A1007" t="s">
        <v>1396</v>
      </c>
      <c r="B1007" s="3">
        <v>45911</v>
      </c>
      <c r="C1007" t="s">
        <v>19</v>
      </c>
      <c r="D1007" t="s">
        <v>267</v>
      </c>
      <c r="E1007" t="s">
        <v>387</v>
      </c>
      <c r="F1007">
        <v>6</v>
      </c>
      <c r="G1007" s="6">
        <v>252954</v>
      </c>
      <c r="H1007">
        <f>COUNTBLANK(Sales_Data[[#This Row],[Revenue]])</f>
        <v>0</v>
      </c>
      <c r="I1007">
        <f>COUNTBLANK(Sales_Data[[#This Row],[Quantity]])</f>
        <v>0</v>
      </c>
      <c r="J1007" t="str">
        <f>TEXT(Sales_Data[[#This Row],[Date]],"yyyy-mm")</f>
        <v>2025-09</v>
      </c>
    </row>
    <row r="1008" spans="1:10" x14ac:dyDescent="0.35">
      <c r="A1008" t="s">
        <v>1397</v>
      </c>
      <c r="B1008" s="3">
        <v>45721</v>
      </c>
      <c r="C1008" t="s">
        <v>67</v>
      </c>
      <c r="D1008" t="s">
        <v>267</v>
      </c>
      <c r="E1008" t="s">
        <v>387</v>
      </c>
      <c r="F1008">
        <v>8</v>
      </c>
      <c r="G1008" s="6">
        <v>172928</v>
      </c>
      <c r="H1008">
        <f>COUNTBLANK(Sales_Data[[#This Row],[Revenue]])</f>
        <v>0</v>
      </c>
      <c r="I1008">
        <f>COUNTBLANK(Sales_Data[[#This Row],[Quantity]])</f>
        <v>0</v>
      </c>
      <c r="J1008" t="str">
        <f>TEXT(Sales_Data[[#This Row],[Date]],"yyyy-mm")</f>
        <v>2025-03</v>
      </c>
    </row>
    <row r="1009" spans="1:10" x14ac:dyDescent="0.35">
      <c r="A1009" t="s">
        <v>1398</v>
      </c>
      <c r="B1009" s="3">
        <v>45763</v>
      </c>
      <c r="C1009" t="s">
        <v>21</v>
      </c>
      <c r="D1009" t="s">
        <v>295</v>
      </c>
      <c r="E1009" t="s">
        <v>387</v>
      </c>
      <c r="F1009">
        <v>2</v>
      </c>
      <c r="G1009" s="6">
        <v>30418</v>
      </c>
      <c r="H1009">
        <f>COUNTBLANK(Sales_Data[[#This Row],[Revenue]])</f>
        <v>0</v>
      </c>
      <c r="I1009">
        <f>COUNTBLANK(Sales_Data[[#This Row],[Quantity]])</f>
        <v>0</v>
      </c>
      <c r="J1009" t="str">
        <f>TEXT(Sales_Data[[#This Row],[Date]],"yyyy-mm")</f>
        <v>2025-04</v>
      </c>
    </row>
    <row r="1010" spans="1:10" x14ac:dyDescent="0.35">
      <c r="A1010" t="s">
        <v>1399</v>
      </c>
      <c r="B1010" s="3">
        <v>45972</v>
      </c>
      <c r="C1010" t="s">
        <v>55</v>
      </c>
      <c r="D1010" t="s">
        <v>325</v>
      </c>
      <c r="E1010" t="s">
        <v>394</v>
      </c>
      <c r="F1010">
        <v>7</v>
      </c>
      <c r="G1010" s="6">
        <v>79905</v>
      </c>
      <c r="H1010">
        <f>COUNTBLANK(Sales_Data[[#This Row],[Revenue]])</f>
        <v>0</v>
      </c>
      <c r="I1010">
        <f>COUNTBLANK(Sales_Data[[#This Row],[Quantity]])</f>
        <v>0</v>
      </c>
      <c r="J1010" t="str">
        <f>TEXT(Sales_Data[[#This Row],[Date]],"yyyy-mm")</f>
        <v>2025-11</v>
      </c>
    </row>
    <row r="1011" spans="1:10" x14ac:dyDescent="0.35">
      <c r="A1011" t="s">
        <v>1400</v>
      </c>
      <c r="B1011" s="3">
        <v>45793</v>
      </c>
      <c r="C1011" t="s">
        <v>63</v>
      </c>
      <c r="D1011" t="s">
        <v>227</v>
      </c>
      <c r="E1011" t="s">
        <v>387</v>
      </c>
      <c r="F1011">
        <v>3</v>
      </c>
      <c r="G1011" s="6">
        <v>26304</v>
      </c>
      <c r="H1011">
        <f>COUNTBLANK(Sales_Data[[#This Row],[Revenue]])</f>
        <v>0</v>
      </c>
      <c r="I1011">
        <f>COUNTBLANK(Sales_Data[[#This Row],[Quantity]])</f>
        <v>0</v>
      </c>
      <c r="J1011" t="str">
        <f>TEXT(Sales_Data[[#This Row],[Date]],"yyyy-mm")</f>
        <v>2025-05</v>
      </c>
    </row>
    <row r="1012" spans="1:10" x14ac:dyDescent="0.35">
      <c r="A1012" t="s">
        <v>1401</v>
      </c>
      <c r="B1012" s="3">
        <v>46006</v>
      </c>
      <c r="C1012" t="s">
        <v>7</v>
      </c>
      <c r="D1012" t="s">
        <v>297</v>
      </c>
      <c r="E1012" t="s">
        <v>394</v>
      </c>
      <c r="F1012">
        <v>3</v>
      </c>
      <c r="G1012" s="6">
        <v>78399</v>
      </c>
      <c r="H1012">
        <f>COUNTBLANK(Sales_Data[[#This Row],[Revenue]])</f>
        <v>0</v>
      </c>
      <c r="I1012">
        <f>COUNTBLANK(Sales_Data[[#This Row],[Quantity]])</f>
        <v>0</v>
      </c>
      <c r="J1012" t="str">
        <f>TEXT(Sales_Data[[#This Row],[Date]],"yyyy-mm")</f>
        <v>2025-12</v>
      </c>
    </row>
    <row r="1013" spans="1:10" x14ac:dyDescent="0.35">
      <c r="A1013" t="s">
        <v>1402</v>
      </c>
      <c r="B1013" s="3">
        <v>45707</v>
      </c>
      <c r="C1013" t="s">
        <v>47</v>
      </c>
      <c r="D1013" t="s">
        <v>225</v>
      </c>
      <c r="E1013" t="s">
        <v>391</v>
      </c>
      <c r="F1013">
        <v>7</v>
      </c>
      <c r="G1013" s="6">
        <v>154434</v>
      </c>
      <c r="H1013">
        <f>COUNTBLANK(Sales_Data[[#This Row],[Revenue]])</f>
        <v>0</v>
      </c>
      <c r="I1013">
        <f>COUNTBLANK(Sales_Data[[#This Row],[Quantity]])</f>
        <v>0</v>
      </c>
      <c r="J1013" t="str">
        <f>TEXT(Sales_Data[[#This Row],[Date]],"yyyy-mm")</f>
        <v>2025-02</v>
      </c>
    </row>
    <row r="1014" spans="1:10" x14ac:dyDescent="0.35">
      <c r="A1014" t="s">
        <v>1403</v>
      </c>
      <c r="B1014" s="3">
        <v>45689</v>
      </c>
      <c r="C1014" t="s">
        <v>53</v>
      </c>
      <c r="D1014" t="s">
        <v>311</v>
      </c>
      <c r="E1014" t="s">
        <v>391</v>
      </c>
      <c r="F1014">
        <v>10</v>
      </c>
      <c r="G1014" s="6">
        <v>42080</v>
      </c>
      <c r="H1014">
        <f>COUNTBLANK(Sales_Data[[#This Row],[Revenue]])</f>
        <v>0</v>
      </c>
      <c r="I1014">
        <f>COUNTBLANK(Sales_Data[[#This Row],[Quantity]])</f>
        <v>0</v>
      </c>
      <c r="J1014" t="str">
        <f>TEXT(Sales_Data[[#This Row],[Date]],"yyyy-mm")</f>
        <v>2025-02</v>
      </c>
    </row>
    <row r="1015" spans="1:10" x14ac:dyDescent="0.35">
      <c r="A1015" t="s">
        <v>1404</v>
      </c>
      <c r="B1015" s="3">
        <v>45678</v>
      </c>
      <c r="C1015" t="s">
        <v>23</v>
      </c>
      <c r="D1015" t="s">
        <v>215</v>
      </c>
      <c r="E1015" t="s">
        <v>387</v>
      </c>
      <c r="F1015">
        <v>8</v>
      </c>
      <c r="G1015" s="6">
        <v>48552</v>
      </c>
      <c r="H1015">
        <f>COUNTBLANK(Sales_Data[[#This Row],[Revenue]])</f>
        <v>0</v>
      </c>
      <c r="I1015">
        <f>COUNTBLANK(Sales_Data[[#This Row],[Quantity]])</f>
        <v>0</v>
      </c>
      <c r="J1015" t="str">
        <f>TEXT(Sales_Data[[#This Row],[Date]],"yyyy-mm")</f>
        <v>2025-01</v>
      </c>
    </row>
    <row r="1016" spans="1:10" x14ac:dyDescent="0.35">
      <c r="A1016" t="s">
        <v>1405</v>
      </c>
      <c r="B1016" s="3">
        <v>45673</v>
      </c>
      <c r="C1016" t="s">
        <v>10</v>
      </c>
      <c r="D1016" t="s">
        <v>161</v>
      </c>
      <c r="E1016" t="s">
        <v>389</v>
      </c>
      <c r="F1016">
        <v>4</v>
      </c>
      <c r="G1016" s="6">
        <v>18064</v>
      </c>
      <c r="H1016">
        <f>COUNTBLANK(Sales_Data[[#This Row],[Revenue]])</f>
        <v>0</v>
      </c>
      <c r="I1016">
        <f>COUNTBLANK(Sales_Data[[#This Row],[Quantity]])</f>
        <v>0</v>
      </c>
      <c r="J1016" t="str">
        <f>TEXT(Sales_Data[[#This Row],[Date]],"yyyy-mm")</f>
        <v>2025-01</v>
      </c>
    </row>
    <row r="1017" spans="1:10" x14ac:dyDescent="0.35">
      <c r="A1017" t="s">
        <v>1406</v>
      </c>
      <c r="B1017" s="3">
        <v>45845</v>
      </c>
      <c r="C1017" t="s">
        <v>41</v>
      </c>
      <c r="D1017" t="s">
        <v>105</v>
      </c>
      <c r="E1017" t="s">
        <v>387</v>
      </c>
      <c r="F1017">
        <v>9</v>
      </c>
      <c r="G1017" s="6">
        <v>191358</v>
      </c>
      <c r="H1017">
        <f>COUNTBLANK(Sales_Data[[#This Row],[Revenue]])</f>
        <v>0</v>
      </c>
      <c r="I1017">
        <f>COUNTBLANK(Sales_Data[[#This Row],[Quantity]])</f>
        <v>0</v>
      </c>
      <c r="J1017" t="str">
        <f>TEXT(Sales_Data[[#This Row],[Date]],"yyyy-mm")</f>
        <v>2025-07</v>
      </c>
    </row>
    <row r="1018" spans="1:10" x14ac:dyDescent="0.35">
      <c r="A1018" t="s">
        <v>1407</v>
      </c>
      <c r="B1018" s="3">
        <v>45774</v>
      </c>
      <c r="C1018" t="s">
        <v>53</v>
      </c>
      <c r="D1018" t="s">
        <v>163</v>
      </c>
      <c r="E1018" t="s">
        <v>394</v>
      </c>
      <c r="F1018">
        <v>5</v>
      </c>
      <c r="G1018" s="6">
        <v>21040</v>
      </c>
      <c r="H1018">
        <f>COUNTBLANK(Sales_Data[[#This Row],[Revenue]])</f>
        <v>0</v>
      </c>
      <c r="I1018">
        <f>COUNTBLANK(Sales_Data[[#This Row],[Quantity]])</f>
        <v>0</v>
      </c>
      <c r="J1018" t="str">
        <f>TEXT(Sales_Data[[#This Row],[Date]],"yyyy-mm")</f>
        <v>2025-04</v>
      </c>
    </row>
    <row r="1019" spans="1:10" x14ac:dyDescent="0.35">
      <c r="A1019" t="s">
        <v>1408</v>
      </c>
      <c r="B1019" s="3">
        <v>45707</v>
      </c>
      <c r="C1019" t="s">
        <v>27</v>
      </c>
      <c r="D1019" t="s">
        <v>269</v>
      </c>
      <c r="E1019" t="s">
        <v>391</v>
      </c>
      <c r="F1019">
        <v>10</v>
      </c>
      <c r="G1019" s="6">
        <v>376840</v>
      </c>
      <c r="H1019">
        <f>COUNTBLANK(Sales_Data[[#This Row],[Revenue]])</f>
        <v>0</v>
      </c>
      <c r="I1019">
        <f>COUNTBLANK(Sales_Data[[#This Row],[Quantity]])</f>
        <v>0</v>
      </c>
      <c r="J1019" t="str">
        <f>TEXT(Sales_Data[[#This Row],[Date]],"yyyy-mm")</f>
        <v>2025-02</v>
      </c>
    </row>
    <row r="1020" spans="1:10" x14ac:dyDescent="0.35">
      <c r="A1020" t="s">
        <v>1409</v>
      </c>
      <c r="B1020" s="3">
        <v>45701</v>
      </c>
      <c r="C1020" t="s">
        <v>37</v>
      </c>
      <c r="D1020" t="s">
        <v>199</v>
      </c>
      <c r="E1020" t="s">
        <v>387</v>
      </c>
      <c r="F1020">
        <v>10</v>
      </c>
      <c r="G1020" s="6">
        <v>19530</v>
      </c>
      <c r="H1020">
        <f>COUNTBLANK(Sales_Data[[#This Row],[Revenue]])</f>
        <v>0</v>
      </c>
      <c r="I1020">
        <f>COUNTBLANK(Sales_Data[[#This Row],[Quantity]])</f>
        <v>0</v>
      </c>
      <c r="J1020" t="str">
        <f>TEXT(Sales_Data[[#This Row],[Date]],"yyyy-mm")</f>
        <v>2025-02</v>
      </c>
    </row>
    <row r="1021" spans="1:10" x14ac:dyDescent="0.35">
      <c r="A1021" t="s">
        <v>1410</v>
      </c>
      <c r="B1021" s="3">
        <v>46007</v>
      </c>
      <c r="C1021" t="s">
        <v>10</v>
      </c>
      <c r="D1021" t="s">
        <v>253</v>
      </c>
      <c r="E1021" t="s">
        <v>387</v>
      </c>
      <c r="F1021">
        <v>8</v>
      </c>
      <c r="G1021" s="6">
        <v>36128</v>
      </c>
      <c r="H1021">
        <f>COUNTBLANK(Sales_Data[[#This Row],[Revenue]])</f>
        <v>0</v>
      </c>
      <c r="I1021">
        <f>COUNTBLANK(Sales_Data[[#This Row],[Quantity]])</f>
        <v>0</v>
      </c>
      <c r="J1021" t="str">
        <f>TEXT(Sales_Data[[#This Row],[Date]],"yyyy-mm")</f>
        <v>2025-12</v>
      </c>
    </row>
    <row r="1022" spans="1:10" x14ac:dyDescent="0.35">
      <c r="A1022" t="s">
        <v>1411</v>
      </c>
      <c r="B1022" s="3">
        <v>45908</v>
      </c>
      <c r="C1022" t="s">
        <v>57</v>
      </c>
      <c r="D1022" t="s">
        <v>211</v>
      </c>
      <c r="E1022" t="s">
        <v>387</v>
      </c>
      <c r="F1022">
        <v>8</v>
      </c>
      <c r="G1022" s="6">
        <v>390312</v>
      </c>
      <c r="H1022">
        <f>COUNTBLANK(Sales_Data[[#This Row],[Revenue]])</f>
        <v>0</v>
      </c>
      <c r="I1022">
        <f>COUNTBLANK(Sales_Data[[#This Row],[Quantity]])</f>
        <v>0</v>
      </c>
      <c r="J1022" t="str">
        <f>TEXT(Sales_Data[[#This Row],[Date]],"yyyy-mm")</f>
        <v>2025-09</v>
      </c>
    </row>
    <row r="1023" spans="1:10" x14ac:dyDescent="0.35">
      <c r="A1023" t="s">
        <v>1412</v>
      </c>
      <c r="B1023" s="3">
        <v>45858</v>
      </c>
      <c r="C1023" t="s">
        <v>63</v>
      </c>
      <c r="D1023" t="s">
        <v>185</v>
      </c>
      <c r="E1023" t="s">
        <v>394</v>
      </c>
      <c r="F1023">
        <v>4</v>
      </c>
      <c r="G1023" s="6">
        <v>35072</v>
      </c>
      <c r="H1023">
        <f>COUNTBLANK(Sales_Data[[#This Row],[Revenue]])</f>
        <v>0</v>
      </c>
      <c r="I1023">
        <f>COUNTBLANK(Sales_Data[[#This Row],[Quantity]])</f>
        <v>0</v>
      </c>
      <c r="J1023" t="str">
        <f>TEXT(Sales_Data[[#This Row],[Date]],"yyyy-mm")</f>
        <v>2025-07</v>
      </c>
    </row>
    <row r="1024" spans="1:10" x14ac:dyDescent="0.35">
      <c r="A1024" t="s">
        <v>1413</v>
      </c>
      <c r="B1024" s="3">
        <v>45833</v>
      </c>
      <c r="C1024" t="s">
        <v>39</v>
      </c>
      <c r="D1024" t="s">
        <v>325</v>
      </c>
      <c r="E1024" t="s">
        <v>391</v>
      </c>
      <c r="F1024">
        <v>5</v>
      </c>
      <c r="G1024" s="6">
        <v>241440</v>
      </c>
      <c r="H1024">
        <f>COUNTBLANK(Sales_Data[[#This Row],[Revenue]])</f>
        <v>0</v>
      </c>
      <c r="I1024">
        <f>COUNTBLANK(Sales_Data[[#This Row],[Quantity]])</f>
        <v>0</v>
      </c>
      <c r="J1024" t="str">
        <f>TEXT(Sales_Data[[#This Row],[Date]],"yyyy-mm")</f>
        <v>2025-06</v>
      </c>
    </row>
    <row r="1025" spans="1:10" x14ac:dyDescent="0.35">
      <c r="A1025" t="s">
        <v>1414</v>
      </c>
      <c r="B1025" s="3">
        <v>45901</v>
      </c>
      <c r="C1025" t="s">
        <v>35</v>
      </c>
      <c r="D1025" t="s">
        <v>285</v>
      </c>
      <c r="E1025" t="s">
        <v>389</v>
      </c>
      <c r="F1025">
        <v>7</v>
      </c>
      <c r="G1025" s="6">
        <v>346220</v>
      </c>
      <c r="H1025">
        <f>COUNTBLANK(Sales_Data[[#This Row],[Revenue]])</f>
        <v>0</v>
      </c>
      <c r="I1025">
        <f>COUNTBLANK(Sales_Data[[#This Row],[Quantity]])</f>
        <v>0</v>
      </c>
      <c r="J1025" t="str">
        <f>TEXT(Sales_Data[[#This Row],[Date]],"yyyy-mm")</f>
        <v>2025-09</v>
      </c>
    </row>
    <row r="1026" spans="1:10" x14ac:dyDescent="0.35">
      <c r="A1026" t="s">
        <v>1415</v>
      </c>
      <c r="B1026" s="3">
        <v>45741</v>
      </c>
      <c r="C1026" t="s">
        <v>67</v>
      </c>
      <c r="D1026" t="s">
        <v>117</v>
      </c>
      <c r="E1026" t="s">
        <v>387</v>
      </c>
      <c r="F1026">
        <v>4</v>
      </c>
      <c r="G1026" s="6">
        <v>86464</v>
      </c>
      <c r="H1026">
        <f>COUNTBLANK(Sales_Data[[#This Row],[Revenue]])</f>
        <v>0</v>
      </c>
      <c r="I1026">
        <f>COUNTBLANK(Sales_Data[[#This Row],[Quantity]])</f>
        <v>0</v>
      </c>
      <c r="J1026" t="str">
        <f>TEXT(Sales_Data[[#This Row],[Date]],"yyyy-mm")</f>
        <v>2025-03</v>
      </c>
    </row>
    <row r="1027" spans="1:10" x14ac:dyDescent="0.35">
      <c r="A1027" t="s">
        <v>1416</v>
      </c>
      <c r="B1027" s="3">
        <v>45664</v>
      </c>
      <c r="C1027" t="s">
        <v>39</v>
      </c>
      <c r="D1027" t="s">
        <v>339</v>
      </c>
      <c r="E1027" t="s">
        <v>403</v>
      </c>
      <c r="F1027">
        <v>6</v>
      </c>
      <c r="G1027" s="6">
        <v>289728</v>
      </c>
      <c r="H1027">
        <f>COUNTBLANK(Sales_Data[[#This Row],[Revenue]])</f>
        <v>0</v>
      </c>
      <c r="I1027">
        <f>COUNTBLANK(Sales_Data[[#This Row],[Quantity]])</f>
        <v>0</v>
      </c>
      <c r="J1027" t="str">
        <f>TEXT(Sales_Data[[#This Row],[Date]],"yyyy-mm")</f>
        <v>2025-01</v>
      </c>
    </row>
    <row r="1028" spans="1:10" x14ac:dyDescent="0.35">
      <c r="A1028" t="s">
        <v>1417</v>
      </c>
      <c r="B1028" s="3">
        <v>45716</v>
      </c>
      <c r="C1028" t="s">
        <v>31</v>
      </c>
      <c r="D1028" t="s">
        <v>84</v>
      </c>
      <c r="E1028" t="s">
        <v>387</v>
      </c>
      <c r="F1028">
        <v>4</v>
      </c>
      <c r="G1028" s="6">
        <v>119864</v>
      </c>
      <c r="H1028">
        <f>COUNTBLANK(Sales_Data[[#This Row],[Revenue]])</f>
        <v>0</v>
      </c>
      <c r="I1028">
        <f>COUNTBLANK(Sales_Data[[#This Row],[Quantity]])</f>
        <v>0</v>
      </c>
      <c r="J1028" t="str">
        <f>TEXT(Sales_Data[[#This Row],[Date]],"yyyy-mm")</f>
        <v>2025-02</v>
      </c>
    </row>
    <row r="1029" spans="1:10" x14ac:dyDescent="0.35">
      <c r="A1029" t="s">
        <v>1418</v>
      </c>
      <c r="B1029" s="3">
        <v>45863</v>
      </c>
      <c r="C1029" t="s">
        <v>4</v>
      </c>
      <c r="D1029" t="s">
        <v>287</v>
      </c>
      <c r="E1029" t="s">
        <v>394</v>
      </c>
      <c r="F1029">
        <v>5</v>
      </c>
      <c r="G1029" s="6">
        <v>59075</v>
      </c>
      <c r="H1029">
        <f>COUNTBLANK(Sales_Data[[#This Row],[Revenue]])</f>
        <v>0</v>
      </c>
      <c r="I1029">
        <f>COUNTBLANK(Sales_Data[[#This Row],[Quantity]])</f>
        <v>0</v>
      </c>
      <c r="J1029" t="str">
        <f>TEXT(Sales_Data[[#This Row],[Date]],"yyyy-mm")</f>
        <v>2025-07</v>
      </c>
    </row>
    <row r="1030" spans="1:10" x14ac:dyDescent="0.35">
      <c r="A1030" t="s">
        <v>1419</v>
      </c>
      <c r="B1030" s="3">
        <v>45866</v>
      </c>
      <c r="C1030" t="s">
        <v>63</v>
      </c>
      <c r="D1030" t="s">
        <v>337</v>
      </c>
      <c r="E1030" t="s">
        <v>394</v>
      </c>
      <c r="F1030">
        <v>5</v>
      </c>
      <c r="G1030" s="6">
        <v>43840</v>
      </c>
      <c r="H1030">
        <f>COUNTBLANK(Sales_Data[[#This Row],[Revenue]])</f>
        <v>0</v>
      </c>
      <c r="I1030">
        <f>COUNTBLANK(Sales_Data[[#This Row],[Quantity]])</f>
        <v>0</v>
      </c>
      <c r="J1030" t="str">
        <f>TEXT(Sales_Data[[#This Row],[Date]],"yyyy-mm")</f>
        <v>2025-07</v>
      </c>
    </row>
    <row r="1031" spans="1:10" x14ac:dyDescent="0.35">
      <c r="A1031" t="s">
        <v>1420</v>
      </c>
      <c r="B1031" s="3">
        <v>45982</v>
      </c>
      <c r="C1031" t="s">
        <v>4</v>
      </c>
      <c r="D1031" t="s">
        <v>303</v>
      </c>
      <c r="E1031" t="s">
        <v>403</v>
      </c>
      <c r="F1031">
        <v>4</v>
      </c>
      <c r="G1031" s="6">
        <v>47260</v>
      </c>
      <c r="H1031">
        <f>COUNTBLANK(Sales_Data[[#This Row],[Revenue]])</f>
        <v>0</v>
      </c>
      <c r="I1031">
        <f>COUNTBLANK(Sales_Data[[#This Row],[Quantity]])</f>
        <v>0</v>
      </c>
      <c r="J1031" t="str">
        <f>TEXT(Sales_Data[[#This Row],[Date]],"yyyy-mm")</f>
        <v>2025-11</v>
      </c>
    </row>
    <row r="1032" spans="1:10" x14ac:dyDescent="0.35">
      <c r="A1032" t="s">
        <v>1421</v>
      </c>
      <c r="B1032" s="3">
        <v>45672</v>
      </c>
      <c r="C1032" t="s">
        <v>47</v>
      </c>
      <c r="D1032" t="s">
        <v>101</v>
      </c>
      <c r="E1032" t="s">
        <v>387</v>
      </c>
      <c r="F1032">
        <v>3</v>
      </c>
      <c r="G1032" s="6">
        <v>66186</v>
      </c>
      <c r="H1032">
        <f>COUNTBLANK(Sales_Data[[#This Row],[Revenue]])</f>
        <v>0</v>
      </c>
      <c r="I1032">
        <f>COUNTBLANK(Sales_Data[[#This Row],[Quantity]])</f>
        <v>0</v>
      </c>
      <c r="J1032" t="str">
        <f>TEXT(Sales_Data[[#This Row],[Date]],"yyyy-mm")</f>
        <v>2025-01</v>
      </c>
    </row>
    <row r="1033" spans="1:10" x14ac:dyDescent="0.35">
      <c r="A1033" t="s">
        <v>1422</v>
      </c>
      <c r="B1033" s="3">
        <v>45795</v>
      </c>
      <c r="C1033" t="s">
        <v>19</v>
      </c>
      <c r="D1033" t="s">
        <v>74</v>
      </c>
      <c r="E1033" t="s">
        <v>391</v>
      </c>
      <c r="F1033">
        <v>10</v>
      </c>
      <c r="G1033" s="6">
        <v>421590</v>
      </c>
      <c r="H1033">
        <f>COUNTBLANK(Sales_Data[[#This Row],[Revenue]])</f>
        <v>0</v>
      </c>
      <c r="I1033">
        <f>COUNTBLANK(Sales_Data[[#This Row],[Quantity]])</f>
        <v>0</v>
      </c>
      <c r="J1033" t="str">
        <f>TEXT(Sales_Data[[#This Row],[Date]],"yyyy-mm")</f>
        <v>2025-05</v>
      </c>
    </row>
    <row r="1034" spans="1:10" x14ac:dyDescent="0.35">
      <c r="A1034" t="s">
        <v>1423</v>
      </c>
      <c r="B1034" s="3">
        <v>45934</v>
      </c>
      <c r="C1034" t="s">
        <v>41</v>
      </c>
      <c r="D1034" t="s">
        <v>263</v>
      </c>
      <c r="E1034" t="s">
        <v>394</v>
      </c>
      <c r="F1034">
        <v>4</v>
      </c>
      <c r="G1034" s="6">
        <v>85048</v>
      </c>
      <c r="H1034">
        <f>COUNTBLANK(Sales_Data[[#This Row],[Revenue]])</f>
        <v>0</v>
      </c>
      <c r="I1034">
        <f>COUNTBLANK(Sales_Data[[#This Row],[Quantity]])</f>
        <v>0</v>
      </c>
      <c r="J1034" t="str">
        <f>TEXT(Sales_Data[[#This Row],[Date]],"yyyy-mm")</f>
        <v>2025-10</v>
      </c>
    </row>
    <row r="1035" spans="1:10" x14ac:dyDescent="0.35">
      <c r="A1035" t="s">
        <v>1424</v>
      </c>
      <c r="B1035" s="3">
        <v>45828</v>
      </c>
      <c r="C1035" t="s">
        <v>43</v>
      </c>
      <c r="D1035" t="s">
        <v>169</v>
      </c>
      <c r="E1035" t="s">
        <v>391</v>
      </c>
      <c r="F1035">
        <v>6</v>
      </c>
      <c r="G1035" s="6">
        <v>226950</v>
      </c>
      <c r="H1035">
        <f>COUNTBLANK(Sales_Data[[#This Row],[Revenue]])</f>
        <v>0</v>
      </c>
      <c r="I1035">
        <f>COUNTBLANK(Sales_Data[[#This Row],[Quantity]])</f>
        <v>0</v>
      </c>
      <c r="J1035" t="str">
        <f>TEXT(Sales_Data[[#This Row],[Date]],"yyyy-mm")</f>
        <v>2025-06</v>
      </c>
    </row>
    <row r="1036" spans="1:10" x14ac:dyDescent="0.35">
      <c r="A1036" t="s">
        <v>1425</v>
      </c>
      <c r="B1036" s="3">
        <v>45661</v>
      </c>
      <c r="C1036" t="s">
        <v>31</v>
      </c>
      <c r="D1036" t="s">
        <v>189</v>
      </c>
      <c r="E1036" t="s">
        <v>389</v>
      </c>
      <c r="F1036">
        <v>9</v>
      </c>
      <c r="G1036" s="6">
        <v>269694</v>
      </c>
      <c r="H1036">
        <f>COUNTBLANK(Sales_Data[[#This Row],[Revenue]])</f>
        <v>0</v>
      </c>
      <c r="I1036">
        <f>COUNTBLANK(Sales_Data[[#This Row],[Quantity]])</f>
        <v>0</v>
      </c>
      <c r="J1036" t="str">
        <f>TEXT(Sales_Data[[#This Row],[Date]],"yyyy-mm")</f>
        <v>2025-01</v>
      </c>
    </row>
    <row r="1037" spans="1:10" x14ac:dyDescent="0.35">
      <c r="A1037" t="s">
        <v>1426</v>
      </c>
      <c r="B1037" s="3">
        <v>45664</v>
      </c>
      <c r="C1037" t="s">
        <v>65</v>
      </c>
      <c r="D1037" t="s">
        <v>225</v>
      </c>
      <c r="E1037" t="s">
        <v>387</v>
      </c>
      <c r="F1037">
        <v>4</v>
      </c>
      <c r="G1037" s="6">
        <v>2180</v>
      </c>
      <c r="H1037">
        <f>COUNTBLANK(Sales_Data[[#This Row],[Revenue]])</f>
        <v>0</v>
      </c>
      <c r="I1037">
        <f>COUNTBLANK(Sales_Data[[#This Row],[Quantity]])</f>
        <v>0</v>
      </c>
      <c r="J1037" t="str">
        <f>TEXT(Sales_Data[[#This Row],[Date]],"yyyy-mm")</f>
        <v>2025-01</v>
      </c>
    </row>
    <row r="1038" spans="1:10" x14ac:dyDescent="0.35">
      <c r="A1038" t="s">
        <v>1427</v>
      </c>
      <c r="B1038" s="3">
        <v>45829</v>
      </c>
      <c r="C1038" t="s">
        <v>43</v>
      </c>
      <c r="D1038" t="s">
        <v>365</v>
      </c>
      <c r="E1038" t="s">
        <v>391</v>
      </c>
      <c r="F1038">
        <v>10</v>
      </c>
      <c r="G1038" s="6">
        <v>378250</v>
      </c>
      <c r="H1038">
        <f>COUNTBLANK(Sales_Data[[#This Row],[Revenue]])</f>
        <v>0</v>
      </c>
      <c r="I1038">
        <f>COUNTBLANK(Sales_Data[[#This Row],[Quantity]])</f>
        <v>0</v>
      </c>
      <c r="J1038" t="str">
        <f>TEXT(Sales_Data[[#This Row],[Date]],"yyyy-mm")</f>
        <v>2025-06</v>
      </c>
    </row>
    <row r="1039" spans="1:10" x14ac:dyDescent="0.35">
      <c r="A1039" t="s">
        <v>1428</v>
      </c>
      <c r="B1039" s="3">
        <v>45738</v>
      </c>
      <c r="C1039" t="s">
        <v>47</v>
      </c>
      <c r="D1039" t="s">
        <v>237</v>
      </c>
      <c r="E1039" t="s">
        <v>389</v>
      </c>
      <c r="F1039">
        <v>9</v>
      </c>
      <c r="G1039" s="6">
        <v>198558</v>
      </c>
      <c r="H1039">
        <f>COUNTBLANK(Sales_Data[[#This Row],[Revenue]])</f>
        <v>0</v>
      </c>
      <c r="I1039">
        <f>COUNTBLANK(Sales_Data[[#This Row],[Quantity]])</f>
        <v>0</v>
      </c>
      <c r="J1039" t="str">
        <f>TEXT(Sales_Data[[#This Row],[Date]],"yyyy-mm")</f>
        <v>2025-03</v>
      </c>
    </row>
    <row r="1040" spans="1:10" x14ac:dyDescent="0.35">
      <c r="A1040" t="s">
        <v>1429</v>
      </c>
      <c r="B1040" s="3">
        <v>45876</v>
      </c>
      <c r="C1040" t="s">
        <v>19</v>
      </c>
      <c r="D1040" t="s">
        <v>329</v>
      </c>
      <c r="E1040" t="s">
        <v>403</v>
      </c>
      <c r="F1040">
        <v>2</v>
      </c>
      <c r="G1040" s="6">
        <v>84318</v>
      </c>
      <c r="H1040">
        <f>COUNTBLANK(Sales_Data[[#This Row],[Revenue]])</f>
        <v>0</v>
      </c>
      <c r="I1040">
        <f>COUNTBLANK(Sales_Data[[#This Row],[Quantity]])</f>
        <v>0</v>
      </c>
      <c r="J1040" t="str">
        <f>TEXT(Sales_Data[[#This Row],[Date]],"yyyy-mm")</f>
        <v>2025-08</v>
      </c>
    </row>
    <row r="1041" spans="1:10" x14ac:dyDescent="0.35">
      <c r="A1041" t="s">
        <v>1430</v>
      </c>
      <c r="B1041" s="3">
        <v>45991</v>
      </c>
      <c r="C1041" t="s">
        <v>16</v>
      </c>
      <c r="D1041" t="s">
        <v>211</v>
      </c>
      <c r="E1041" t="s">
        <v>403</v>
      </c>
      <c r="F1041">
        <v>3</v>
      </c>
      <c r="G1041" s="6">
        <v>95886</v>
      </c>
      <c r="H1041">
        <f>COUNTBLANK(Sales_Data[[#This Row],[Revenue]])</f>
        <v>0</v>
      </c>
      <c r="I1041">
        <f>COUNTBLANK(Sales_Data[[#This Row],[Quantity]])</f>
        <v>0</v>
      </c>
      <c r="J1041" t="str">
        <f>TEXT(Sales_Data[[#This Row],[Date]],"yyyy-mm")</f>
        <v>2025-11</v>
      </c>
    </row>
    <row r="1042" spans="1:10" x14ac:dyDescent="0.35">
      <c r="A1042" t="s">
        <v>1431</v>
      </c>
      <c r="B1042" s="3">
        <v>45872</v>
      </c>
      <c r="C1042" t="s">
        <v>13</v>
      </c>
      <c r="D1042" t="s">
        <v>247</v>
      </c>
      <c r="E1042" t="s">
        <v>387</v>
      </c>
      <c r="F1042">
        <v>4</v>
      </c>
      <c r="G1042" s="6">
        <v>120708</v>
      </c>
      <c r="H1042">
        <f>COUNTBLANK(Sales_Data[[#This Row],[Revenue]])</f>
        <v>0</v>
      </c>
      <c r="I1042">
        <f>COUNTBLANK(Sales_Data[[#This Row],[Quantity]])</f>
        <v>0</v>
      </c>
      <c r="J1042" t="str">
        <f>TEXT(Sales_Data[[#This Row],[Date]],"yyyy-mm")</f>
        <v>2025-08</v>
      </c>
    </row>
    <row r="1043" spans="1:10" x14ac:dyDescent="0.35">
      <c r="A1043" t="s">
        <v>1432</v>
      </c>
      <c r="B1043" s="3">
        <v>45750</v>
      </c>
      <c r="C1043" t="s">
        <v>16</v>
      </c>
      <c r="D1043" t="s">
        <v>151</v>
      </c>
      <c r="E1043" t="s">
        <v>391</v>
      </c>
      <c r="F1043">
        <v>8</v>
      </c>
      <c r="G1043" s="6">
        <v>255696</v>
      </c>
      <c r="H1043">
        <f>COUNTBLANK(Sales_Data[[#This Row],[Revenue]])</f>
        <v>0</v>
      </c>
      <c r="I1043">
        <f>COUNTBLANK(Sales_Data[[#This Row],[Quantity]])</f>
        <v>0</v>
      </c>
      <c r="J1043" t="str">
        <f>TEXT(Sales_Data[[#This Row],[Date]],"yyyy-mm")</f>
        <v>2025-04</v>
      </c>
    </row>
    <row r="1044" spans="1:10" x14ac:dyDescent="0.35">
      <c r="A1044" t="s">
        <v>1433</v>
      </c>
      <c r="B1044" s="3">
        <v>46008</v>
      </c>
      <c r="C1044" t="s">
        <v>37</v>
      </c>
      <c r="D1044" t="s">
        <v>349</v>
      </c>
      <c r="E1044" t="s">
        <v>391</v>
      </c>
      <c r="F1044">
        <v>7</v>
      </c>
      <c r="G1044" s="6">
        <v>13671</v>
      </c>
      <c r="H1044">
        <f>COUNTBLANK(Sales_Data[[#This Row],[Revenue]])</f>
        <v>0</v>
      </c>
      <c r="I1044">
        <f>COUNTBLANK(Sales_Data[[#This Row],[Quantity]])</f>
        <v>0</v>
      </c>
      <c r="J1044" t="str">
        <f>TEXT(Sales_Data[[#This Row],[Date]],"yyyy-mm")</f>
        <v>2025-12</v>
      </c>
    </row>
    <row r="1045" spans="1:10" x14ac:dyDescent="0.35">
      <c r="A1045" t="s">
        <v>1434</v>
      </c>
      <c r="B1045" s="3">
        <v>45678</v>
      </c>
      <c r="C1045" t="s">
        <v>49</v>
      </c>
      <c r="D1045" t="s">
        <v>333</v>
      </c>
      <c r="E1045" t="s">
        <v>389</v>
      </c>
      <c r="F1045">
        <v>1</v>
      </c>
      <c r="G1045" s="6">
        <v>45514</v>
      </c>
      <c r="H1045">
        <f>COUNTBLANK(Sales_Data[[#This Row],[Revenue]])</f>
        <v>0</v>
      </c>
      <c r="I1045">
        <f>COUNTBLANK(Sales_Data[[#This Row],[Quantity]])</f>
        <v>0</v>
      </c>
      <c r="J1045" t="str">
        <f>TEXT(Sales_Data[[#This Row],[Date]],"yyyy-mm")</f>
        <v>2025-01</v>
      </c>
    </row>
    <row r="1046" spans="1:10" x14ac:dyDescent="0.35">
      <c r="A1046" t="s">
        <v>1435</v>
      </c>
      <c r="B1046" s="3">
        <v>45927</v>
      </c>
      <c r="C1046" t="s">
        <v>57</v>
      </c>
      <c r="D1046" t="s">
        <v>281</v>
      </c>
      <c r="E1046" t="s">
        <v>389</v>
      </c>
      <c r="F1046">
        <v>7</v>
      </c>
      <c r="G1046" s="6">
        <v>341523</v>
      </c>
      <c r="H1046">
        <f>COUNTBLANK(Sales_Data[[#This Row],[Revenue]])</f>
        <v>0</v>
      </c>
      <c r="I1046">
        <f>COUNTBLANK(Sales_Data[[#This Row],[Quantity]])</f>
        <v>0</v>
      </c>
      <c r="J1046" t="str">
        <f>TEXT(Sales_Data[[#This Row],[Date]],"yyyy-mm")</f>
        <v>2025-09</v>
      </c>
    </row>
    <row r="1047" spans="1:10" x14ac:dyDescent="0.35">
      <c r="A1047" t="s">
        <v>1436</v>
      </c>
      <c r="B1047" s="3">
        <v>45986</v>
      </c>
      <c r="C1047" t="s">
        <v>19</v>
      </c>
      <c r="D1047" t="s">
        <v>301</v>
      </c>
      <c r="E1047" t="s">
        <v>403</v>
      </c>
      <c r="F1047">
        <v>10</v>
      </c>
      <c r="G1047" s="6">
        <v>421590</v>
      </c>
      <c r="H1047">
        <f>COUNTBLANK(Sales_Data[[#This Row],[Revenue]])</f>
        <v>0</v>
      </c>
      <c r="I1047">
        <f>COUNTBLANK(Sales_Data[[#This Row],[Quantity]])</f>
        <v>0</v>
      </c>
      <c r="J1047" t="str">
        <f>TEXT(Sales_Data[[#This Row],[Date]],"yyyy-mm")</f>
        <v>2025-11</v>
      </c>
    </row>
    <row r="1048" spans="1:10" x14ac:dyDescent="0.35">
      <c r="A1048" t="s">
        <v>1437</v>
      </c>
      <c r="B1048" s="3">
        <v>46010</v>
      </c>
      <c r="C1048" t="s">
        <v>39</v>
      </c>
      <c r="D1048" t="s">
        <v>337</v>
      </c>
      <c r="E1048" t="s">
        <v>403</v>
      </c>
      <c r="F1048">
        <v>10</v>
      </c>
      <c r="G1048" s="6">
        <v>482880</v>
      </c>
      <c r="H1048">
        <f>COUNTBLANK(Sales_Data[[#This Row],[Revenue]])</f>
        <v>0</v>
      </c>
      <c r="I1048">
        <f>COUNTBLANK(Sales_Data[[#This Row],[Quantity]])</f>
        <v>0</v>
      </c>
      <c r="J1048" t="str">
        <f>TEXT(Sales_Data[[#This Row],[Date]],"yyyy-mm")</f>
        <v>2025-12</v>
      </c>
    </row>
    <row r="1049" spans="1:10" x14ac:dyDescent="0.35">
      <c r="A1049" t="s">
        <v>1438</v>
      </c>
      <c r="B1049" s="3">
        <v>45769</v>
      </c>
      <c r="C1049" t="s">
        <v>33</v>
      </c>
      <c r="D1049" t="s">
        <v>329</v>
      </c>
      <c r="E1049" t="s">
        <v>394</v>
      </c>
      <c r="F1049">
        <v>8</v>
      </c>
      <c r="G1049" s="6">
        <v>290024</v>
      </c>
      <c r="H1049">
        <f>COUNTBLANK(Sales_Data[[#This Row],[Revenue]])</f>
        <v>0</v>
      </c>
      <c r="I1049">
        <f>COUNTBLANK(Sales_Data[[#This Row],[Quantity]])</f>
        <v>0</v>
      </c>
      <c r="J1049" t="str">
        <f>TEXT(Sales_Data[[#This Row],[Date]],"yyyy-mm")</f>
        <v>2025-04</v>
      </c>
    </row>
    <row r="1050" spans="1:10" x14ac:dyDescent="0.35">
      <c r="A1050" t="s">
        <v>1439</v>
      </c>
      <c r="B1050" s="3">
        <v>45794</v>
      </c>
      <c r="C1050" t="s">
        <v>13</v>
      </c>
      <c r="D1050" t="s">
        <v>373</v>
      </c>
      <c r="E1050" t="s">
        <v>394</v>
      </c>
      <c r="F1050">
        <v>1</v>
      </c>
      <c r="G1050" s="6">
        <v>30177</v>
      </c>
      <c r="H1050">
        <f>COUNTBLANK(Sales_Data[[#This Row],[Revenue]])</f>
        <v>0</v>
      </c>
      <c r="I1050">
        <f>COUNTBLANK(Sales_Data[[#This Row],[Quantity]])</f>
        <v>0</v>
      </c>
      <c r="J1050" t="str">
        <f>TEXT(Sales_Data[[#This Row],[Date]],"yyyy-mm")</f>
        <v>2025-05</v>
      </c>
    </row>
    <row r="1051" spans="1:10" x14ac:dyDescent="0.35">
      <c r="A1051" t="s">
        <v>1440</v>
      </c>
      <c r="B1051" s="3">
        <v>45991</v>
      </c>
      <c r="C1051" t="s">
        <v>16</v>
      </c>
      <c r="D1051" t="s">
        <v>335</v>
      </c>
      <c r="E1051" t="s">
        <v>387</v>
      </c>
      <c r="F1051">
        <v>6</v>
      </c>
      <c r="G1051" s="6">
        <v>191772</v>
      </c>
      <c r="H1051">
        <f>COUNTBLANK(Sales_Data[[#This Row],[Revenue]])</f>
        <v>0</v>
      </c>
      <c r="I1051">
        <f>COUNTBLANK(Sales_Data[[#This Row],[Quantity]])</f>
        <v>0</v>
      </c>
      <c r="J1051" t="str">
        <f>TEXT(Sales_Data[[#This Row],[Date]],"yyyy-mm")</f>
        <v>2025-11</v>
      </c>
    </row>
    <row r="1052" spans="1:10" x14ac:dyDescent="0.35">
      <c r="A1052" t="s">
        <v>1441</v>
      </c>
      <c r="B1052" s="3">
        <v>45673</v>
      </c>
      <c r="C1052" t="s">
        <v>10</v>
      </c>
      <c r="D1052" t="s">
        <v>345</v>
      </c>
      <c r="E1052" t="s">
        <v>403</v>
      </c>
      <c r="F1052">
        <v>9</v>
      </c>
      <c r="G1052" s="6">
        <v>40644</v>
      </c>
      <c r="H1052">
        <f>COUNTBLANK(Sales_Data[[#This Row],[Revenue]])</f>
        <v>0</v>
      </c>
      <c r="I1052">
        <f>COUNTBLANK(Sales_Data[[#This Row],[Quantity]])</f>
        <v>0</v>
      </c>
      <c r="J1052" t="str">
        <f>TEXT(Sales_Data[[#This Row],[Date]],"yyyy-mm")</f>
        <v>2025-01</v>
      </c>
    </row>
    <row r="1053" spans="1:10" x14ac:dyDescent="0.35">
      <c r="A1053" t="s">
        <v>1442</v>
      </c>
      <c r="B1053" s="3">
        <v>45679</v>
      </c>
      <c r="C1053" t="s">
        <v>35</v>
      </c>
      <c r="D1053" t="s">
        <v>99</v>
      </c>
      <c r="E1053" t="s">
        <v>391</v>
      </c>
      <c r="F1053">
        <v>3</v>
      </c>
      <c r="G1053" s="6">
        <v>148380</v>
      </c>
      <c r="H1053">
        <f>COUNTBLANK(Sales_Data[[#This Row],[Revenue]])</f>
        <v>0</v>
      </c>
      <c r="I1053">
        <f>COUNTBLANK(Sales_Data[[#This Row],[Quantity]])</f>
        <v>0</v>
      </c>
      <c r="J1053" t="str">
        <f>TEXT(Sales_Data[[#This Row],[Date]],"yyyy-mm")</f>
        <v>2025-01</v>
      </c>
    </row>
    <row r="1054" spans="1:10" x14ac:dyDescent="0.35">
      <c r="A1054" t="s">
        <v>1443</v>
      </c>
      <c r="B1054" s="3">
        <v>45814</v>
      </c>
      <c r="C1054" t="s">
        <v>57</v>
      </c>
      <c r="D1054" t="s">
        <v>301</v>
      </c>
      <c r="E1054" t="s">
        <v>394</v>
      </c>
      <c r="F1054">
        <v>8</v>
      </c>
      <c r="G1054" s="6">
        <v>390312</v>
      </c>
      <c r="H1054">
        <f>COUNTBLANK(Sales_Data[[#This Row],[Revenue]])</f>
        <v>0</v>
      </c>
      <c r="I1054">
        <f>COUNTBLANK(Sales_Data[[#This Row],[Quantity]])</f>
        <v>0</v>
      </c>
      <c r="J1054" t="str">
        <f>TEXT(Sales_Data[[#This Row],[Date]],"yyyy-mm")</f>
        <v>2025-06</v>
      </c>
    </row>
    <row r="1055" spans="1:10" x14ac:dyDescent="0.35">
      <c r="A1055" t="s">
        <v>1444</v>
      </c>
      <c r="B1055" s="3">
        <v>45926</v>
      </c>
      <c r="C1055" t="s">
        <v>51</v>
      </c>
      <c r="D1055" t="s">
        <v>183</v>
      </c>
      <c r="E1055" t="s">
        <v>403</v>
      </c>
      <c r="F1055">
        <v>6</v>
      </c>
      <c r="G1055" s="6">
        <v>188634</v>
      </c>
      <c r="H1055">
        <f>COUNTBLANK(Sales_Data[[#This Row],[Revenue]])</f>
        <v>0</v>
      </c>
      <c r="I1055">
        <f>COUNTBLANK(Sales_Data[[#This Row],[Quantity]])</f>
        <v>0</v>
      </c>
      <c r="J1055" t="str">
        <f>TEXT(Sales_Data[[#This Row],[Date]],"yyyy-mm")</f>
        <v>2025-09</v>
      </c>
    </row>
    <row r="1056" spans="1:10" x14ac:dyDescent="0.35">
      <c r="A1056" t="s">
        <v>1445</v>
      </c>
      <c r="B1056" s="3">
        <v>45659</v>
      </c>
      <c r="C1056" t="s">
        <v>43</v>
      </c>
      <c r="D1056" t="s">
        <v>231</v>
      </c>
      <c r="E1056" t="s">
        <v>403</v>
      </c>
      <c r="F1056">
        <v>8</v>
      </c>
      <c r="G1056" s="6">
        <v>302600</v>
      </c>
      <c r="H1056">
        <f>COUNTBLANK(Sales_Data[[#This Row],[Revenue]])</f>
        <v>0</v>
      </c>
      <c r="I1056">
        <f>COUNTBLANK(Sales_Data[[#This Row],[Quantity]])</f>
        <v>0</v>
      </c>
      <c r="J1056" t="str">
        <f>TEXT(Sales_Data[[#This Row],[Date]],"yyyy-mm")</f>
        <v>2025-01</v>
      </c>
    </row>
    <row r="1057" spans="1:10" x14ac:dyDescent="0.35">
      <c r="A1057" t="s">
        <v>1446</v>
      </c>
      <c r="B1057" s="3">
        <v>45894</v>
      </c>
      <c r="C1057" t="s">
        <v>65</v>
      </c>
      <c r="D1057" t="s">
        <v>105</v>
      </c>
      <c r="E1057" t="s">
        <v>394</v>
      </c>
      <c r="F1057">
        <v>3</v>
      </c>
      <c r="G1057" s="6">
        <v>1635</v>
      </c>
      <c r="H1057">
        <f>COUNTBLANK(Sales_Data[[#This Row],[Revenue]])</f>
        <v>0</v>
      </c>
      <c r="I1057">
        <f>COUNTBLANK(Sales_Data[[#This Row],[Quantity]])</f>
        <v>0</v>
      </c>
      <c r="J1057" t="str">
        <f>TEXT(Sales_Data[[#This Row],[Date]],"yyyy-mm")</f>
        <v>2025-08</v>
      </c>
    </row>
    <row r="1058" spans="1:10" x14ac:dyDescent="0.35">
      <c r="A1058" t="s">
        <v>1447</v>
      </c>
      <c r="B1058" s="3">
        <v>45823</v>
      </c>
      <c r="C1058" t="s">
        <v>23</v>
      </c>
      <c r="D1058" t="s">
        <v>183</v>
      </c>
      <c r="E1058" t="s">
        <v>389</v>
      </c>
      <c r="F1058">
        <v>5</v>
      </c>
      <c r="G1058" s="6">
        <v>30345</v>
      </c>
      <c r="H1058">
        <f>COUNTBLANK(Sales_Data[[#This Row],[Revenue]])</f>
        <v>0</v>
      </c>
      <c r="I1058">
        <f>COUNTBLANK(Sales_Data[[#This Row],[Quantity]])</f>
        <v>0</v>
      </c>
      <c r="J1058" t="str">
        <f>TEXT(Sales_Data[[#This Row],[Date]],"yyyy-mm")</f>
        <v>2025-06</v>
      </c>
    </row>
    <row r="1059" spans="1:10" x14ac:dyDescent="0.35">
      <c r="A1059" t="s">
        <v>1448</v>
      </c>
      <c r="B1059" s="3">
        <v>45705</v>
      </c>
      <c r="C1059" t="s">
        <v>31</v>
      </c>
      <c r="D1059" t="s">
        <v>74</v>
      </c>
      <c r="E1059" t="s">
        <v>387</v>
      </c>
      <c r="F1059">
        <v>7</v>
      </c>
      <c r="G1059" s="6">
        <v>209762</v>
      </c>
      <c r="H1059">
        <f>COUNTBLANK(Sales_Data[[#This Row],[Revenue]])</f>
        <v>0</v>
      </c>
      <c r="I1059">
        <f>COUNTBLANK(Sales_Data[[#This Row],[Quantity]])</f>
        <v>0</v>
      </c>
      <c r="J1059" t="str">
        <f>TEXT(Sales_Data[[#This Row],[Date]],"yyyy-mm")</f>
        <v>2025-02</v>
      </c>
    </row>
    <row r="1060" spans="1:10" x14ac:dyDescent="0.35">
      <c r="A1060" t="s">
        <v>1449</v>
      </c>
      <c r="B1060" s="3">
        <v>45929</v>
      </c>
      <c r="C1060" t="s">
        <v>13</v>
      </c>
      <c r="D1060" t="s">
        <v>289</v>
      </c>
      <c r="E1060" t="s">
        <v>394</v>
      </c>
      <c r="F1060">
        <v>5</v>
      </c>
      <c r="G1060" s="6">
        <v>150885</v>
      </c>
      <c r="H1060">
        <f>COUNTBLANK(Sales_Data[[#This Row],[Revenue]])</f>
        <v>0</v>
      </c>
      <c r="I1060">
        <f>COUNTBLANK(Sales_Data[[#This Row],[Quantity]])</f>
        <v>0</v>
      </c>
      <c r="J1060" t="str">
        <f>TEXT(Sales_Data[[#This Row],[Date]],"yyyy-mm")</f>
        <v>2025-09</v>
      </c>
    </row>
    <row r="1061" spans="1:10" x14ac:dyDescent="0.35">
      <c r="A1061" t="s">
        <v>1450</v>
      </c>
      <c r="B1061" s="3">
        <v>45981</v>
      </c>
      <c r="C1061" t="s">
        <v>53</v>
      </c>
      <c r="D1061" t="s">
        <v>187</v>
      </c>
      <c r="E1061" t="s">
        <v>394</v>
      </c>
      <c r="F1061">
        <v>6</v>
      </c>
      <c r="G1061" s="6">
        <v>25248</v>
      </c>
      <c r="H1061">
        <f>COUNTBLANK(Sales_Data[[#This Row],[Revenue]])</f>
        <v>0</v>
      </c>
      <c r="I1061">
        <f>COUNTBLANK(Sales_Data[[#This Row],[Quantity]])</f>
        <v>0</v>
      </c>
      <c r="J1061" t="str">
        <f>TEXT(Sales_Data[[#This Row],[Date]],"yyyy-mm")</f>
        <v>2025-11</v>
      </c>
    </row>
    <row r="1062" spans="1:10" x14ac:dyDescent="0.35">
      <c r="A1062" t="s">
        <v>1451</v>
      </c>
      <c r="B1062" s="3">
        <v>45823</v>
      </c>
      <c r="C1062" t="s">
        <v>55</v>
      </c>
      <c r="D1062" t="s">
        <v>93</v>
      </c>
      <c r="E1062" t="s">
        <v>403</v>
      </c>
      <c r="F1062">
        <v>3</v>
      </c>
      <c r="G1062" s="6">
        <v>34245</v>
      </c>
      <c r="H1062">
        <f>COUNTBLANK(Sales_Data[[#This Row],[Revenue]])</f>
        <v>0</v>
      </c>
      <c r="I1062">
        <f>COUNTBLANK(Sales_Data[[#This Row],[Quantity]])</f>
        <v>0</v>
      </c>
      <c r="J1062" t="str">
        <f>TEXT(Sales_Data[[#This Row],[Date]],"yyyy-mm")</f>
        <v>2025-06</v>
      </c>
    </row>
    <row r="1063" spans="1:10" x14ac:dyDescent="0.35">
      <c r="A1063" t="s">
        <v>1452</v>
      </c>
      <c r="B1063" s="3">
        <v>45884</v>
      </c>
      <c r="C1063" t="s">
        <v>65</v>
      </c>
      <c r="D1063" t="s">
        <v>321</v>
      </c>
      <c r="E1063" t="s">
        <v>403</v>
      </c>
      <c r="F1063">
        <v>3</v>
      </c>
      <c r="G1063" s="6">
        <v>1635</v>
      </c>
      <c r="H1063">
        <f>COUNTBLANK(Sales_Data[[#This Row],[Revenue]])</f>
        <v>0</v>
      </c>
      <c r="I1063">
        <f>COUNTBLANK(Sales_Data[[#This Row],[Quantity]])</f>
        <v>0</v>
      </c>
      <c r="J1063" t="str">
        <f>TEXT(Sales_Data[[#This Row],[Date]],"yyyy-mm")</f>
        <v>2025-08</v>
      </c>
    </row>
    <row r="1064" spans="1:10" x14ac:dyDescent="0.35">
      <c r="A1064" t="s">
        <v>1453</v>
      </c>
      <c r="B1064" s="3">
        <v>45837</v>
      </c>
      <c r="C1064" t="s">
        <v>47</v>
      </c>
      <c r="D1064" t="s">
        <v>213</v>
      </c>
      <c r="E1064" t="s">
        <v>391</v>
      </c>
      <c r="F1064">
        <v>6</v>
      </c>
      <c r="G1064" s="6">
        <v>132372</v>
      </c>
      <c r="H1064">
        <f>COUNTBLANK(Sales_Data[[#This Row],[Revenue]])</f>
        <v>0</v>
      </c>
      <c r="I1064">
        <f>COUNTBLANK(Sales_Data[[#This Row],[Quantity]])</f>
        <v>0</v>
      </c>
      <c r="J1064" t="str">
        <f>TEXT(Sales_Data[[#This Row],[Date]],"yyyy-mm")</f>
        <v>2025-06</v>
      </c>
    </row>
    <row r="1065" spans="1:10" x14ac:dyDescent="0.35">
      <c r="A1065" t="s">
        <v>1454</v>
      </c>
      <c r="B1065" s="3">
        <v>45836</v>
      </c>
      <c r="C1065" t="s">
        <v>10</v>
      </c>
      <c r="D1065" t="s">
        <v>285</v>
      </c>
      <c r="E1065" t="s">
        <v>394</v>
      </c>
      <c r="F1065">
        <v>7</v>
      </c>
      <c r="G1065" s="6">
        <v>31612</v>
      </c>
      <c r="H1065">
        <f>COUNTBLANK(Sales_Data[[#This Row],[Revenue]])</f>
        <v>0</v>
      </c>
      <c r="I1065">
        <f>COUNTBLANK(Sales_Data[[#This Row],[Quantity]])</f>
        <v>0</v>
      </c>
      <c r="J1065" t="str">
        <f>TEXT(Sales_Data[[#This Row],[Date]],"yyyy-mm")</f>
        <v>2025-06</v>
      </c>
    </row>
    <row r="1066" spans="1:10" x14ac:dyDescent="0.35">
      <c r="A1066" t="s">
        <v>1455</v>
      </c>
      <c r="B1066" s="3">
        <v>45746</v>
      </c>
      <c r="C1066" t="s">
        <v>7</v>
      </c>
      <c r="D1066" t="s">
        <v>121</v>
      </c>
      <c r="E1066" t="s">
        <v>389</v>
      </c>
      <c r="F1066">
        <v>10</v>
      </c>
      <c r="G1066" s="6">
        <v>261330</v>
      </c>
      <c r="H1066">
        <f>COUNTBLANK(Sales_Data[[#This Row],[Revenue]])</f>
        <v>0</v>
      </c>
      <c r="I1066">
        <f>COUNTBLANK(Sales_Data[[#This Row],[Quantity]])</f>
        <v>0</v>
      </c>
      <c r="J1066" t="str">
        <f>TEXT(Sales_Data[[#This Row],[Date]],"yyyy-mm")</f>
        <v>2025-03</v>
      </c>
    </row>
    <row r="1067" spans="1:10" x14ac:dyDescent="0.35">
      <c r="A1067" t="s">
        <v>1456</v>
      </c>
      <c r="B1067" s="3">
        <v>45775</v>
      </c>
      <c r="C1067" t="s">
        <v>19</v>
      </c>
      <c r="D1067" t="s">
        <v>133</v>
      </c>
      <c r="E1067" t="s">
        <v>394</v>
      </c>
      <c r="F1067">
        <v>2</v>
      </c>
      <c r="G1067" s="6">
        <v>84318</v>
      </c>
      <c r="H1067">
        <f>COUNTBLANK(Sales_Data[[#This Row],[Revenue]])</f>
        <v>0</v>
      </c>
      <c r="I1067">
        <f>COUNTBLANK(Sales_Data[[#This Row],[Quantity]])</f>
        <v>0</v>
      </c>
      <c r="J1067" t="str">
        <f>TEXT(Sales_Data[[#This Row],[Date]],"yyyy-mm")</f>
        <v>2025-04</v>
      </c>
    </row>
    <row r="1068" spans="1:10" x14ac:dyDescent="0.35">
      <c r="A1068" t="s">
        <v>1457</v>
      </c>
      <c r="B1068" s="3">
        <v>45933</v>
      </c>
      <c r="C1068" t="s">
        <v>55</v>
      </c>
      <c r="D1068" t="s">
        <v>339</v>
      </c>
      <c r="E1068" t="s">
        <v>389</v>
      </c>
      <c r="F1068">
        <v>2</v>
      </c>
      <c r="G1068" s="6">
        <v>22830</v>
      </c>
      <c r="H1068">
        <f>COUNTBLANK(Sales_Data[[#This Row],[Revenue]])</f>
        <v>0</v>
      </c>
      <c r="I1068">
        <f>COUNTBLANK(Sales_Data[[#This Row],[Quantity]])</f>
        <v>0</v>
      </c>
      <c r="J1068" t="str">
        <f>TEXT(Sales_Data[[#This Row],[Date]],"yyyy-mm")</f>
        <v>2025-10</v>
      </c>
    </row>
    <row r="1069" spans="1:10" x14ac:dyDescent="0.35">
      <c r="A1069" t="s">
        <v>1458</v>
      </c>
      <c r="B1069" s="3">
        <v>46019</v>
      </c>
      <c r="C1069" t="s">
        <v>35</v>
      </c>
      <c r="D1069" t="s">
        <v>219</v>
      </c>
      <c r="E1069" t="s">
        <v>394</v>
      </c>
      <c r="F1069">
        <v>8</v>
      </c>
      <c r="G1069" s="6">
        <v>395680</v>
      </c>
      <c r="H1069">
        <f>COUNTBLANK(Sales_Data[[#This Row],[Revenue]])</f>
        <v>0</v>
      </c>
      <c r="I1069">
        <f>COUNTBLANK(Sales_Data[[#This Row],[Quantity]])</f>
        <v>0</v>
      </c>
      <c r="J1069" t="str">
        <f>TEXT(Sales_Data[[#This Row],[Date]],"yyyy-mm")</f>
        <v>2025-12</v>
      </c>
    </row>
    <row r="1070" spans="1:10" x14ac:dyDescent="0.35">
      <c r="A1070" t="s">
        <v>1459</v>
      </c>
      <c r="B1070" s="3">
        <v>45979</v>
      </c>
      <c r="C1070" t="s">
        <v>53</v>
      </c>
      <c r="D1070" t="s">
        <v>331</v>
      </c>
      <c r="E1070" t="s">
        <v>403</v>
      </c>
      <c r="F1070">
        <v>8</v>
      </c>
      <c r="G1070" s="6">
        <v>33664</v>
      </c>
      <c r="H1070">
        <f>COUNTBLANK(Sales_Data[[#This Row],[Revenue]])</f>
        <v>0</v>
      </c>
      <c r="I1070">
        <f>COUNTBLANK(Sales_Data[[#This Row],[Quantity]])</f>
        <v>0</v>
      </c>
      <c r="J1070" t="str">
        <f>TEXT(Sales_Data[[#This Row],[Date]],"yyyy-mm")</f>
        <v>2025-11</v>
      </c>
    </row>
    <row r="1071" spans="1:10" x14ac:dyDescent="0.35">
      <c r="A1071" t="s">
        <v>1460</v>
      </c>
      <c r="B1071" s="3">
        <v>45775</v>
      </c>
      <c r="C1071" t="s">
        <v>23</v>
      </c>
      <c r="D1071" t="s">
        <v>271</v>
      </c>
      <c r="E1071" t="s">
        <v>394</v>
      </c>
      <c r="F1071">
        <v>7</v>
      </c>
      <c r="G1071" s="6">
        <v>42483</v>
      </c>
      <c r="H1071">
        <f>COUNTBLANK(Sales_Data[[#This Row],[Revenue]])</f>
        <v>0</v>
      </c>
      <c r="I1071">
        <f>COUNTBLANK(Sales_Data[[#This Row],[Quantity]])</f>
        <v>0</v>
      </c>
      <c r="J1071" t="str">
        <f>TEXT(Sales_Data[[#This Row],[Date]],"yyyy-mm")</f>
        <v>2025-04</v>
      </c>
    </row>
    <row r="1072" spans="1:10" x14ac:dyDescent="0.35">
      <c r="A1072" t="s">
        <v>1461</v>
      </c>
      <c r="B1072" s="3">
        <v>45863</v>
      </c>
      <c r="C1072" t="s">
        <v>31</v>
      </c>
      <c r="D1072" t="s">
        <v>74</v>
      </c>
      <c r="E1072" t="s">
        <v>391</v>
      </c>
      <c r="F1072">
        <v>1</v>
      </c>
      <c r="G1072" s="6">
        <v>29966</v>
      </c>
      <c r="H1072">
        <f>COUNTBLANK(Sales_Data[[#This Row],[Revenue]])</f>
        <v>0</v>
      </c>
      <c r="I1072">
        <f>COUNTBLANK(Sales_Data[[#This Row],[Quantity]])</f>
        <v>0</v>
      </c>
      <c r="J1072" t="str">
        <f>TEXT(Sales_Data[[#This Row],[Date]],"yyyy-mm")</f>
        <v>2025-07</v>
      </c>
    </row>
    <row r="1073" spans="1:10" x14ac:dyDescent="0.35">
      <c r="A1073" t="s">
        <v>1462</v>
      </c>
      <c r="B1073" s="3">
        <v>46013</v>
      </c>
      <c r="C1073" t="s">
        <v>13</v>
      </c>
      <c r="D1073" t="s">
        <v>291</v>
      </c>
      <c r="E1073" t="s">
        <v>391</v>
      </c>
      <c r="F1073">
        <v>1</v>
      </c>
      <c r="G1073" s="6">
        <v>30177</v>
      </c>
      <c r="H1073">
        <f>COUNTBLANK(Sales_Data[[#This Row],[Revenue]])</f>
        <v>0</v>
      </c>
      <c r="I1073">
        <f>COUNTBLANK(Sales_Data[[#This Row],[Quantity]])</f>
        <v>0</v>
      </c>
      <c r="J1073" t="str">
        <f>TEXT(Sales_Data[[#This Row],[Date]],"yyyy-mm")</f>
        <v>2025-12</v>
      </c>
    </row>
    <row r="1074" spans="1:10" x14ac:dyDescent="0.35">
      <c r="A1074" t="s">
        <v>1463</v>
      </c>
      <c r="B1074" s="3">
        <v>45665</v>
      </c>
      <c r="C1074" t="s">
        <v>41</v>
      </c>
      <c r="D1074" t="s">
        <v>377</v>
      </c>
      <c r="E1074" t="s">
        <v>389</v>
      </c>
      <c r="F1074">
        <v>8</v>
      </c>
      <c r="G1074" s="6">
        <v>170096</v>
      </c>
      <c r="H1074">
        <f>COUNTBLANK(Sales_Data[[#This Row],[Revenue]])</f>
        <v>0</v>
      </c>
      <c r="I1074">
        <f>COUNTBLANK(Sales_Data[[#This Row],[Quantity]])</f>
        <v>0</v>
      </c>
      <c r="J1074" t="str">
        <f>TEXT(Sales_Data[[#This Row],[Date]],"yyyy-mm")</f>
        <v>2025-01</v>
      </c>
    </row>
    <row r="1075" spans="1:10" x14ac:dyDescent="0.35">
      <c r="A1075" t="s">
        <v>1464</v>
      </c>
      <c r="B1075" s="3">
        <v>45739</v>
      </c>
      <c r="C1075" t="s">
        <v>51</v>
      </c>
      <c r="D1075" t="s">
        <v>351</v>
      </c>
      <c r="E1075" t="s">
        <v>394</v>
      </c>
      <c r="F1075">
        <v>1</v>
      </c>
      <c r="G1075" s="6">
        <v>31439</v>
      </c>
      <c r="H1075">
        <f>COUNTBLANK(Sales_Data[[#This Row],[Revenue]])</f>
        <v>0</v>
      </c>
      <c r="I1075">
        <f>COUNTBLANK(Sales_Data[[#This Row],[Quantity]])</f>
        <v>0</v>
      </c>
      <c r="J1075" t="str">
        <f>TEXT(Sales_Data[[#This Row],[Date]],"yyyy-mm")</f>
        <v>2025-03</v>
      </c>
    </row>
    <row r="1076" spans="1:10" x14ac:dyDescent="0.35">
      <c r="A1076" t="s">
        <v>1465</v>
      </c>
      <c r="B1076" s="3">
        <v>45660</v>
      </c>
      <c r="C1076" t="s">
        <v>10</v>
      </c>
      <c r="D1076" t="s">
        <v>333</v>
      </c>
      <c r="E1076" t="s">
        <v>387</v>
      </c>
      <c r="F1076">
        <v>10</v>
      </c>
      <c r="G1076" s="6">
        <v>45160</v>
      </c>
      <c r="H1076">
        <f>COUNTBLANK(Sales_Data[[#This Row],[Revenue]])</f>
        <v>0</v>
      </c>
      <c r="I1076">
        <f>COUNTBLANK(Sales_Data[[#This Row],[Quantity]])</f>
        <v>0</v>
      </c>
      <c r="J1076" t="str">
        <f>TEXT(Sales_Data[[#This Row],[Date]],"yyyy-mm")</f>
        <v>2025-01</v>
      </c>
    </row>
    <row r="1077" spans="1:10" x14ac:dyDescent="0.35">
      <c r="A1077" t="s">
        <v>1466</v>
      </c>
      <c r="B1077" s="3">
        <v>45972</v>
      </c>
      <c r="C1077" t="s">
        <v>4</v>
      </c>
      <c r="D1077" t="s">
        <v>297</v>
      </c>
      <c r="E1077" t="s">
        <v>403</v>
      </c>
      <c r="F1077">
        <v>5</v>
      </c>
      <c r="G1077" s="6">
        <v>59075</v>
      </c>
      <c r="H1077">
        <f>COUNTBLANK(Sales_Data[[#This Row],[Revenue]])</f>
        <v>0</v>
      </c>
      <c r="I1077">
        <f>COUNTBLANK(Sales_Data[[#This Row],[Quantity]])</f>
        <v>0</v>
      </c>
      <c r="J1077" t="str">
        <f>TEXT(Sales_Data[[#This Row],[Date]],"yyyy-mm")</f>
        <v>2025-11</v>
      </c>
    </row>
    <row r="1078" spans="1:10" x14ac:dyDescent="0.35">
      <c r="A1078" t="s">
        <v>1467</v>
      </c>
      <c r="B1078" s="3">
        <v>46018</v>
      </c>
      <c r="C1078" t="s">
        <v>55</v>
      </c>
      <c r="D1078" t="s">
        <v>363</v>
      </c>
      <c r="E1078" t="s">
        <v>391</v>
      </c>
      <c r="F1078">
        <v>6</v>
      </c>
      <c r="G1078" s="6">
        <v>68490</v>
      </c>
      <c r="H1078">
        <f>COUNTBLANK(Sales_Data[[#This Row],[Revenue]])</f>
        <v>0</v>
      </c>
      <c r="I1078">
        <f>COUNTBLANK(Sales_Data[[#This Row],[Quantity]])</f>
        <v>0</v>
      </c>
      <c r="J1078" t="str">
        <f>TEXT(Sales_Data[[#This Row],[Date]],"yyyy-mm")</f>
        <v>2025-12</v>
      </c>
    </row>
    <row r="1079" spans="1:10" x14ac:dyDescent="0.35">
      <c r="A1079" t="s">
        <v>1468</v>
      </c>
      <c r="B1079" s="3">
        <v>45700</v>
      </c>
      <c r="C1079" t="s">
        <v>39</v>
      </c>
      <c r="D1079" t="s">
        <v>293</v>
      </c>
      <c r="E1079" t="s">
        <v>389</v>
      </c>
      <c r="F1079">
        <v>7</v>
      </c>
      <c r="G1079" s="6">
        <v>338016</v>
      </c>
      <c r="H1079">
        <f>COUNTBLANK(Sales_Data[[#This Row],[Revenue]])</f>
        <v>0</v>
      </c>
      <c r="I1079">
        <f>COUNTBLANK(Sales_Data[[#This Row],[Quantity]])</f>
        <v>0</v>
      </c>
      <c r="J1079" t="str">
        <f>TEXT(Sales_Data[[#This Row],[Date]],"yyyy-mm")</f>
        <v>2025-02</v>
      </c>
    </row>
    <row r="1080" spans="1:10" x14ac:dyDescent="0.35">
      <c r="A1080" t="s">
        <v>1469</v>
      </c>
      <c r="B1080" s="3">
        <v>45956</v>
      </c>
      <c r="C1080" t="s">
        <v>7</v>
      </c>
      <c r="D1080" t="s">
        <v>169</v>
      </c>
      <c r="E1080" t="s">
        <v>389</v>
      </c>
      <c r="F1080">
        <v>5</v>
      </c>
      <c r="G1080" s="6">
        <v>130665</v>
      </c>
      <c r="H1080">
        <f>COUNTBLANK(Sales_Data[[#This Row],[Revenue]])</f>
        <v>0</v>
      </c>
      <c r="I1080">
        <f>COUNTBLANK(Sales_Data[[#This Row],[Quantity]])</f>
        <v>0</v>
      </c>
      <c r="J1080" t="str">
        <f>TEXT(Sales_Data[[#This Row],[Date]],"yyyy-mm")</f>
        <v>2025-10</v>
      </c>
    </row>
    <row r="1081" spans="1:10" x14ac:dyDescent="0.35">
      <c r="A1081" t="s">
        <v>1470</v>
      </c>
      <c r="B1081" s="3">
        <v>45692</v>
      </c>
      <c r="C1081" t="s">
        <v>57</v>
      </c>
      <c r="D1081" t="s">
        <v>271</v>
      </c>
      <c r="E1081" t="s">
        <v>391</v>
      </c>
      <c r="F1081">
        <v>4</v>
      </c>
      <c r="G1081" s="6">
        <v>195156</v>
      </c>
      <c r="H1081">
        <f>COUNTBLANK(Sales_Data[[#This Row],[Revenue]])</f>
        <v>0</v>
      </c>
      <c r="I1081">
        <f>COUNTBLANK(Sales_Data[[#This Row],[Quantity]])</f>
        <v>0</v>
      </c>
      <c r="J1081" t="str">
        <f>TEXT(Sales_Data[[#This Row],[Date]],"yyyy-mm")</f>
        <v>2025-02</v>
      </c>
    </row>
    <row r="1082" spans="1:10" x14ac:dyDescent="0.35">
      <c r="A1082" t="s">
        <v>1471</v>
      </c>
      <c r="B1082" s="3">
        <v>45695</v>
      </c>
      <c r="C1082" t="s">
        <v>45</v>
      </c>
      <c r="D1082" t="s">
        <v>181</v>
      </c>
      <c r="E1082" t="s">
        <v>389</v>
      </c>
      <c r="F1082">
        <v>7</v>
      </c>
      <c r="G1082" s="6">
        <v>54782</v>
      </c>
      <c r="H1082">
        <f>COUNTBLANK(Sales_Data[[#This Row],[Revenue]])</f>
        <v>0</v>
      </c>
      <c r="I1082">
        <f>COUNTBLANK(Sales_Data[[#This Row],[Quantity]])</f>
        <v>0</v>
      </c>
      <c r="J1082" t="str">
        <f>TEXT(Sales_Data[[#This Row],[Date]],"yyyy-mm")</f>
        <v>2025-02</v>
      </c>
    </row>
    <row r="1083" spans="1:10" x14ac:dyDescent="0.35">
      <c r="A1083" t="s">
        <v>1472</v>
      </c>
      <c r="B1083" s="3">
        <v>45936</v>
      </c>
      <c r="C1083" t="s">
        <v>10</v>
      </c>
      <c r="D1083" t="s">
        <v>299</v>
      </c>
      <c r="E1083" t="s">
        <v>389</v>
      </c>
      <c r="F1083">
        <v>2</v>
      </c>
      <c r="G1083" s="6">
        <v>9032</v>
      </c>
      <c r="H1083">
        <f>COUNTBLANK(Sales_Data[[#This Row],[Revenue]])</f>
        <v>0</v>
      </c>
      <c r="I1083">
        <f>COUNTBLANK(Sales_Data[[#This Row],[Quantity]])</f>
        <v>0</v>
      </c>
      <c r="J1083" t="str">
        <f>TEXT(Sales_Data[[#This Row],[Date]],"yyyy-mm")</f>
        <v>2025-10</v>
      </c>
    </row>
    <row r="1084" spans="1:10" x14ac:dyDescent="0.35">
      <c r="A1084" t="s">
        <v>1473</v>
      </c>
      <c r="B1084" s="3">
        <v>45826</v>
      </c>
      <c r="C1084" t="s">
        <v>23</v>
      </c>
      <c r="D1084" t="s">
        <v>255</v>
      </c>
      <c r="E1084" t="s">
        <v>387</v>
      </c>
      <c r="F1084">
        <v>8</v>
      </c>
      <c r="G1084" s="6">
        <v>48552</v>
      </c>
      <c r="H1084">
        <f>COUNTBLANK(Sales_Data[[#This Row],[Revenue]])</f>
        <v>0</v>
      </c>
      <c r="I1084">
        <f>COUNTBLANK(Sales_Data[[#This Row],[Quantity]])</f>
        <v>0</v>
      </c>
      <c r="J1084" t="str">
        <f>TEXT(Sales_Data[[#This Row],[Date]],"yyyy-mm")</f>
        <v>2025-06</v>
      </c>
    </row>
    <row r="1085" spans="1:10" x14ac:dyDescent="0.35">
      <c r="A1085" t="s">
        <v>1474</v>
      </c>
      <c r="B1085" s="3">
        <v>45766</v>
      </c>
      <c r="C1085" t="s">
        <v>65</v>
      </c>
      <c r="D1085" t="s">
        <v>175</v>
      </c>
      <c r="E1085" t="s">
        <v>387</v>
      </c>
      <c r="F1085">
        <v>4</v>
      </c>
      <c r="G1085" s="6">
        <v>2180</v>
      </c>
      <c r="H1085">
        <f>COUNTBLANK(Sales_Data[[#This Row],[Revenue]])</f>
        <v>0</v>
      </c>
      <c r="I1085">
        <f>COUNTBLANK(Sales_Data[[#This Row],[Quantity]])</f>
        <v>0</v>
      </c>
      <c r="J1085" t="str">
        <f>TEXT(Sales_Data[[#This Row],[Date]],"yyyy-mm")</f>
        <v>2025-04</v>
      </c>
    </row>
    <row r="1086" spans="1:10" x14ac:dyDescent="0.35">
      <c r="A1086" t="s">
        <v>1475</v>
      </c>
      <c r="B1086" s="3">
        <v>45929</v>
      </c>
      <c r="C1086" t="s">
        <v>41</v>
      </c>
      <c r="D1086" t="s">
        <v>149</v>
      </c>
      <c r="E1086" t="s">
        <v>403</v>
      </c>
      <c r="F1086">
        <v>6</v>
      </c>
      <c r="G1086" s="6">
        <v>127572</v>
      </c>
      <c r="H1086">
        <f>COUNTBLANK(Sales_Data[[#This Row],[Revenue]])</f>
        <v>0</v>
      </c>
      <c r="I1086">
        <f>COUNTBLANK(Sales_Data[[#This Row],[Quantity]])</f>
        <v>0</v>
      </c>
      <c r="J1086" t="str">
        <f>TEXT(Sales_Data[[#This Row],[Date]],"yyyy-mm")</f>
        <v>2025-09</v>
      </c>
    </row>
    <row r="1087" spans="1:10" x14ac:dyDescent="0.35">
      <c r="A1087" t="s">
        <v>1476</v>
      </c>
      <c r="B1087" s="3">
        <v>45899</v>
      </c>
      <c r="C1087" t="s">
        <v>45</v>
      </c>
      <c r="D1087" t="s">
        <v>299</v>
      </c>
      <c r="E1087" t="s">
        <v>387</v>
      </c>
      <c r="F1087">
        <v>3</v>
      </c>
      <c r="G1087" s="6">
        <v>23478</v>
      </c>
      <c r="H1087">
        <f>COUNTBLANK(Sales_Data[[#This Row],[Revenue]])</f>
        <v>0</v>
      </c>
      <c r="I1087">
        <f>COUNTBLANK(Sales_Data[[#This Row],[Quantity]])</f>
        <v>0</v>
      </c>
      <c r="J1087" t="str">
        <f>TEXT(Sales_Data[[#This Row],[Date]],"yyyy-mm")</f>
        <v>2025-08</v>
      </c>
    </row>
    <row r="1088" spans="1:10" x14ac:dyDescent="0.35">
      <c r="A1088" t="s">
        <v>1477</v>
      </c>
      <c r="B1088" s="3">
        <v>45904</v>
      </c>
      <c r="C1088" t="s">
        <v>63</v>
      </c>
      <c r="D1088" t="s">
        <v>215</v>
      </c>
      <c r="E1088" t="s">
        <v>394</v>
      </c>
      <c r="F1088">
        <v>2</v>
      </c>
      <c r="G1088" s="6">
        <v>17536</v>
      </c>
      <c r="H1088">
        <f>COUNTBLANK(Sales_Data[[#This Row],[Revenue]])</f>
        <v>0</v>
      </c>
      <c r="I1088">
        <f>COUNTBLANK(Sales_Data[[#This Row],[Quantity]])</f>
        <v>0</v>
      </c>
      <c r="J1088" t="str">
        <f>TEXT(Sales_Data[[#This Row],[Date]],"yyyy-mm")</f>
        <v>2025-09</v>
      </c>
    </row>
    <row r="1089" spans="1:10" x14ac:dyDescent="0.35">
      <c r="A1089" t="s">
        <v>1478</v>
      </c>
      <c r="B1089" s="3">
        <v>45770</v>
      </c>
      <c r="C1089" t="s">
        <v>21</v>
      </c>
      <c r="D1089" t="s">
        <v>295</v>
      </c>
      <c r="E1089" t="s">
        <v>391</v>
      </c>
      <c r="F1089">
        <v>8</v>
      </c>
      <c r="G1089" s="6">
        <v>121672</v>
      </c>
      <c r="H1089">
        <f>COUNTBLANK(Sales_Data[[#This Row],[Revenue]])</f>
        <v>0</v>
      </c>
      <c r="I1089">
        <f>COUNTBLANK(Sales_Data[[#This Row],[Quantity]])</f>
        <v>0</v>
      </c>
      <c r="J1089" t="str">
        <f>TEXT(Sales_Data[[#This Row],[Date]],"yyyy-mm")</f>
        <v>2025-04</v>
      </c>
    </row>
    <row r="1090" spans="1:10" x14ac:dyDescent="0.35">
      <c r="A1090" t="s">
        <v>1479</v>
      </c>
      <c r="B1090" s="3">
        <v>45796</v>
      </c>
      <c r="C1090" t="s">
        <v>49</v>
      </c>
      <c r="D1090" t="s">
        <v>315</v>
      </c>
      <c r="E1090" t="s">
        <v>394</v>
      </c>
      <c r="F1090">
        <v>10</v>
      </c>
      <c r="G1090" s="6">
        <v>455140</v>
      </c>
      <c r="H1090">
        <f>COUNTBLANK(Sales_Data[[#This Row],[Revenue]])</f>
        <v>0</v>
      </c>
      <c r="I1090">
        <f>COUNTBLANK(Sales_Data[[#This Row],[Quantity]])</f>
        <v>0</v>
      </c>
      <c r="J1090" t="str">
        <f>TEXT(Sales_Data[[#This Row],[Date]],"yyyy-mm")</f>
        <v>2025-05</v>
      </c>
    </row>
    <row r="1091" spans="1:10" x14ac:dyDescent="0.35">
      <c r="A1091" t="s">
        <v>1480</v>
      </c>
      <c r="B1091" s="3">
        <v>45792</v>
      </c>
      <c r="C1091" t="s">
        <v>53</v>
      </c>
      <c r="D1091" t="s">
        <v>275</v>
      </c>
      <c r="E1091" t="s">
        <v>387</v>
      </c>
      <c r="F1091">
        <v>7</v>
      </c>
      <c r="G1091" s="6">
        <v>29456</v>
      </c>
      <c r="H1091">
        <f>COUNTBLANK(Sales_Data[[#This Row],[Revenue]])</f>
        <v>0</v>
      </c>
      <c r="I1091">
        <f>COUNTBLANK(Sales_Data[[#This Row],[Quantity]])</f>
        <v>0</v>
      </c>
      <c r="J1091" t="str">
        <f>TEXT(Sales_Data[[#This Row],[Date]],"yyyy-mm")</f>
        <v>2025-05</v>
      </c>
    </row>
    <row r="1092" spans="1:10" x14ac:dyDescent="0.35">
      <c r="A1092" t="s">
        <v>1481</v>
      </c>
      <c r="B1092" s="3">
        <v>45686</v>
      </c>
      <c r="C1092" t="s">
        <v>63</v>
      </c>
      <c r="D1092" t="s">
        <v>141</v>
      </c>
      <c r="E1092" t="s">
        <v>394</v>
      </c>
      <c r="F1092">
        <v>7</v>
      </c>
      <c r="G1092" s="6">
        <v>61376</v>
      </c>
      <c r="H1092">
        <f>COUNTBLANK(Sales_Data[[#This Row],[Revenue]])</f>
        <v>0</v>
      </c>
      <c r="I1092">
        <f>COUNTBLANK(Sales_Data[[#This Row],[Quantity]])</f>
        <v>0</v>
      </c>
      <c r="J1092" t="str">
        <f>TEXT(Sales_Data[[#This Row],[Date]],"yyyy-mm")</f>
        <v>2025-01</v>
      </c>
    </row>
    <row r="1093" spans="1:10" x14ac:dyDescent="0.35">
      <c r="A1093" t="s">
        <v>1482</v>
      </c>
      <c r="B1093" s="3">
        <v>45893</v>
      </c>
      <c r="C1093" t="s">
        <v>13</v>
      </c>
      <c r="D1093" t="s">
        <v>315</v>
      </c>
      <c r="E1093" t="s">
        <v>403</v>
      </c>
      <c r="F1093">
        <v>3</v>
      </c>
      <c r="G1093" s="6">
        <v>90531</v>
      </c>
      <c r="H1093">
        <f>COUNTBLANK(Sales_Data[[#This Row],[Revenue]])</f>
        <v>0</v>
      </c>
      <c r="I1093">
        <f>COUNTBLANK(Sales_Data[[#This Row],[Quantity]])</f>
        <v>0</v>
      </c>
      <c r="J1093" t="str">
        <f>TEXT(Sales_Data[[#This Row],[Date]],"yyyy-mm")</f>
        <v>2025-08</v>
      </c>
    </row>
    <row r="1094" spans="1:10" x14ac:dyDescent="0.35">
      <c r="A1094" t="s">
        <v>1483</v>
      </c>
      <c r="B1094" s="3">
        <v>45846</v>
      </c>
      <c r="C1094" t="s">
        <v>7</v>
      </c>
      <c r="D1094" t="s">
        <v>199</v>
      </c>
      <c r="E1094" t="s">
        <v>389</v>
      </c>
      <c r="F1094">
        <v>9</v>
      </c>
      <c r="G1094" s="6">
        <v>235197</v>
      </c>
      <c r="H1094">
        <f>COUNTBLANK(Sales_Data[[#This Row],[Revenue]])</f>
        <v>0</v>
      </c>
      <c r="I1094">
        <f>COUNTBLANK(Sales_Data[[#This Row],[Quantity]])</f>
        <v>0</v>
      </c>
      <c r="J1094" t="str">
        <f>TEXT(Sales_Data[[#This Row],[Date]],"yyyy-mm")</f>
        <v>2025-07</v>
      </c>
    </row>
    <row r="1095" spans="1:10" x14ac:dyDescent="0.35">
      <c r="A1095" t="s">
        <v>1484</v>
      </c>
      <c r="B1095" s="3">
        <v>45919</v>
      </c>
      <c r="C1095" t="s">
        <v>65</v>
      </c>
      <c r="D1095" t="s">
        <v>111</v>
      </c>
      <c r="E1095" t="s">
        <v>391</v>
      </c>
      <c r="F1095">
        <v>2</v>
      </c>
      <c r="G1095" s="6">
        <v>1090</v>
      </c>
      <c r="H1095">
        <f>COUNTBLANK(Sales_Data[[#This Row],[Revenue]])</f>
        <v>0</v>
      </c>
      <c r="I1095">
        <f>COUNTBLANK(Sales_Data[[#This Row],[Quantity]])</f>
        <v>0</v>
      </c>
      <c r="J1095" t="str">
        <f>TEXT(Sales_Data[[#This Row],[Date]],"yyyy-mm")</f>
        <v>2025-09</v>
      </c>
    </row>
    <row r="1096" spans="1:10" x14ac:dyDescent="0.35">
      <c r="A1096" t="s">
        <v>1485</v>
      </c>
      <c r="B1096" s="3">
        <v>45944</v>
      </c>
      <c r="C1096" t="s">
        <v>59</v>
      </c>
      <c r="D1096" t="s">
        <v>261</v>
      </c>
      <c r="E1096" t="s">
        <v>403</v>
      </c>
      <c r="F1096">
        <v>6</v>
      </c>
      <c r="G1096" s="6">
        <v>288636</v>
      </c>
      <c r="H1096">
        <f>COUNTBLANK(Sales_Data[[#This Row],[Revenue]])</f>
        <v>0</v>
      </c>
      <c r="I1096">
        <f>COUNTBLANK(Sales_Data[[#This Row],[Quantity]])</f>
        <v>0</v>
      </c>
      <c r="J1096" t="str">
        <f>TEXT(Sales_Data[[#This Row],[Date]],"yyyy-mm")</f>
        <v>2025-10</v>
      </c>
    </row>
    <row r="1097" spans="1:10" x14ac:dyDescent="0.35">
      <c r="A1097" t="s">
        <v>1486</v>
      </c>
      <c r="B1097" s="3">
        <v>45873</v>
      </c>
      <c r="C1097" t="s">
        <v>59</v>
      </c>
      <c r="D1097" t="s">
        <v>78</v>
      </c>
      <c r="E1097" t="s">
        <v>403</v>
      </c>
      <c r="F1097">
        <v>8</v>
      </c>
      <c r="G1097" s="6">
        <v>384848</v>
      </c>
      <c r="H1097">
        <f>COUNTBLANK(Sales_Data[[#This Row],[Revenue]])</f>
        <v>0</v>
      </c>
      <c r="I1097">
        <f>COUNTBLANK(Sales_Data[[#This Row],[Quantity]])</f>
        <v>0</v>
      </c>
      <c r="J1097" t="str">
        <f>TEXT(Sales_Data[[#This Row],[Date]],"yyyy-mm")</f>
        <v>2025-08</v>
      </c>
    </row>
    <row r="1098" spans="1:10" x14ac:dyDescent="0.35">
      <c r="A1098" t="s">
        <v>1487</v>
      </c>
      <c r="B1098" s="3">
        <v>45792</v>
      </c>
      <c r="C1098" t="s">
        <v>37</v>
      </c>
      <c r="D1098" t="s">
        <v>167</v>
      </c>
      <c r="E1098" t="s">
        <v>394</v>
      </c>
      <c r="F1098">
        <v>7</v>
      </c>
      <c r="G1098" s="6">
        <v>13671</v>
      </c>
      <c r="H1098">
        <f>COUNTBLANK(Sales_Data[[#This Row],[Revenue]])</f>
        <v>0</v>
      </c>
      <c r="I1098">
        <f>COUNTBLANK(Sales_Data[[#This Row],[Quantity]])</f>
        <v>0</v>
      </c>
      <c r="J1098" t="str">
        <f>TEXT(Sales_Data[[#This Row],[Date]],"yyyy-mm")</f>
        <v>2025-05</v>
      </c>
    </row>
    <row r="1099" spans="1:10" x14ac:dyDescent="0.35">
      <c r="A1099" t="s">
        <v>1488</v>
      </c>
      <c r="B1099" s="3">
        <v>45908</v>
      </c>
      <c r="C1099" t="s">
        <v>49</v>
      </c>
      <c r="D1099" t="s">
        <v>135</v>
      </c>
      <c r="E1099" t="s">
        <v>391</v>
      </c>
      <c r="F1099">
        <v>3</v>
      </c>
      <c r="G1099" s="6">
        <v>136542</v>
      </c>
      <c r="H1099">
        <f>COUNTBLANK(Sales_Data[[#This Row],[Revenue]])</f>
        <v>0</v>
      </c>
      <c r="I1099">
        <f>COUNTBLANK(Sales_Data[[#This Row],[Quantity]])</f>
        <v>0</v>
      </c>
      <c r="J1099" t="str">
        <f>TEXT(Sales_Data[[#This Row],[Date]],"yyyy-mm")</f>
        <v>2025-09</v>
      </c>
    </row>
    <row r="1100" spans="1:10" x14ac:dyDescent="0.35">
      <c r="A1100" t="s">
        <v>1489</v>
      </c>
      <c r="B1100" s="3">
        <v>45671</v>
      </c>
      <c r="C1100" t="s">
        <v>41</v>
      </c>
      <c r="D1100" t="s">
        <v>351</v>
      </c>
      <c r="E1100" t="s">
        <v>387</v>
      </c>
      <c r="F1100">
        <v>5</v>
      </c>
      <c r="G1100" s="6">
        <v>106310</v>
      </c>
      <c r="H1100">
        <f>COUNTBLANK(Sales_Data[[#This Row],[Revenue]])</f>
        <v>0</v>
      </c>
      <c r="I1100">
        <f>COUNTBLANK(Sales_Data[[#This Row],[Quantity]])</f>
        <v>0</v>
      </c>
      <c r="J1100" t="str">
        <f>TEXT(Sales_Data[[#This Row],[Date]],"yyyy-mm")</f>
        <v>2025-01</v>
      </c>
    </row>
    <row r="1101" spans="1:10" x14ac:dyDescent="0.35">
      <c r="A1101" t="s">
        <v>1490</v>
      </c>
      <c r="B1101" s="3">
        <v>45890</v>
      </c>
      <c r="C1101" t="s">
        <v>37</v>
      </c>
      <c r="D1101" t="s">
        <v>239</v>
      </c>
      <c r="E1101" t="s">
        <v>391</v>
      </c>
      <c r="F1101">
        <v>3</v>
      </c>
      <c r="G1101" s="6">
        <v>5859</v>
      </c>
      <c r="H1101">
        <f>COUNTBLANK(Sales_Data[[#This Row],[Revenue]])</f>
        <v>0</v>
      </c>
      <c r="I1101">
        <f>COUNTBLANK(Sales_Data[[#This Row],[Quantity]])</f>
        <v>0</v>
      </c>
      <c r="J1101" t="str">
        <f>TEXT(Sales_Data[[#This Row],[Date]],"yyyy-mm")</f>
        <v>2025-08</v>
      </c>
    </row>
    <row r="1102" spans="1:10" x14ac:dyDescent="0.35">
      <c r="A1102" t="s">
        <v>1491</v>
      </c>
      <c r="B1102" s="3">
        <v>45913</v>
      </c>
      <c r="C1102" t="s">
        <v>59</v>
      </c>
      <c r="D1102" t="s">
        <v>109</v>
      </c>
      <c r="E1102" t="s">
        <v>391</v>
      </c>
      <c r="F1102">
        <v>2</v>
      </c>
      <c r="G1102" s="6">
        <v>96212</v>
      </c>
      <c r="H1102">
        <f>COUNTBLANK(Sales_Data[[#This Row],[Revenue]])</f>
        <v>0</v>
      </c>
      <c r="I1102">
        <f>COUNTBLANK(Sales_Data[[#This Row],[Quantity]])</f>
        <v>0</v>
      </c>
      <c r="J1102" t="str">
        <f>TEXT(Sales_Data[[#This Row],[Date]],"yyyy-mm")</f>
        <v>2025-09</v>
      </c>
    </row>
    <row r="1103" spans="1:10" x14ac:dyDescent="0.35">
      <c r="A1103" t="s">
        <v>1492</v>
      </c>
      <c r="B1103" s="3">
        <v>45890</v>
      </c>
      <c r="C1103" t="s">
        <v>25</v>
      </c>
      <c r="D1103" t="s">
        <v>269</v>
      </c>
      <c r="E1103" t="s">
        <v>389</v>
      </c>
      <c r="F1103">
        <v>1</v>
      </c>
      <c r="G1103" s="6">
        <v>18243</v>
      </c>
      <c r="H1103">
        <f>COUNTBLANK(Sales_Data[[#This Row],[Revenue]])</f>
        <v>0</v>
      </c>
      <c r="I1103">
        <f>COUNTBLANK(Sales_Data[[#This Row],[Quantity]])</f>
        <v>0</v>
      </c>
      <c r="J1103" t="str">
        <f>TEXT(Sales_Data[[#This Row],[Date]],"yyyy-mm")</f>
        <v>2025-08</v>
      </c>
    </row>
    <row r="1104" spans="1:10" x14ac:dyDescent="0.35">
      <c r="A1104" t="s">
        <v>1493</v>
      </c>
      <c r="B1104" s="3">
        <v>46010</v>
      </c>
      <c r="C1104" t="s">
        <v>41</v>
      </c>
      <c r="D1104" t="s">
        <v>365</v>
      </c>
      <c r="E1104" t="s">
        <v>403</v>
      </c>
      <c r="F1104">
        <v>2</v>
      </c>
      <c r="G1104" s="6">
        <v>42524</v>
      </c>
      <c r="H1104">
        <f>COUNTBLANK(Sales_Data[[#This Row],[Revenue]])</f>
        <v>0</v>
      </c>
      <c r="I1104">
        <f>COUNTBLANK(Sales_Data[[#This Row],[Quantity]])</f>
        <v>0</v>
      </c>
      <c r="J1104" t="str">
        <f>TEXT(Sales_Data[[#This Row],[Date]],"yyyy-mm")</f>
        <v>2025-12</v>
      </c>
    </row>
    <row r="1105" spans="1:10" x14ac:dyDescent="0.35">
      <c r="A1105" t="s">
        <v>1494</v>
      </c>
      <c r="B1105" s="3">
        <v>45795</v>
      </c>
      <c r="C1105" t="s">
        <v>19</v>
      </c>
      <c r="D1105" t="s">
        <v>91</v>
      </c>
      <c r="E1105" t="s">
        <v>403</v>
      </c>
      <c r="F1105">
        <v>2</v>
      </c>
      <c r="G1105" s="6">
        <v>84318</v>
      </c>
      <c r="H1105">
        <f>COUNTBLANK(Sales_Data[[#This Row],[Revenue]])</f>
        <v>0</v>
      </c>
      <c r="I1105">
        <f>COUNTBLANK(Sales_Data[[#This Row],[Quantity]])</f>
        <v>0</v>
      </c>
      <c r="J1105" t="str">
        <f>TEXT(Sales_Data[[#This Row],[Date]],"yyyy-mm")</f>
        <v>2025-05</v>
      </c>
    </row>
    <row r="1106" spans="1:10" x14ac:dyDescent="0.35">
      <c r="A1106" t="s">
        <v>1495</v>
      </c>
      <c r="B1106" s="3">
        <v>45666</v>
      </c>
      <c r="C1106" t="s">
        <v>10</v>
      </c>
      <c r="D1106" t="s">
        <v>355</v>
      </c>
      <c r="E1106" t="s">
        <v>403</v>
      </c>
      <c r="F1106">
        <v>10</v>
      </c>
      <c r="G1106" s="6">
        <v>45160</v>
      </c>
      <c r="H1106">
        <f>COUNTBLANK(Sales_Data[[#This Row],[Revenue]])</f>
        <v>0</v>
      </c>
      <c r="I1106">
        <f>COUNTBLANK(Sales_Data[[#This Row],[Quantity]])</f>
        <v>0</v>
      </c>
      <c r="J1106" t="str">
        <f>TEXT(Sales_Data[[#This Row],[Date]],"yyyy-mm")</f>
        <v>2025-01</v>
      </c>
    </row>
    <row r="1107" spans="1:10" x14ac:dyDescent="0.35">
      <c r="A1107" t="s">
        <v>1496</v>
      </c>
      <c r="B1107" s="3">
        <v>45861</v>
      </c>
      <c r="C1107" t="s">
        <v>49</v>
      </c>
      <c r="D1107" t="s">
        <v>239</v>
      </c>
      <c r="E1107" t="s">
        <v>387</v>
      </c>
      <c r="F1107">
        <v>4</v>
      </c>
      <c r="G1107" s="6">
        <v>182056</v>
      </c>
      <c r="H1107">
        <f>COUNTBLANK(Sales_Data[[#This Row],[Revenue]])</f>
        <v>0</v>
      </c>
      <c r="I1107">
        <f>COUNTBLANK(Sales_Data[[#This Row],[Quantity]])</f>
        <v>0</v>
      </c>
      <c r="J1107" t="str">
        <f>TEXT(Sales_Data[[#This Row],[Date]],"yyyy-mm")</f>
        <v>2025-07</v>
      </c>
    </row>
    <row r="1108" spans="1:10" x14ac:dyDescent="0.35">
      <c r="A1108" t="s">
        <v>1497</v>
      </c>
      <c r="B1108" s="3">
        <v>45848</v>
      </c>
      <c r="C1108" t="s">
        <v>4</v>
      </c>
      <c r="D1108" t="s">
        <v>163</v>
      </c>
      <c r="E1108" t="s">
        <v>387</v>
      </c>
      <c r="F1108">
        <v>8</v>
      </c>
      <c r="G1108" s="6">
        <v>94520</v>
      </c>
      <c r="H1108">
        <f>COUNTBLANK(Sales_Data[[#This Row],[Revenue]])</f>
        <v>0</v>
      </c>
      <c r="I1108">
        <f>COUNTBLANK(Sales_Data[[#This Row],[Quantity]])</f>
        <v>0</v>
      </c>
      <c r="J1108" t="str">
        <f>TEXT(Sales_Data[[#This Row],[Date]],"yyyy-mm")</f>
        <v>2025-07</v>
      </c>
    </row>
    <row r="1109" spans="1:10" x14ac:dyDescent="0.35">
      <c r="A1109" t="s">
        <v>1498</v>
      </c>
      <c r="B1109" s="3">
        <v>45923</v>
      </c>
      <c r="C1109" t="s">
        <v>13</v>
      </c>
      <c r="D1109" t="s">
        <v>297</v>
      </c>
      <c r="E1109" t="s">
        <v>391</v>
      </c>
      <c r="F1109">
        <v>10</v>
      </c>
      <c r="G1109" s="6">
        <v>301770</v>
      </c>
      <c r="H1109">
        <f>COUNTBLANK(Sales_Data[[#This Row],[Revenue]])</f>
        <v>0</v>
      </c>
      <c r="I1109">
        <f>COUNTBLANK(Sales_Data[[#This Row],[Quantity]])</f>
        <v>0</v>
      </c>
      <c r="J1109" t="str">
        <f>TEXT(Sales_Data[[#This Row],[Date]],"yyyy-mm")</f>
        <v>2025-09</v>
      </c>
    </row>
    <row r="1110" spans="1:10" x14ac:dyDescent="0.35">
      <c r="A1110" t="s">
        <v>1499</v>
      </c>
      <c r="B1110" s="3">
        <v>45791</v>
      </c>
      <c r="C1110" t="s">
        <v>41</v>
      </c>
      <c r="D1110" t="s">
        <v>173</v>
      </c>
      <c r="E1110" t="s">
        <v>391</v>
      </c>
      <c r="F1110">
        <v>5</v>
      </c>
      <c r="G1110" s="6">
        <v>106310</v>
      </c>
      <c r="H1110">
        <f>COUNTBLANK(Sales_Data[[#This Row],[Revenue]])</f>
        <v>0</v>
      </c>
      <c r="I1110">
        <f>COUNTBLANK(Sales_Data[[#This Row],[Quantity]])</f>
        <v>0</v>
      </c>
      <c r="J1110" t="str">
        <f>TEXT(Sales_Data[[#This Row],[Date]],"yyyy-mm")</f>
        <v>2025-05</v>
      </c>
    </row>
    <row r="1111" spans="1:10" x14ac:dyDescent="0.35">
      <c r="A1111" t="s">
        <v>1500</v>
      </c>
      <c r="B1111" s="3">
        <v>45965</v>
      </c>
      <c r="C1111" t="s">
        <v>4</v>
      </c>
      <c r="D1111" t="s">
        <v>297</v>
      </c>
      <c r="E1111" t="s">
        <v>394</v>
      </c>
      <c r="F1111">
        <v>5</v>
      </c>
      <c r="G1111" s="6">
        <v>59075</v>
      </c>
      <c r="H1111">
        <f>COUNTBLANK(Sales_Data[[#This Row],[Revenue]])</f>
        <v>0</v>
      </c>
      <c r="I1111">
        <f>COUNTBLANK(Sales_Data[[#This Row],[Quantity]])</f>
        <v>0</v>
      </c>
      <c r="J1111" t="str">
        <f>TEXT(Sales_Data[[#This Row],[Date]],"yyyy-mm")</f>
        <v>2025-11</v>
      </c>
    </row>
    <row r="1112" spans="1:10" x14ac:dyDescent="0.35">
      <c r="A1112" t="s">
        <v>1501</v>
      </c>
      <c r="B1112" s="3">
        <v>45825</v>
      </c>
      <c r="C1112" t="s">
        <v>67</v>
      </c>
      <c r="D1112" t="s">
        <v>197</v>
      </c>
      <c r="E1112" t="s">
        <v>394</v>
      </c>
      <c r="F1112">
        <v>2</v>
      </c>
      <c r="G1112" s="6">
        <v>43232</v>
      </c>
      <c r="H1112">
        <f>COUNTBLANK(Sales_Data[[#This Row],[Revenue]])</f>
        <v>0</v>
      </c>
      <c r="I1112">
        <f>COUNTBLANK(Sales_Data[[#This Row],[Quantity]])</f>
        <v>0</v>
      </c>
      <c r="J1112" t="str">
        <f>TEXT(Sales_Data[[#This Row],[Date]],"yyyy-mm")</f>
        <v>2025-06</v>
      </c>
    </row>
    <row r="1113" spans="1:10" x14ac:dyDescent="0.35">
      <c r="A1113" t="s">
        <v>1502</v>
      </c>
      <c r="B1113" s="3">
        <v>45784</v>
      </c>
      <c r="C1113" t="s">
        <v>33</v>
      </c>
      <c r="D1113" t="s">
        <v>173</v>
      </c>
      <c r="E1113" t="s">
        <v>394</v>
      </c>
      <c r="F1113">
        <v>2</v>
      </c>
      <c r="G1113" s="6">
        <v>72506</v>
      </c>
      <c r="H1113">
        <f>COUNTBLANK(Sales_Data[[#This Row],[Revenue]])</f>
        <v>0</v>
      </c>
      <c r="I1113">
        <f>COUNTBLANK(Sales_Data[[#This Row],[Quantity]])</f>
        <v>0</v>
      </c>
      <c r="J1113" t="str">
        <f>TEXT(Sales_Data[[#This Row],[Date]],"yyyy-mm")</f>
        <v>2025-05</v>
      </c>
    </row>
    <row r="1114" spans="1:10" x14ac:dyDescent="0.35">
      <c r="A1114" t="s">
        <v>1503</v>
      </c>
      <c r="B1114" s="3">
        <v>45746</v>
      </c>
      <c r="C1114" t="s">
        <v>25</v>
      </c>
      <c r="D1114" t="s">
        <v>243</v>
      </c>
      <c r="E1114" t="s">
        <v>391</v>
      </c>
      <c r="F1114">
        <v>2</v>
      </c>
      <c r="G1114" s="6">
        <v>36486</v>
      </c>
      <c r="H1114">
        <f>COUNTBLANK(Sales_Data[[#This Row],[Revenue]])</f>
        <v>0</v>
      </c>
      <c r="I1114">
        <f>COUNTBLANK(Sales_Data[[#This Row],[Quantity]])</f>
        <v>0</v>
      </c>
      <c r="J1114" t="str">
        <f>TEXT(Sales_Data[[#This Row],[Date]],"yyyy-mm")</f>
        <v>2025-03</v>
      </c>
    </row>
    <row r="1115" spans="1:10" x14ac:dyDescent="0.35">
      <c r="A1115" t="s">
        <v>1504</v>
      </c>
      <c r="B1115" s="3">
        <v>45705</v>
      </c>
      <c r="C1115" t="s">
        <v>37</v>
      </c>
      <c r="D1115" t="s">
        <v>95</v>
      </c>
      <c r="E1115" t="s">
        <v>394</v>
      </c>
      <c r="F1115">
        <v>2</v>
      </c>
      <c r="G1115" s="6">
        <v>3906</v>
      </c>
      <c r="H1115">
        <f>COUNTBLANK(Sales_Data[[#This Row],[Revenue]])</f>
        <v>0</v>
      </c>
      <c r="I1115">
        <f>COUNTBLANK(Sales_Data[[#This Row],[Quantity]])</f>
        <v>0</v>
      </c>
      <c r="J1115" t="str">
        <f>TEXT(Sales_Data[[#This Row],[Date]],"yyyy-mm")</f>
        <v>2025-02</v>
      </c>
    </row>
    <row r="1116" spans="1:10" x14ac:dyDescent="0.35">
      <c r="A1116" t="s">
        <v>1505</v>
      </c>
      <c r="B1116" s="3">
        <v>45852</v>
      </c>
      <c r="C1116" t="s">
        <v>45</v>
      </c>
      <c r="D1116" t="s">
        <v>117</v>
      </c>
      <c r="E1116" t="s">
        <v>391</v>
      </c>
      <c r="F1116">
        <v>1</v>
      </c>
      <c r="G1116" s="6">
        <v>7826</v>
      </c>
      <c r="H1116">
        <f>COUNTBLANK(Sales_Data[[#This Row],[Revenue]])</f>
        <v>0</v>
      </c>
      <c r="I1116">
        <f>COUNTBLANK(Sales_Data[[#This Row],[Quantity]])</f>
        <v>0</v>
      </c>
      <c r="J1116" t="str">
        <f>TEXT(Sales_Data[[#This Row],[Date]],"yyyy-mm")</f>
        <v>2025-07</v>
      </c>
    </row>
    <row r="1117" spans="1:10" x14ac:dyDescent="0.35">
      <c r="A1117" t="s">
        <v>1506</v>
      </c>
      <c r="B1117" s="3">
        <v>45986</v>
      </c>
      <c r="C1117" t="s">
        <v>49</v>
      </c>
      <c r="D1117" t="s">
        <v>199</v>
      </c>
      <c r="E1117" t="s">
        <v>387</v>
      </c>
      <c r="F1117">
        <v>2</v>
      </c>
      <c r="G1117" s="6">
        <v>91028</v>
      </c>
      <c r="H1117">
        <f>COUNTBLANK(Sales_Data[[#This Row],[Revenue]])</f>
        <v>0</v>
      </c>
      <c r="I1117">
        <f>COUNTBLANK(Sales_Data[[#This Row],[Quantity]])</f>
        <v>0</v>
      </c>
      <c r="J1117" t="str">
        <f>TEXT(Sales_Data[[#This Row],[Date]],"yyyy-mm")</f>
        <v>2025-11</v>
      </c>
    </row>
    <row r="1118" spans="1:10" x14ac:dyDescent="0.35">
      <c r="A1118" t="s">
        <v>1507</v>
      </c>
      <c r="B1118" s="3">
        <v>45981</v>
      </c>
      <c r="C1118" t="s">
        <v>43</v>
      </c>
      <c r="D1118" t="s">
        <v>307</v>
      </c>
      <c r="E1118" t="s">
        <v>403</v>
      </c>
      <c r="F1118">
        <v>4</v>
      </c>
      <c r="G1118" s="6">
        <v>151300</v>
      </c>
      <c r="H1118">
        <f>COUNTBLANK(Sales_Data[[#This Row],[Revenue]])</f>
        <v>0</v>
      </c>
      <c r="I1118">
        <f>COUNTBLANK(Sales_Data[[#This Row],[Quantity]])</f>
        <v>0</v>
      </c>
      <c r="J1118" t="str">
        <f>TEXT(Sales_Data[[#This Row],[Date]],"yyyy-mm")</f>
        <v>2025-11</v>
      </c>
    </row>
    <row r="1119" spans="1:10" x14ac:dyDescent="0.35">
      <c r="A1119" t="s">
        <v>1508</v>
      </c>
      <c r="B1119" s="3">
        <v>45860</v>
      </c>
      <c r="C1119" t="s">
        <v>4</v>
      </c>
      <c r="D1119" t="s">
        <v>271</v>
      </c>
      <c r="E1119" t="s">
        <v>394</v>
      </c>
      <c r="F1119">
        <v>3</v>
      </c>
      <c r="G1119" s="6">
        <v>35445</v>
      </c>
      <c r="H1119">
        <f>COUNTBLANK(Sales_Data[[#This Row],[Revenue]])</f>
        <v>0</v>
      </c>
      <c r="I1119">
        <f>COUNTBLANK(Sales_Data[[#This Row],[Quantity]])</f>
        <v>0</v>
      </c>
      <c r="J1119" t="str">
        <f>TEXT(Sales_Data[[#This Row],[Date]],"yyyy-mm")</f>
        <v>2025-07</v>
      </c>
    </row>
    <row r="1120" spans="1:10" x14ac:dyDescent="0.35">
      <c r="A1120" t="s">
        <v>1509</v>
      </c>
      <c r="B1120" s="3">
        <v>45778</v>
      </c>
      <c r="C1120" t="s">
        <v>45</v>
      </c>
      <c r="D1120" t="s">
        <v>335</v>
      </c>
      <c r="E1120" t="s">
        <v>387</v>
      </c>
      <c r="F1120">
        <v>10</v>
      </c>
      <c r="G1120" s="6">
        <v>78260</v>
      </c>
      <c r="H1120">
        <f>COUNTBLANK(Sales_Data[[#This Row],[Revenue]])</f>
        <v>0</v>
      </c>
      <c r="I1120">
        <f>COUNTBLANK(Sales_Data[[#This Row],[Quantity]])</f>
        <v>0</v>
      </c>
      <c r="J1120" t="str">
        <f>TEXT(Sales_Data[[#This Row],[Date]],"yyyy-mm")</f>
        <v>2025-05</v>
      </c>
    </row>
    <row r="1121" spans="1:10" x14ac:dyDescent="0.35">
      <c r="A1121" t="s">
        <v>1510</v>
      </c>
      <c r="B1121" s="3">
        <v>45968</v>
      </c>
      <c r="C1121" t="s">
        <v>33</v>
      </c>
      <c r="D1121" t="s">
        <v>247</v>
      </c>
      <c r="E1121" t="s">
        <v>403</v>
      </c>
      <c r="F1121">
        <v>10</v>
      </c>
      <c r="G1121" s="6">
        <v>362530</v>
      </c>
      <c r="H1121">
        <f>COUNTBLANK(Sales_Data[[#This Row],[Revenue]])</f>
        <v>0</v>
      </c>
      <c r="I1121">
        <f>COUNTBLANK(Sales_Data[[#This Row],[Quantity]])</f>
        <v>0</v>
      </c>
      <c r="J1121" t="str">
        <f>TEXT(Sales_Data[[#This Row],[Date]],"yyyy-mm")</f>
        <v>2025-11</v>
      </c>
    </row>
    <row r="1122" spans="1:10" x14ac:dyDescent="0.35">
      <c r="A1122" t="s">
        <v>1511</v>
      </c>
      <c r="B1122" s="3">
        <v>45945</v>
      </c>
      <c r="C1122" t="s">
        <v>7</v>
      </c>
      <c r="D1122" t="s">
        <v>333</v>
      </c>
      <c r="E1122" t="s">
        <v>391</v>
      </c>
      <c r="F1122">
        <v>7</v>
      </c>
      <c r="G1122" s="6">
        <v>182931</v>
      </c>
      <c r="H1122">
        <f>COUNTBLANK(Sales_Data[[#This Row],[Revenue]])</f>
        <v>0</v>
      </c>
      <c r="I1122">
        <f>COUNTBLANK(Sales_Data[[#This Row],[Quantity]])</f>
        <v>0</v>
      </c>
      <c r="J1122" t="str">
        <f>TEXT(Sales_Data[[#This Row],[Date]],"yyyy-mm")</f>
        <v>2025-10</v>
      </c>
    </row>
    <row r="1123" spans="1:10" x14ac:dyDescent="0.35">
      <c r="A1123" t="s">
        <v>1512</v>
      </c>
      <c r="B1123" s="3">
        <v>45782</v>
      </c>
      <c r="C1123" t="s">
        <v>61</v>
      </c>
      <c r="D1123" t="s">
        <v>311</v>
      </c>
      <c r="E1123" t="s">
        <v>387</v>
      </c>
      <c r="F1123">
        <v>1</v>
      </c>
      <c r="G1123" s="6">
        <v>25016</v>
      </c>
      <c r="H1123">
        <f>COUNTBLANK(Sales_Data[[#This Row],[Revenue]])</f>
        <v>0</v>
      </c>
      <c r="I1123">
        <f>COUNTBLANK(Sales_Data[[#This Row],[Quantity]])</f>
        <v>0</v>
      </c>
      <c r="J1123" t="str">
        <f>TEXT(Sales_Data[[#This Row],[Date]],"yyyy-mm")</f>
        <v>2025-05</v>
      </c>
    </row>
    <row r="1124" spans="1:10" x14ac:dyDescent="0.35">
      <c r="A1124" t="s">
        <v>1513</v>
      </c>
      <c r="B1124" s="3">
        <v>45679</v>
      </c>
      <c r="C1124" t="s">
        <v>25</v>
      </c>
      <c r="D1124" t="s">
        <v>353</v>
      </c>
      <c r="E1124" t="s">
        <v>389</v>
      </c>
      <c r="F1124">
        <v>9</v>
      </c>
      <c r="G1124" s="6">
        <v>164187</v>
      </c>
      <c r="H1124">
        <f>COUNTBLANK(Sales_Data[[#This Row],[Revenue]])</f>
        <v>0</v>
      </c>
      <c r="I1124">
        <f>COUNTBLANK(Sales_Data[[#This Row],[Quantity]])</f>
        <v>0</v>
      </c>
      <c r="J1124" t="str">
        <f>TEXT(Sales_Data[[#This Row],[Date]],"yyyy-mm")</f>
        <v>2025-01</v>
      </c>
    </row>
    <row r="1125" spans="1:10" x14ac:dyDescent="0.35">
      <c r="A1125" t="s">
        <v>1514</v>
      </c>
      <c r="B1125" s="3">
        <v>45738</v>
      </c>
      <c r="C1125" t="s">
        <v>61</v>
      </c>
      <c r="D1125" t="s">
        <v>177</v>
      </c>
      <c r="E1125" t="s">
        <v>389</v>
      </c>
      <c r="F1125">
        <v>8</v>
      </c>
      <c r="G1125" s="6">
        <v>200128</v>
      </c>
      <c r="H1125">
        <f>COUNTBLANK(Sales_Data[[#This Row],[Revenue]])</f>
        <v>0</v>
      </c>
      <c r="I1125">
        <f>COUNTBLANK(Sales_Data[[#This Row],[Quantity]])</f>
        <v>0</v>
      </c>
      <c r="J1125" t="str">
        <f>TEXT(Sales_Data[[#This Row],[Date]],"yyyy-mm")</f>
        <v>2025-03</v>
      </c>
    </row>
    <row r="1126" spans="1:10" x14ac:dyDescent="0.35">
      <c r="A1126" t="s">
        <v>1515</v>
      </c>
      <c r="B1126" s="3">
        <v>45978</v>
      </c>
      <c r="C1126" t="s">
        <v>63</v>
      </c>
      <c r="D1126" t="s">
        <v>343</v>
      </c>
      <c r="E1126" t="s">
        <v>391</v>
      </c>
      <c r="F1126">
        <v>6</v>
      </c>
      <c r="G1126" s="6">
        <v>52608</v>
      </c>
      <c r="H1126">
        <f>COUNTBLANK(Sales_Data[[#This Row],[Revenue]])</f>
        <v>0</v>
      </c>
      <c r="I1126">
        <f>COUNTBLANK(Sales_Data[[#This Row],[Quantity]])</f>
        <v>0</v>
      </c>
      <c r="J1126" t="str">
        <f>TEXT(Sales_Data[[#This Row],[Date]],"yyyy-mm")</f>
        <v>2025-11</v>
      </c>
    </row>
    <row r="1127" spans="1:10" x14ac:dyDescent="0.35">
      <c r="A1127" t="s">
        <v>1516</v>
      </c>
      <c r="B1127" s="3">
        <v>45779</v>
      </c>
      <c r="C1127" t="s">
        <v>31</v>
      </c>
      <c r="D1127" t="s">
        <v>237</v>
      </c>
      <c r="E1127" t="s">
        <v>389</v>
      </c>
      <c r="F1127">
        <v>9</v>
      </c>
      <c r="G1127" s="6">
        <v>269694</v>
      </c>
      <c r="H1127">
        <f>COUNTBLANK(Sales_Data[[#This Row],[Revenue]])</f>
        <v>0</v>
      </c>
      <c r="I1127">
        <f>COUNTBLANK(Sales_Data[[#This Row],[Quantity]])</f>
        <v>0</v>
      </c>
      <c r="J1127" t="str">
        <f>TEXT(Sales_Data[[#This Row],[Date]],"yyyy-mm")</f>
        <v>2025-05</v>
      </c>
    </row>
    <row r="1128" spans="1:10" x14ac:dyDescent="0.35">
      <c r="A1128" t="s">
        <v>1517</v>
      </c>
      <c r="B1128" s="3">
        <v>45787</v>
      </c>
      <c r="C1128" t="s">
        <v>67</v>
      </c>
      <c r="D1128" t="s">
        <v>231</v>
      </c>
      <c r="E1128" t="s">
        <v>389</v>
      </c>
      <c r="F1128">
        <v>10</v>
      </c>
      <c r="G1128" s="6">
        <v>216160</v>
      </c>
      <c r="H1128">
        <f>COUNTBLANK(Sales_Data[[#This Row],[Revenue]])</f>
        <v>0</v>
      </c>
      <c r="I1128">
        <f>COUNTBLANK(Sales_Data[[#This Row],[Quantity]])</f>
        <v>0</v>
      </c>
      <c r="J1128" t="str">
        <f>TEXT(Sales_Data[[#This Row],[Date]],"yyyy-mm")</f>
        <v>2025-05</v>
      </c>
    </row>
    <row r="1129" spans="1:10" x14ac:dyDescent="0.35">
      <c r="A1129" t="s">
        <v>1518</v>
      </c>
      <c r="B1129" s="3">
        <v>45919</v>
      </c>
      <c r="C1129" t="s">
        <v>31</v>
      </c>
      <c r="D1129" t="s">
        <v>155</v>
      </c>
      <c r="E1129" t="s">
        <v>391</v>
      </c>
      <c r="F1129">
        <v>5</v>
      </c>
      <c r="G1129" s="6">
        <v>149830</v>
      </c>
      <c r="H1129">
        <f>COUNTBLANK(Sales_Data[[#This Row],[Revenue]])</f>
        <v>0</v>
      </c>
      <c r="I1129">
        <f>COUNTBLANK(Sales_Data[[#This Row],[Quantity]])</f>
        <v>0</v>
      </c>
      <c r="J1129" t="str">
        <f>TEXT(Sales_Data[[#This Row],[Date]],"yyyy-mm")</f>
        <v>2025-09</v>
      </c>
    </row>
    <row r="1130" spans="1:10" x14ac:dyDescent="0.35">
      <c r="A1130" t="s">
        <v>1519</v>
      </c>
      <c r="B1130" s="3">
        <v>45977</v>
      </c>
      <c r="C1130" t="s">
        <v>43</v>
      </c>
      <c r="D1130" t="s">
        <v>111</v>
      </c>
      <c r="E1130" t="s">
        <v>387</v>
      </c>
      <c r="F1130">
        <v>2</v>
      </c>
      <c r="G1130" s="6">
        <v>75650</v>
      </c>
      <c r="H1130">
        <f>COUNTBLANK(Sales_Data[[#This Row],[Revenue]])</f>
        <v>0</v>
      </c>
      <c r="I1130">
        <f>COUNTBLANK(Sales_Data[[#This Row],[Quantity]])</f>
        <v>0</v>
      </c>
      <c r="J1130" t="str">
        <f>TEXT(Sales_Data[[#This Row],[Date]],"yyyy-mm")</f>
        <v>2025-11</v>
      </c>
    </row>
    <row r="1131" spans="1:10" x14ac:dyDescent="0.35">
      <c r="A1131" t="s">
        <v>1520</v>
      </c>
      <c r="B1131" s="3">
        <v>45711</v>
      </c>
      <c r="C1131" t="s">
        <v>61</v>
      </c>
      <c r="D1131" t="s">
        <v>189</v>
      </c>
      <c r="E1131" t="s">
        <v>387</v>
      </c>
      <c r="F1131">
        <v>10</v>
      </c>
      <c r="G1131" s="6">
        <v>250160</v>
      </c>
      <c r="H1131">
        <f>COUNTBLANK(Sales_Data[[#This Row],[Revenue]])</f>
        <v>0</v>
      </c>
      <c r="I1131">
        <f>COUNTBLANK(Sales_Data[[#This Row],[Quantity]])</f>
        <v>0</v>
      </c>
      <c r="J1131" t="str">
        <f>TEXT(Sales_Data[[#This Row],[Date]],"yyyy-mm")</f>
        <v>2025-02</v>
      </c>
    </row>
    <row r="1132" spans="1:10" x14ac:dyDescent="0.35">
      <c r="A1132" t="s">
        <v>1521</v>
      </c>
      <c r="B1132" s="3">
        <v>45986</v>
      </c>
      <c r="C1132" t="s">
        <v>35</v>
      </c>
      <c r="D1132" t="s">
        <v>181</v>
      </c>
      <c r="E1132" t="s">
        <v>387</v>
      </c>
      <c r="F1132">
        <v>6</v>
      </c>
      <c r="G1132" s="6">
        <v>296760</v>
      </c>
      <c r="H1132">
        <f>COUNTBLANK(Sales_Data[[#This Row],[Revenue]])</f>
        <v>0</v>
      </c>
      <c r="I1132">
        <f>COUNTBLANK(Sales_Data[[#This Row],[Quantity]])</f>
        <v>0</v>
      </c>
      <c r="J1132" t="str">
        <f>TEXT(Sales_Data[[#This Row],[Date]],"yyyy-mm")</f>
        <v>2025-11</v>
      </c>
    </row>
    <row r="1133" spans="1:10" x14ac:dyDescent="0.35">
      <c r="A1133" t="s">
        <v>1522</v>
      </c>
      <c r="B1133" s="3">
        <v>45972</v>
      </c>
      <c r="C1133" t="s">
        <v>57</v>
      </c>
      <c r="D1133" t="s">
        <v>301</v>
      </c>
      <c r="E1133" t="s">
        <v>387</v>
      </c>
      <c r="F1133">
        <v>7</v>
      </c>
      <c r="G1133" s="6">
        <v>341523</v>
      </c>
      <c r="H1133">
        <f>COUNTBLANK(Sales_Data[[#This Row],[Revenue]])</f>
        <v>0</v>
      </c>
      <c r="I1133">
        <f>COUNTBLANK(Sales_Data[[#This Row],[Quantity]])</f>
        <v>0</v>
      </c>
      <c r="J1133" t="str">
        <f>TEXT(Sales_Data[[#This Row],[Date]],"yyyy-mm")</f>
        <v>2025-11</v>
      </c>
    </row>
    <row r="1134" spans="1:10" x14ac:dyDescent="0.35">
      <c r="A1134" t="s">
        <v>1523</v>
      </c>
      <c r="B1134" s="3">
        <v>45984</v>
      </c>
      <c r="C1134" t="s">
        <v>16</v>
      </c>
      <c r="D1134" t="s">
        <v>125</v>
      </c>
      <c r="E1134" t="s">
        <v>403</v>
      </c>
      <c r="F1134">
        <v>3</v>
      </c>
      <c r="G1134" s="6">
        <v>95886</v>
      </c>
      <c r="H1134">
        <f>COUNTBLANK(Sales_Data[[#This Row],[Revenue]])</f>
        <v>0</v>
      </c>
      <c r="I1134">
        <f>COUNTBLANK(Sales_Data[[#This Row],[Quantity]])</f>
        <v>0</v>
      </c>
      <c r="J1134" t="str">
        <f>TEXT(Sales_Data[[#This Row],[Date]],"yyyy-mm")</f>
        <v>2025-11</v>
      </c>
    </row>
    <row r="1135" spans="1:10" x14ac:dyDescent="0.35">
      <c r="A1135" t="s">
        <v>1524</v>
      </c>
      <c r="B1135" s="3">
        <v>45687</v>
      </c>
      <c r="C1135" t="s">
        <v>23</v>
      </c>
      <c r="D1135" t="s">
        <v>359</v>
      </c>
      <c r="E1135" t="s">
        <v>394</v>
      </c>
      <c r="F1135">
        <v>9</v>
      </c>
      <c r="G1135" s="6">
        <v>54621</v>
      </c>
      <c r="H1135">
        <f>COUNTBLANK(Sales_Data[[#This Row],[Revenue]])</f>
        <v>0</v>
      </c>
      <c r="I1135">
        <f>COUNTBLANK(Sales_Data[[#This Row],[Quantity]])</f>
        <v>0</v>
      </c>
      <c r="J1135" t="str">
        <f>TEXT(Sales_Data[[#This Row],[Date]],"yyyy-mm")</f>
        <v>2025-01</v>
      </c>
    </row>
    <row r="1136" spans="1:10" x14ac:dyDescent="0.35">
      <c r="A1136" t="s">
        <v>1525</v>
      </c>
      <c r="B1136" s="3">
        <v>45850</v>
      </c>
      <c r="C1136" t="s">
        <v>59</v>
      </c>
      <c r="D1136" t="s">
        <v>321</v>
      </c>
      <c r="E1136" t="s">
        <v>389</v>
      </c>
      <c r="F1136">
        <v>2</v>
      </c>
      <c r="G1136" s="6">
        <v>96212</v>
      </c>
      <c r="H1136">
        <f>COUNTBLANK(Sales_Data[[#This Row],[Revenue]])</f>
        <v>0</v>
      </c>
      <c r="I1136">
        <f>COUNTBLANK(Sales_Data[[#This Row],[Quantity]])</f>
        <v>0</v>
      </c>
      <c r="J1136" t="str">
        <f>TEXT(Sales_Data[[#This Row],[Date]],"yyyy-mm")</f>
        <v>2025-07</v>
      </c>
    </row>
    <row r="1137" spans="1:10" x14ac:dyDescent="0.35">
      <c r="A1137" t="s">
        <v>1526</v>
      </c>
      <c r="B1137" s="3">
        <v>45888</v>
      </c>
      <c r="C1137" t="s">
        <v>27</v>
      </c>
      <c r="D1137" t="s">
        <v>271</v>
      </c>
      <c r="E1137" t="s">
        <v>403</v>
      </c>
      <c r="F1137">
        <v>8</v>
      </c>
      <c r="G1137" s="6">
        <v>301472</v>
      </c>
      <c r="H1137">
        <f>COUNTBLANK(Sales_Data[[#This Row],[Revenue]])</f>
        <v>0</v>
      </c>
      <c r="I1137">
        <f>COUNTBLANK(Sales_Data[[#This Row],[Quantity]])</f>
        <v>0</v>
      </c>
      <c r="J1137" t="str">
        <f>TEXT(Sales_Data[[#This Row],[Date]],"yyyy-mm")</f>
        <v>2025-08</v>
      </c>
    </row>
    <row r="1138" spans="1:10" x14ac:dyDescent="0.35">
      <c r="A1138" t="s">
        <v>1527</v>
      </c>
      <c r="B1138" s="3">
        <v>45805</v>
      </c>
      <c r="C1138" t="s">
        <v>67</v>
      </c>
      <c r="D1138" t="s">
        <v>213</v>
      </c>
      <c r="E1138" t="s">
        <v>389</v>
      </c>
      <c r="F1138">
        <v>10</v>
      </c>
      <c r="G1138" s="6">
        <v>216160</v>
      </c>
      <c r="H1138">
        <f>COUNTBLANK(Sales_Data[[#This Row],[Revenue]])</f>
        <v>0</v>
      </c>
      <c r="I1138">
        <f>COUNTBLANK(Sales_Data[[#This Row],[Quantity]])</f>
        <v>0</v>
      </c>
      <c r="J1138" t="str">
        <f>TEXT(Sales_Data[[#This Row],[Date]],"yyyy-mm")</f>
        <v>2025-05</v>
      </c>
    </row>
    <row r="1139" spans="1:10" x14ac:dyDescent="0.35">
      <c r="A1139" t="s">
        <v>1528</v>
      </c>
      <c r="B1139" s="3">
        <v>45995</v>
      </c>
      <c r="C1139" t="s">
        <v>4</v>
      </c>
      <c r="D1139" t="s">
        <v>151</v>
      </c>
      <c r="E1139" t="s">
        <v>389</v>
      </c>
      <c r="F1139">
        <v>2</v>
      </c>
      <c r="G1139" s="6">
        <v>23630</v>
      </c>
      <c r="H1139">
        <f>COUNTBLANK(Sales_Data[[#This Row],[Revenue]])</f>
        <v>0</v>
      </c>
      <c r="I1139">
        <f>COUNTBLANK(Sales_Data[[#This Row],[Quantity]])</f>
        <v>0</v>
      </c>
      <c r="J1139" t="str">
        <f>TEXT(Sales_Data[[#This Row],[Date]],"yyyy-mm")</f>
        <v>2025-12</v>
      </c>
    </row>
    <row r="1140" spans="1:10" x14ac:dyDescent="0.35">
      <c r="A1140" t="s">
        <v>1529</v>
      </c>
      <c r="B1140" s="3">
        <v>45932</v>
      </c>
      <c r="C1140" t="s">
        <v>63</v>
      </c>
      <c r="D1140" t="s">
        <v>179</v>
      </c>
      <c r="E1140" t="s">
        <v>403</v>
      </c>
      <c r="F1140">
        <v>2</v>
      </c>
      <c r="G1140" s="6">
        <v>17536</v>
      </c>
      <c r="H1140">
        <f>COUNTBLANK(Sales_Data[[#This Row],[Revenue]])</f>
        <v>0</v>
      </c>
      <c r="I1140">
        <f>COUNTBLANK(Sales_Data[[#This Row],[Quantity]])</f>
        <v>0</v>
      </c>
      <c r="J1140" t="str">
        <f>TEXT(Sales_Data[[#This Row],[Date]],"yyyy-mm")</f>
        <v>2025-10</v>
      </c>
    </row>
    <row r="1141" spans="1:10" x14ac:dyDescent="0.35">
      <c r="A1141" t="s">
        <v>1530</v>
      </c>
      <c r="B1141" s="3">
        <v>45833</v>
      </c>
      <c r="C1141" t="s">
        <v>53</v>
      </c>
      <c r="D1141" t="s">
        <v>167</v>
      </c>
      <c r="E1141" t="s">
        <v>391</v>
      </c>
      <c r="F1141">
        <v>8</v>
      </c>
      <c r="G1141" s="6">
        <v>33664</v>
      </c>
      <c r="H1141">
        <f>COUNTBLANK(Sales_Data[[#This Row],[Revenue]])</f>
        <v>0</v>
      </c>
      <c r="I1141">
        <f>COUNTBLANK(Sales_Data[[#This Row],[Quantity]])</f>
        <v>0</v>
      </c>
      <c r="J1141" t="str">
        <f>TEXT(Sales_Data[[#This Row],[Date]],"yyyy-mm")</f>
        <v>2025-06</v>
      </c>
    </row>
    <row r="1142" spans="1:10" x14ac:dyDescent="0.35">
      <c r="A1142" t="s">
        <v>1531</v>
      </c>
      <c r="B1142" s="3">
        <v>45770</v>
      </c>
      <c r="C1142" t="s">
        <v>25</v>
      </c>
      <c r="D1142" t="s">
        <v>107</v>
      </c>
      <c r="E1142" t="s">
        <v>387</v>
      </c>
      <c r="F1142">
        <v>7</v>
      </c>
      <c r="G1142" s="6">
        <v>127701</v>
      </c>
      <c r="H1142">
        <f>COUNTBLANK(Sales_Data[[#This Row],[Revenue]])</f>
        <v>0</v>
      </c>
      <c r="I1142">
        <f>COUNTBLANK(Sales_Data[[#This Row],[Quantity]])</f>
        <v>0</v>
      </c>
      <c r="J1142" t="str">
        <f>TEXT(Sales_Data[[#This Row],[Date]],"yyyy-mm")</f>
        <v>2025-04</v>
      </c>
    </row>
    <row r="1143" spans="1:10" x14ac:dyDescent="0.35">
      <c r="A1143" t="s">
        <v>1532</v>
      </c>
      <c r="B1143" s="3">
        <v>45808</v>
      </c>
      <c r="C1143" t="s">
        <v>4</v>
      </c>
      <c r="D1143" t="s">
        <v>327</v>
      </c>
      <c r="E1143" t="s">
        <v>389</v>
      </c>
      <c r="F1143">
        <v>1</v>
      </c>
      <c r="G1143" s="6">
        <v>11815</v>
      </c>
      <c r="H1143">
        <f>COUNTBLANK(Sales_Data[[#This Row],[Revenue]])</f>
        <v>0</v>
      </c>
      <c r="I1143">
        <f>COUNTBLANK(Sales_Data[[#This Row],[Quantity]])</f>
        <v>0</v>
      </c>
      <c r="J1143" t="str">
        <f>TEXT(Sales_Data[[#This Row],[Date]],"yyyy-mm")</f>
        <v>2025-05</v>
      </c>
    </row>
    <row r="1144" spans="1:10" x14ac:dyDescent="0.35">
      <c r="A1144" t="s">
        <v>1533</v>
      </c>
      <c r="B1144" s="3">
        <v>45732</v>
      </c>
      <c r="C1144" t="s">
        <v>7</v>
      </c>
      <c r="D1144" t="s">
        <v>269</v>
      </c>
      <c r="E1144" t="s">
        <v>387</v>
      </c>
      <c r="F1144">
        <v>7</v>
      </c>
      <c r="G1144" s="6">
        <v>182931</v>
      </c>
      <c r="H1144">
        <f>COUNTBLANK(Sales_Data[[#This Row],[Revenue]])</f>
        <v>0</v>
      </c>
      <c r="I1144">
        <f>COUNTBLANK(Sales_Data[[#This Row],[Quantity]])</f>
        <v>0</v>
      </c>
      <c r="J1144" t="str">
        <f>TEXT(Sales_Data[[#This Row],[Date]],"yyyy-mm")</f>
        <v>2025-03</v>
      </c>
    </row>
    <row r="1145" spans="1:10" x14ac:dyDescent="0.35">
      <c r="A1145" t="s">
        <v>1534</v>
      </c>
      <c r="B1145" s="3">
        <v>45913</v>
      </c>
      <c r="C1145" t="s">
        <v>65</v>
      </c>
      <c r="D1145" t="s">
        <v>373</v>
      </c>
      <c r="E1145" t="s">
        <v>389</v>
      </c>
      <c r="F1145">
        <v>9</v>
      </c>
      <c r="G1145" s="6">
        <v>4905</v>
      </c>
      <c r="H1145">
        <f>COUNTBLANK(Sales_Data[[#This Row],[Revenue]])</f>
        <v>0</v>
      </c>
      <c r="I1145">
        <f>COUNTBLANK(Sales_Data[[#This Row],[Quantity]])</f>
        <v>0</v>
      </c>
      <c r="J1145" t="str">
        <f>TEXT(Sales_Data[[#This Row],[Date]],"yyyy-mm")</f>
        <v>2025-09</v>
      </c>
    </row>
    <row r="1146" spans="1:10" x14ac:dyDescent="0.35">
      <c r="A1146" t="s">
        <v>1535</v>
      </c>
      <c r="B1146" s="3">
        <v>45732</v>
      </c>
      <c r="C1146" t="s">
        <v>10</v>
      </c>
      <c r="D1146" t="s">
        <v>289</v>
      </c>
      <c r="E1146" t="s">
        <v>403</v>
      </c>
      <c r="F1146">
        <v>3</v>
      </c>
      <c r="G1146" s="6">
        <v>13548</v>
      </c>
      <c r="H1146">
        <f>COUNTBLANK(Sales_Data[[#This Row],[Revenue]])</f>
        <v>0</v>
      </c>
      <c r="I1146">
        <f>COUNTBLANK(Sales_Data[[#This Row],[Quantity]])</f>
        <v>0</v>
      </c>
      <c r="J1146" t="str">
        <f>TEXT(Sales_Data[[#This Row],[Date]],"yyyy-mm")</f>
        <v>2025-03</v>
      </c>
    </row>
    <row r="1147" spans="1:10" x14ac:dyDescent="0.35">
      <c r="A1147" t="s">
        <v>1536</v>
      </c>
      <c r="B1147" s="3">
        <v>45805</v>
      </c>
      <c r="C1147" t="s">
        <v>31</v>
      </c>
      <c r="D1147" t="s">
        <v>377</v>
      </c>
      <c r="E1147" t="s">
        <v>389</v>
      </c>
      <c r="F1147">
        <v>4</v>
      </c>
      <c r="G1147" s="6">
        <v>119864</v>
      </c>
      <c r="H1147">
        <f>COUNTBLANK(Sales_Data[[#This Row],[Revenue]])</f>
        <v>0</v>
      </c>
      <c r="I1147">
        <f>COUNTBLANK(Sales_Data[[#This Row],[Quantity]])</f>
        <v>0</v>
      </c>
      <c r="J1147" t="str">
        <f>TEXT(Sales_Data[[#This Row],[Date]],"yyyy-mm")</f>
        <v>2025-05</v>
      </c>
    </row>
    <row r="1148" spans="1:10" x14ac:dyDescent="0.35">
      <c r="A1148" t="s">
        <v>1537</v>
      </c>
      <c r="B1148" s="3">
        <v>45696</v>
      </c>
      <c r="C1148" t="s">
        <v>51</v>
      </c>
      <c r="D1148" t="s">
        <v>243</v>
      </c>
      <c r="E1148" t="s">
        <v>389</v>
      </c>
      <c r="F1148">
        <v>9</v>
      </c>
      <c r="G1148" s="6">
        <v>282951</v>
      </c>
      <c r="H1148">
        <f>COUNTBLANK(Sales_Data[[#This Row],[Revenue]])</f>
        <v>0</v>
      </c>
      <c r="I1148">
        <f>COUNTBLANK(Sales_Data[[#This Row],[Quantity]])</f>
        <v>0</v>
      </c>
      <c r="J1148" t="str">
        <f>TEXT(Sales_Data[[#This Row],[Date]],"yyyy-mm")</f>
        <v>2025-02</v>
      </c>
    </row>
    <row r="1149" spans="1:10" x14ac:dyDescent="0.35">
      <c r="A1149" t="s">
        <v>1538</v>
      </c>
      <c r="B1149" s="3">
        <v>45795</v>
      </c>
      <c r="C1149" t="s">
        <v>25</v>
      </c>
      <c r="D1149" t="s">
        <v>329</v>
      </c>
      <c r="E1149" t="s">
        <v>391</v>
      </c>
      <c r="F1149">
        <v>5</v>
      </c>
      <c r="G1149" s="6">
        <v>91215</v>
      </c>
      <c r="H1149">
        <f>COUNTBLANK(Sales_Data[[#This Row],[Revenue]])</f>
        <v>0</v>
      </c>
      <c r="I1149">
        <f>COUNTBLANK(Sales_Data[[#This Row],[Quantity]])</f>
        <v>0</v>
      </c>
      <c r="J1149" t="str">
        <f>TEXT(Sales_Data[[#This Row],[Date]],"yyyy-mm")</f>
        <v>2025-05</v>
      </c>
    </row>
    <row r="1150" spans="1:10" x14ac:dyDescent="0.35">
      <c r="A1150" t="s">
        <v>1539</v>
      </c>
      <c r="B1150" s="3">
        <v>45939</v>
      </c>
      <c r="C1150" t="s">
        <v>4</v>
      </c>
      <c r="D1150" t="s">
        <v>367</v>
      </c>
      <c r="E1150" t="s">
        <v>391</v>
      </c>
      <c r="F1150">
        <v>5</v>
      </c>
      <c r="G1150" s="6">
        <v>59075</v>
      </c>
      <c r="H1150">
        <f>COUNTBLANK(Sales_Data[[#This Row],[Revenue]])</f>
        <v>0</v>
      </c>
      <c r="I1150">
        <f>COUNTBLANK(Sales_Data[[#This Row],[Quantity]])</f>
        <v>0</v>
      </c>
      <c r="J1150" t="str">
        <f>TEXT(Sales_Data[[#This Row],[Date]],"yyyy-mm")</f>
        <v>2025-10</v>
      </c>
    </row>
    <row r="1151" spans="1:10" x14ac:dyDescent="0.35">
      <c r="A1151" t="s">
        <v>1540</v>
      </c>
      <c r="B1151" s="3">
        <v>45766</v>
      </c>
      <c r="C1151" t="s">
        <v>47</v>
      </c>
      <c r="D1151" t="s">
        <v>265</v>
      </c>
      <c r="E1151" t="s">
        <v>394</v>
      </c>
      <c r="F1151">
        <v>2</v>
      </c>
      <c r="G1151" s="6">
        <v>44124</v>
      </c>
      <c r="H1151">
        <f>COUNTBLANK(Sales_Data[[#This Row],[Revenue]])</f>
        <v>0</v>
      </c>
      <c r="I1151">
        <f>COUNTBLANK(Sales_Data[[#This Row],[Quantity]])</f>
        <v>0</v>
      </c>
      <c r="J1151" t="str">
        <f>TEXT(Sales_Data[[#This Row],[Date]],"yyyy-mm")</f>
        <v>2025-04</v>
      </c>
    </row>
    <row r="1152" spans="1:10" x14ac:dyDescent="0.35">
      <c r="A1152" t="s">
        <v>1541</v>
      </c>
      <c r="B1152" s="3">
        <v>45754</v>
      </c>
      <c r="C1152" t="s">
        <v>61</v>
      </c>
      <c r="D1152" t="s">
        <v>167</v>
      </c>
      <c r="E1152" t="s">
        <v>394</v>
      </c>
      <c r="F1152">
        <v>9</v>
      </c>
      <c r="G1152" s="6">
        <v>225144</v>
      </c>
      <c r="H1152">
        <f>COUNTBLANK(Sales_Data[[#This Row],[Revenue]])</f>
        <v>0</v>
      </c>
      <c r="I1152">
        <f>COUNTBLANK(Sales_Data[[#This Row],[Quantity]])</f>
        <v>0</v>
      </c>
      <c r="J1152" t="str">
        <f>TEXT(Sales_Data[[#This Row],[Date]],"yyyy-mm")</f>
        <v>2025-04</v>
      </c>
    </row>
    <row r="1153" spans="1:10" x14ac:dyDescent="0.35">
      <c r="A1153" t="s">
        <v>1542</v>
      </c>
      <c r="B1153" s="3">
        <v>45912</v>
      </c>
      <c r="C1153" t="s">
        <v>39</v>
      </c>
      <c r="D1153" t="s">
        <v>343</v>
      </c>
      <c r="E1153" t="s">
        <v>391</v>
      </c>
      <c r="F1153">
        <v>3</v>
      </c>
      <c r="G1153" s="6">
        <v>144864</v>
      </c>
      <c r="H1153">
        <f>COUNTBLANK(Sales_Data[[#This Row],[Revenue]])</f>
        <v>0</v>
      </c>
      <c r="I1153">
        <f>COUNTBLANK(Sales_Data[[#This Row],[Quantity]])</f>
        <v>0</v>
      </c>
      <c r="J1153" t="str">
        <f>TEXT(Sales_Data[[#This Row],[Date]],"yyyy-mm")</f>
        <v>2025-09</v>
      </c>
    </row>
    <row r="1154" spans="1:10" x14ac:dyDescent="0.35">
      <c r="A1154" t="s">
        <v>1543</v>
      </c>
      <c r="B1154" s="3">
        <v>45894</v>
      </c>
      <c r="C1154" t="s">
        <v>7</v>
      </c>
      <c r="D1154" t="s">
        <v>375</v>
      </c>
      <c r="E1154" t="s">
        <v>394</v>
      </c>
      <c r="F1154">
        <v>7</v>
      </c>
      <c r="G1154" s="6">
        <v>182931</v>
      </c>
      <c r="H1154">
        <f>COUNTBLANK(Sales_Data[[#This Row],[Revenue]])</f>
        <v>0</v>
      </c>
      <c r="I1154">
        <f>COUNTBLANK(Sales_Data[[#This Row],[Quantity]])</f>
        <v>0</v>
      </c>
      <c r="J1154" t="str">
        <f>TEXT(Sales_Data[[#This Row],[Date]],"yyyy-mm")</f>
        <v>2025-08</v>
      </c>
    </row>
    <row r="1155" spans="1:10" x14ac:dyDescent="0.35">
      <c r="A1155" t="s">
        <v>1544</v>
      </c>
      <c r="B1155" s="3">
        <v>45849</v>
      </c>
      <c r="C1155" t="s">
        <v>10</v>
      </c>
      <c r="D1155" t="s">
        <v>139</v>
      </c>
      <c r="E1155" t="s">
        <v>391</v>
      </c>
      <c r="F1155">
        <v>5</v>
      </c>
      <c r="G1155" s="6">
        <v>22580</v>
      </c>
      <c r="H1155">
        <f>COUNTBLANK(Sales_Data[[#This Row],[Revenue]])</f>
        <v>0</v>
      </c>
      <c r="I1155">
        <f>COUNTBLANK(Sales_Data[[#This Row],[Quantity]])</f>
        <v>0</v>
      </c>
      <c r="J1155" t="str">
        <f>TEXT(Sales_Data[[#This Row],[Date]],"yyyy-mm")</f>
        <v>2025-07</v>
      </c>
    </row>
    <row r="1156" spans="1:10" x14ac:dyDescent="0.35">
      <c r="A1156" t="s">
        <v>1545</v>
      </c>
      <c r="B1156" s="3">
        <v>45849</v>
      </c>
      <c r="C1156" t="s">
        <v>35</v>
      </c>
      <c r="D1156" t="s">
        <v>151</v>
      </c>
      <c r="E1156" t="s">
        <v>387</v>
      </c>
      <c r="F1156">
        <v>7</v>
      </c>
      <c r="G1156" s="6">
        <v>346220</v>
      </c>
      <c r="H1156">
        <f>COUNTBLANK(Sales_Data[[#This Row],[Revenue]])</f>
        <v>0</v>
      </c>
      <c r="I1156">
        <f>COUNTBLANK(Sales_Data[[#This Row],[Quantity]])</f>
        <v>0</v>
      </c>
      <c r="J1156" t="str">
        <f>TEXT(Sales_Data[[#This Row],[Date]],"yyyy-mm")</f>
        <v>2025-07</v>
      </c>
    </row>
    <row r="1157" spans="1:10" x14ac:dyDescent="0.35">
      <c r="A1157" t="s">
        <v>1546</v>
      </c>
      <c r="B1157" s="3">
        <v>45827</v>
      </c>
      <c r="C1157" t="s">
        <v>31</v>
      </c>
      <c r="D1157" t="s">
        <v>305</v>
      </c>
      <c r="E1157" t="s">
        <v>403</v>
      </c>
      <c r="F1157">
        <v>4</v>
      </c>
      <c r="G1157" s="6">
        <v>119864</v>
      </c>
      <c r="H1157">
        <f>COUNTBLANK(Sales_Data[[#This Row],[Revenue]])</f>
        <v>0</v>
      </c>
      <c r="I1157">
        <f>COUNTBLANK(Sales_Data[[#This Row],[Quantity]])</f>
        <v>0</v>
      </c>
      <c r="J1157" t="str">
        <f>TEXT(Sales_Data[[#This Row],[Date]],"yyyy-mm")</f>
        <v>2025-06</v>
      </c>
    </row>
    <row r="1158" spans="1:10" x14ac:dyDescent="0.35">
      <c r="A1158" t="s">
        <v>1547</v>
      </c>
      <c r="B1158" s="3">
        <v>45817</v>
      </c>
      <c r="C1158" t="s">
        <v>49</v>
      </c>
      <c r="D1158" t="s">
        <v>285</v>
      </c>
      <c r="E1158" t="s">
        <v>391</v>
      </c>
      <c r="F1158">
        <v>9</v>
      </c>
      <c r="G1158" s="6">
        <v>409626</v>
      </c>
      <c r="H1158">
        <f>COUNTBLANK(Sales_Data[[#This Row],[Revenue]])</f>
        <v>0</v>
      </c>
      <c r="I1158">
        <f>COUNTBLANK(Sales_Data[[#This Row],[Quantity]])</f>
        <v>0</v>
      </c>
      <c r="J1158" t="str">
        <f>TEXT(Sales_Data[[#This Row],[Date]],"yyyy-mm")</f>
        <v>2025-06</v>
      </c>
    </row>
    <row r="1159" spans="1:10" x14ac:dyDescent="0.35">
      <c r="A1159" t="s">
        <v>1548</v>
      </c>
      <c r="B1159" s="3">
        <v>45744</v>
      </c>
      <c r="C1159" t="s">
        <v>35</v>
      </c>
      <c r="D1159" t="s">
        <v>361</v>
      </c>
      <c r="E1159" t="s">
        <v>391</v>
      </c>
      <c r="F1159">
        <v>2</v>
      </c>
      <c r="G1159" s="6">
        <v>98920</v>
      </c>
      <c r="H1159">
        <f>COUNTBLANK(Sales_Data[[#This Row],[Revenue]])</f>
        <v>0</v>
      </c>
      <c r="I1159">
        <f>COUNTBLANK(Sales_Data[[#This Row],[Quantity]])</f>
        <v>0</v>
      </c>
      <c r="J1159" t="str">
        <f>TEXT(Sales_Data[[#This Row],[Date]],"yyyy-mm")</f>
        <v>2025-03</v>
      </c>
    </row>
    <row r="1160" spans="1:10" x14ac:dyDescent="0.35">
      <c r="A1160" t="s">
        <v>1549</v>
      </c>
      <c r="B1160" s="3">
        <v>45821</v>
      </c>
      <c r="C1160" t="s">
        <v>16</v>
      </c>
      <c r="D1160" t="s">
        <v>255</v>
      </c>
      <c r="E1160" t="s">
        <v>394</v>
      </c>
      <c r="F1160">
        <v>6</v>
      </c>
      <c r="G1160" s="6">
        <v>191772</v>
      </c>
      <c r="H1160">
        <f>COUNTBLANK(Sales_Data[[#This Row],[Revenue]])</f>
        <v>0</v>
      </c>
      <c r="I1160">
        <f>COUNTBLANK(Sales_Data[[#This Row],[Quantity]])</f>
        <v>0</v>
      </c>
      <c r="J1160" t="str">
        <f>TEXT(Sales_Data[[#This Row],[Date]],"yyyy-mm")</f>
        <v>2025-06</v>
      </c>
    </row>
    <row r="1161" spans="1:10" x14ac:dyDescent="0.35">
      <c r="A1161" t="s">
        <v>1550</v>
      </c>
      <c r="B1161" s="3">
        <v>45896</v>
      </c>
      <c r="C1161" t="s">
        <v>53</v>
      </c>
      <c r="D1161" t="s">
        <v>357</v>
      </c>
      <c r="E1161" t="s">
        <v>391</v>
      </c>
      <c r="F1161">
        <v>1</v>
      </c>
      <c r="G1161" s="6">
        <v>4208</v>
      </c>
      <c r="H1161">
        <f>COUNTBLANK(Sales_Data[[#This Row],[Revenue]])</f>
        <v>0</v>
      </c>
      <c r="I1161">
        <f>COUNTBLANK(Sales_Data[[#This Row],[Quantity]])</f>
        <v>0</v>
      </c>
      <c r="J1161" t="str">
        <f>TEXT(Sales_Data[[#This Row],[Date]],"yyyy-mm")</f>
        <v>2025-08</v>
      </c>
    </row>
    <row r="1162" spans="1:10" x14ac:dyDescent="0.35">
      <c r="A1162" t="s">
        <v>1551</v>
      </c>
      <c r="B1162" s="3">
        <v>46001</v>
      </c>
      <c r="C1162" t="s">
        <v>63</v>
      </c>
      <c r="D1162" t="s">
        <v>207</v>
      </c>
      <c r="E1162" t="s">
        <v>403</v>
      </c>
      <c r="F1162">
        <v>3</v>
      </c>
      <c r="G1162" s="6">
        <v>26304</v>
      </c>
      <c r="H1162">
        <f>COUNTBLANK(Sales_Data[[#This Row],[Revenue]])</f>
        <v>0</v>
      </c>
      <c r="I1162">
        <f>COUNTBLANK(Sales_Data[[#This Row],[Quantity]])</f>
        <v>0</v>
      </c>
      <c r="J1162" t="str">
        <f>TEXT(Sales_Data[[#This Row],[Date]],"yyyy-mm")</f>
        <v>2025-12</v>
      </c>
    </row>
    <row r="1163" spans="1:10" x14ac:dyDescent="0.35">
      <c r="A1163" t="s">
        <v>1552</v>
      </c>
      <c r="B1163" s="3">
        <v>45779</v>
      </c>
      <c r="C1163" t="s">
        <v>41</v>
      </c>
      <c r="D1163" t="s">
        <v>355</v>
      </c>
      <c r="E1163" t="s">
        <v>403</v>
      </c>
      <c r="F1163">
        <v>2</v>
      </c>
      <c r="G1163" s="6">
        <v>42524</v>
      </c>
      <c r="H1163">
        <f>COUNTBLANK(Sales_Data[[#This Row],[Revenue]])</f>
        <v>0</v>
      </c>
      <c r="I1163">
        <f>COUNTBLANK(Sales_Data[[#This Row],[Quantity]])</f>
        <v>0</v>
      </c>
      <c r="J1163" t="str">
        <f>TEXT(Sales_Data[[#This Row],[Date]],"yyyy-mm")</f>
        <v>2025-05</v>
      </c>
    </row>
    <row r="1164" spans="1:10" x14ac:dyDescent="0.35">
      <c r="A1164" t="s">
        <v>1553</v>
      </c>
      <c r="B1164" s="3">
        <v>45745</v>
      </c>
      <c r="C1164" t="s">
        <v>16</v>
      </c>
      <c r="D1164" t="s">
        <v>333</v>
      </c>
      <c r="E1164" t="s">
        <v>391</v>
      </c>
      <c r="F1164">
        <v>9</v>
      </c>
      <c r="G1164" s="6">
        <v>287658</v>
      </c>
      <c r="H1164">
        <f>COUNTBLANK(Sales_Data[[#This Row],[Revenue]])</f>
        <v>0</v>
      </c>
      <c r="I1164">
        <f>COUNTBLANK(Sales_Data[[#This Row],[Quantity]])</f>
        <v>0</v>
      </c>
      <c r="J1164" t="str">
        <f>TEXT(Sales_Data[[#This Row],[Date]],"yyyy-mm")</f>
        <v>2025-03</v>
      </c>
    </row>
    <row r="1165" spans="1:10" x14ac:dyDescent="0.35">
      <c r="A1165" t="s">
        <v>1554</v>
      </c>
      <c r="B1165" s="3">
        <v>45678</v>
      </c>
      <c r="C1165" t="s">
        <v>49</v>
      </c>
      <c r="D1165" t="s">
        <v>131</v>
      </c>
      <c r="E1165" t="s">
        <v>403</v>
      </c>
      <c r="F1165">
        <v>5</v>
      </c>
      <c r="G1165" s="6">
        <v>227570</v>
      </c>
      <c r="H1165">
        <f>COUNTBLANK(Sales_Data[[#This Row],[Revenue]])</f>
        <v>0</v>
      </c>
      <c r="I1165">
        <f>COUNTBLANK(Sales_Data[[#This Row],[Quantity]])</f>
        <v>0</v>
      </c>
      <c r="J1165" t="str">
        <f>TEXT(Sales_Data[[#This Row],[Date]],"yyyy-mm")</f>
        <v>2025-01</v>
      </c>
    </row>
    <row r="1166" spans="1:10" x14ac:dyDescent="0.35">
      <c r="A1166" t="s">
        <v>1555</v>
      </c>
      <c r="B1166" s="3">
        <v>45714</v>
      </c>
      <c r="C1166" t="s">
        <v>19</v>
      </c>
      <c r="D1166" t="s">
        <v>205</v>
      </c>
      <c r="E1166" t="s">
        <v>387</v>
      </c>
      <c r="F1166">
        <v>8</v>
      </c>
      <c r="G1166" s="6">
        <v>337272</v>
      </c>
      <c r="H1166">
        <f>COUNTBLANK(Sales_Data[[#This Row],[Revenue]])</f>
        <v>0</v>
      </c>
      <c r="I1166">
        <f>COUNTBLANK(Sales_Data[[#This Row],[Quantity]])</f>
        <v>0</v>
      </c>
      <c r="J1166" t="str">
        <f>TEXT(Sales_Data[[#This Row],[Date]],"yyyy-mm")</f>
        <v>2025-02</v>
      </c>
    </row>
    <row r="1167" spans="1:10" x14ac:dyDescent="0.35">
      <c r="A1167" t="s">
        <v>1556</v>
      </c>
      <c r="B1167" s="3">
        <v>45838</v>
      </c>
      <c r="C1167" t="s">
        <v>63</v>
      </c>
      <c r="D1167" t="s">
        <v>127</v>
      </c>
      <c r="E1167" t="s">
        <v>394</v>
      </c>
      <c r="F1167">
        <v>2</v>
      </c>
      <c r="G1167" s="6">
        <v>17536</v>
      </c>
      <c r="H1167">
        <f>COUNTBLANK(Sales_Data[[#This Row],[Revenue]])</f>
        <v>0</v>
      </c>
      <c r="I1167">
        <f>COUNTBLANK(Sales_Data[[#This Row],[Quantity]])</f>
        <v>0</v>
      </c>
      <c r="J1167" t="str">
        <f>TEXT(Sales_Data[[#This Row],[Date]],"yyyy-mm")</f>
        <v>2025-06</v>
      </c>
    </row>
    <row r="1168" spans="1:10" x14ac:dyDescent="0.35">
      <c r="A1168" t="s">
        <v>1557</v>
      </c>
      <c r="B1168" s="3">
        <v>45937</v>
      </c>
      <c r="C1168" t="s">
        <v>33</v>
      </c>
      <c r="D1168" t="s">
        <v>88</v>
      </c>
      <c r="E1168" t="s">
        <v>391</v>
      </c>
      <c r="F1168">
        <v>4</v>
      </c>
      <c r="G1168" s="6">
        <v>145012</v>
      </c>
      <c r="H1168">
        <f>COUNTBLANK(Sales_Data[[#This Row],[Revenue]])</f>
        <v>0</v>
      </c>
      <c r="I1168">
        <f>COUNTBLANK(Sales_Data[[#This Row],[Quantity]])</f>
        <v>0</v>
      </c>
      <c r="J1168" t="str">
        <f>TEXT(Sales_Data[[#This Row],[Date]],"yyyy-mm")</f>
        <v>2025-10</v>
      </c>
    </row>
    <row r="1169" spans="1:10" x14ac:dyDescent="0.35">
      <c r="A1169" t="s">
        <v>1558</v>
      </c>
      <c r="B1169" s="3">
        <v>45959</v>
      </c>
      <c r="C1169" t="s">
        <v>29</v>
      </c>
      <c r="D1169" t="s">
        <v>191</v>
      </c>
      <c r="E1169" t="s">
        <v>389</v>
      </c>
      <c r="F1169">
        <v>8</v>
      </c>
      <c r="G1169" s="6">
        <v>341152</v>
      </c>
      <c r="H1169">
        <f>COUNTBLANK(Sales_Data[[#This Row],[Revenue]])</f>
        <v>0</v>
      </c>
      <c r="I1169">
        <f>COUNTBLANK(Sales_Data[[#This Row],[Quantity]])</f>
        <v>0</v>
      </c>
      <c r="J1169" t="str">
        <f>TEXT(Sales_Data[[#This Row],[Date]],"yyyy-mm")</f>
        <v>2025-10</v>
      </c>
    </row>
    <row r="1170" spans="1:10" x14ac:dyDescent="0.35">
      <c r="A1170" t="s">
        <v>1559</v>
      </c>
      <c r="B1170" s="3">
        <v>45715</v>
      </c>
      <c r="C1170" t="s">
        <v>41</v>
      </c>
      <c r="D1170" t="s">
        <v>319</v>
      </c>
      <c r="E1170" t="s">
        <v>403</v>
      </c>
      <c r="F1170">
        <v>6</v>
      </c>
      <c r="G1170" s="6">
        <v>127572</v>
      </c>
      <c r="H1170">
        <f>COUNTBLANK(Sales_Data[[#This Row],[Revenue]])</f>
        <v>0</v>
      </c>
      <c r="I1170">
        <f>COUNTBLANK(Sales_Data[[#This Row],[Quantity]])</f>
        <v>0</v>
      </c>
      <c r="J1170" t="str">
        <f>TEXT(Sales_Data[[#This Row],[Date]],"yyyy-mm")</f>
        <v>2025-02</v>
      </c>
    </row>
    <row r="1171" spans="1:10" x14ac:dyDescent="0.35">
      <c r="A1171" t="s">
        <v>1560</v>
      </c>
      <c r="B1171" s="3">
        <v>45726</v>
      </c>
      <c r="C1171" t="s">
        <v>39</v>
      </c>
      <c r="D1171" t="s">
        <v>123</v>
      </c>
      <c r="E1171" t="s">
        <v>394</v>
      </c>
      <c r="F1171">
        <v>3</v>
      </c>
      <c r="G1171" s="6">
        <v>144864</v>
      </c>
      <c r="H1171">
        <f>COUNTBLANK(Sales_Data[[#This Row],[Revenue]])</f>
        <v>0</v>
      </c>
      <c r="I1171">
        <f>COUNTBLANK(Sales_Data[[#This Row],[Quantity]])</f>
        <v>0</v>
      </c>
      <c r="J1171" t="str">
        <f>TEXT(Sales_Data[[#This Row],[Date]],"yyyy-mm")</f>
        <v>2025-03</v>
      </c>
    </row>
    <row r="1172" spans="1:10" x14ac:dyDescent="0.35">
      <c r="A1172" t="s">
        <v>1561</v>
      </c>
      <c r="B1172" s="3">
        <v>45957</v>
      </c>
      <c r="C1172" t="s">
        <v>65</v>
      </c>
      <c r="D1172" t="s">
        <v>209</v>
      </c>
      <c r="E1172" t="s">
        <v>389</v>
      </c>
      <c r="F1172">
        <v>9</v>
      </c>
      <c r="G1172" s="6">
        <v>4905</v>
      </c>
      <c r="H1172">
        <f>COUNTBLANK(Sales_Data[[#This Row],[Revenue]])</f>
        <v>0</v>
      </c>
      <c r="I1172">
        <f>COUNTBLANK(Sales_Data[[#This Row],[Quantity]])</f>
        <v>0</v>
      </c>
      <c r="J1172" t="str">
        <f>TEXT(Sales_Data[[#This Row],[Date]],"yyyy-mm")</f>
        <v>2025-10</v>
      </c>
    </row>
    <row r="1173" spans="1:10" x14ac:dyDescent="0.35">
      <c r="A1173" t="s">
        <v>1562</v>
      </c>
      <c r="B1173" s="3">
        <v>45738</v>
      </c>
      <c r="C1173" t="s">
        <v>47</v>
      </c>
      <c r="D1173" t="s">
        <v>123</v>
      </c>
      <c r="E1173" t="s">
        <v>387</v>
      </c>
      <c r="F1173">
        <v>6</v>
      </c>
      <c r="G1173" s="6">
        <v>132372</v>
      </c>
      <c r="H1173">
        <f>COUNTBLANK(Sales_Data[[#This Row],[Revenue]])</f>
        <v>0</v>
      </c>
      <c r="I1173">
        <f>COUNTBLANK(Sales_Data[[#This Row],[Quantity]])</f>
        <v>0</v>
      </c>
      <c r="J1173" t="str">
        <f>TEXT(Sales_Data[[#This Row],[Date]],"yyyy-mm")</f>
        <v>2025-03</v>
      </c>
    </row>
    <row r="1174" spans="1:10" x14ac:dyDescent="0.35">
      <c r="A1174" t="s">
        <v>1563</v>
      </c>
      <c r="B1174" s="3">
        <v>45752</v>
      </c>
      <c r="C1174" t="s">
        <v>13</v>
      </c>
      <c r="D1174" t="s">
        <v>159</v>
      </c>
      <c r="E1174" t="s">
        <v>391</v>
      </c>
      <c r="F1174">
        <v>5</v>
      </c>
      <c r="G1174" s="6">
        <v>150885</v>
      </c>
      <c r="H1174">
        <f>COUNTBLANK(Sales_Data[[#This Row],[Revenue]])</f>
        <v>0</v>
      </c>
      <c r="I1174">
        <f>COUNTBLANK(Sales_Data[[#This Row],[Quantity]])</f>
        <v>0</v>
      </c>
      <c r="J1174" t="str">
        <f>TEXT(Sales_Data[[#This Row],[Date]],"yyyy-mm")</f>
        <v>2025-04</v>
      </c>
    </row>
    <row r="1175" spans="1:10" x14ac:dyDescent="0.35">
      <c r="A1175" t="s">
        <v>1564</v>
      </c>
      <c r="B1175" s="3">
        <v>45813</v>
      </c>
      <c r="C1175" t="s">
        <v>39</v>
      </c>
      <c r="D1175" t="s">
        <v>165</v>
      </c>
      <c r="E1175" t="s">
        <v>387</v>
      </c>
      <c r="F1175">
        <v>8</v>
      </c>
      <c r="G1175" s="6">
        <v>386304</v>
      </c>
      <c r="H1175">
        <f>COUNTBLANK(Sales_Data[[#This Row],[Revenue]])</f>
        <v>0</v>
      </c>
      <c r="I1175">
        <f>COUNTBLANK(Sales_Data[[#This Row],[Quantity]])</f>
        <v>0</v>
      </c>
      <c r="J1175" t="str">
        <f>TEXT(Sales_Data[[#This Row],[Date]],"yyyy-mm")</f>
        <v>2025-06</v>
      </c>
    </row>
    <row r="1176" spans="1:10" x14ac:dyDescent="0.35">
      <c r="A1176" t="s">
        <v>1565</v>
      </c>
      <c r="B1176" s="3">
        <v>45896</v>
      </c>
      <c r="C1176" t="s">
        <v>33</v>
      </c>
      <c r="D1176" t="s">
        <v>221</v>
      </c>
      <c r="E1176" t="s">
        <v>387</v>
      </c>
      <c r="F1176">
        <v>4</v>
      </c>
      <c r="G1176" s="6">
        <v>145012</v>
      </c>
      <c r="H1176">
        <f>COUNTBLANK(Sales_Data[[#This Row],[Revenue]])</f>
        <v>0</v>
      </c>
      <c r="I1176">
        <f>COUNTBLANK(Sales_Data[[#This Row],[Quantity]])</f>
        <v>0</v>
      </c>
      <c r="J1176" t="str">
        <f>TEXT(Sales_Data[[#This Row],[Date]],"yyyy-mm")</f>
        <v>2025-08</v>
      </c>
    </row>
    <row r="1177" spans="1:10" x14ac:dyDescent="0.35">
      <c r="A1177" t="s">
        <v>1566</v>
      </c>
      <c r="B1177" s="3">
        <v>45772</v>
      </c>
      <c r="C1177" t="s">
        <v>59</v>
      </c>
      <c r="D1177" t="s">
        <v>265</v>
      </c>
      <c r="E1177" t="s">
        <v>403</v>
      </c>
      <c r="F1177">
        <v>10</v>
      </c>
      <c r="G1177" s="6">
        <v>481060</v>
      </c>
      <c r="H1177">
        <f>COUNTBLANK(Sales_Data[[#This Row],[Revenue]])</f>
        <v>0</v>
      </c>
      <c r="I1177">
        <f>COUNTBLANK(Sales_Data[[#This Row],[Quantity]])</f>
        <v>0</v>
      </c>
      <c r="J1177" t="str">
        <f>TEXT(Sales_Data[[#This Row],[Date]],"yyyy-mm")</f>
        <v>2025-04</v>
      </c>
    </row>
    <row r="1178" spans="1:10" x14ac:dyDescent="0.35">
      <c r="A1178" t="s">
        <v>1567</v>
      </c>
      <c r="B1178" s="3">
        <v>45976</v>
      </c>
      <c r="C1178" t="s">
        <v>33</v>
      </c>
      <c r="D1178" t="s">
        <v>143</v>
      </c>
      <c r="E1178" t="s">
        <v>387</v>
      </c>
      <c r="F1178">
        <v>3</v>
      </c>
      <c r="G1178" s="6">
        <v>108759</v>
      </c>
      <c r="H1178">
        <f>COUNTBLANK(Sales_Data[[#This Row],[Revenue]])</f>
        <v>0</v>
      </c>
      <c r="I1178">
        <f>COUNTBLANK(Sales_Data[[#This Row],[Quantity]])</f>
        <v>0</v>
      </c>
      <c r="J1178" t="str">
        <f>TEXT(Sales_Data[[#This Row],[Date]],"yyyy-mm")</f>
        <v>2025-11</v>
      </c>
    </row>
    <row r="1179" spans="1:10" x14ac:dyDescent="0.35">
      <c r="A1179" t="s">
        <v>1568</v>
      </c>
      <c r="B1179" s="3">
        <v>46014</v>
      </c>
      <c r="C1179" t="s">
        <v>51</v>
      </c>
      <c r="D1179" t="s">
        <v>221</v>
      </c>
      <c r="E1179" t="s">
        <v>389</v>
      </c>
      <c r="F1179">
        <v>6</v>
      </c>
      <c r="G1179" s="6">
        <v>188634</v>
      </c>
      <c r="H1179">
        <f>COUNTBLANK(Sales_Data[[#This Row],[Revenue]])</f>
        <v>0</v>
      </c>
      <c r="I1179">
        <f>COUNTBLANK(Sales_Data[[#This Row],[Quantity]])</f>
        <v>0</v>
      </c>
      <c r="J1179" t="str">
        <f>TEXT(Sales_Data[[#This Row],[Date]],"yyyy-mm")</f>
        <v>2025-12</v>
      </c>
    </row>
    <row r="1180" spans="1:10" x14ac:dyDescent="0.35">
      <c r="A1180" t="s">
        <v>1569</v>
      </c>
      <c r="B1180" s="3">
        <v>45878</v>
      </c>
      <c r="C1180" t="s">
        <v>61</v>
      </c>
      <c r="D1180" t="s">
        <v>113</v>
      </c>
      <c r="E1180" t="s">
        <v>403</v>
      </c>
      <c r="F1180">
        <v>5</v>
      </c>
      <c r="G1180" s="6">
        <v>125080</v>
      </c>
      <c r="H1180">
        <f>COUNTBLANK(Sales_Data[[#This Row],[Revenue]])</f>
        <v>0</v>
      </c>
      <c r="I1180">
        <f>COUNTBLANK(Sales_Data[[#This Row],[Quantity]])</f>
        <v>0</v>
      </c>
      <c r="J1180" t="str">
        <f>TEXT(Sales_Data[[#This Row],[Date]],"yyyy-mm")</f>
        <v>2025-08</v>
      </c>
    </row>
    <row r="1181" spans="1:10" x14ac:dyDescent="0.35">
      <c r="A1181" t="s">
        <v>1570</v>
      </c>
      <c r="B1181" s="3">
        <v>45953</v>
      </c>
      <c r="C1181" t="s">
        <v>57</v>
      </c>
      <c r="D1181" t="s">
        <v>103</v>
      </c>
      <c r="E1181" t="s">
        <v>394</v>
      </c>
      <c r="F1181">
        <v>8</v>
      </c>
      <c r="G1181" s="6">
        <v>390312</v>
      </c>
      <c r="H1181">
        <f>COUNTBLANK(Sales_Data[[#This Row],[Revenue]])</f>
        <v>0</v>
      </c>
      <c r="I1181">
        <f>COUNTBLANK(Sales_Data[[#This Row],[Quantity]])</f>
        <v>0</v>
      </c>
      <c r="J1181" t="str">
        <f>TEXT(Sales_Data[[#This Row],[Date]],"yyyy-mm")</f>
        <v>2025-10</v>
      </c>
    </row>
    <row r="1182" spans="1:10" x14ac:dyDescent="0.35">
      <c r="A1182" t="s">
        <v>1571</v>
      </c>
      <c r="B1182" s="3">
        <v>45819</v>
      </c>
      <c r="C1182" t="s">
        <v>37</v>
      </c>
      <c r="D1182" t="s">
        <v>347</v>
      </c>
      <c r="E1182" t="s">
        <v>403</v>
      </c>
      <c r="F1182">
        <v>1</v>
      </c>
      <c r="G1182" s="6">
        <v>1953</v>
      </c>
      <c r="H1182">
        <f>COUNTBLANK(Sales_Data[[#This Row],[Revenue]])</f>
        <v>0</v>
      </c>
      <c r="I1182">
        <f>COUNTBLANK(Sales_Data[[#This Row],[Quantity]])</f>
        <v>0</v>
      </c>
      <c r="J1182" t="str">
        <f>TEXT(Sales_Data[[#This Row],[Date]],"yyyy-mm")</f>
        <v>2025-06</v>
      </c>
    </row>
    <row r="1183" spans="1:10" x14ac:dyDescent="0.35">
      <c r="A1183" t="s">
        <v>1572</v>
      </c>
      <c r="B1183" s="3">
        <v>45765</v>
      </c>
      <c r="C1183" t="s">
        <v>41</v>
      </c>
      <c r="D1183" t="s">
        <v>237</v>
      </c>
      <c r="E1183" t="s">
        <v>403</v>
      </c>
      <c r="F1183">
        <v>10</v>
      </c>
      <c r="G1183" s="6">
        <v>212620</v>
      </c>
      <c r="H1183">
        <f>COUNTBLANK(Sales_Data[[#This Row],[Revenue]])</f>
        <v>0</v>
      </c>
      <c r="I1183">
        <f>COUNTBLANK(Sales_Data[[#This Row],[Quantity]])</f>
        <v>0</v>
      </c>
      <c r="J1183" t="str">
        <f>TEXT(Sales_Data[[#This Row],[Date]],"yyyy-mm")</f>
        <v>2025-04</v>
      </c>
    </row>
    <row r="1184" spans="1:10" x14ac:dyDescent="0.35">
      <c r="A1184" t="s">
        <v>1573</v>
      </c>
      <c r="B1184" s="3">
        <v>45833</v>
      </c>
      <c r="C1184" t="s">
        <v>37</v>
      </c>
      <c r="D1184" t="s">
        <v>111</v>
      </c>
      <c r="E1184" t="s">
        <v>403</v>
      </c>
      <c r="F1184">
        <v>6</v>
      </c>
      <c r="G1184" s="6">
        <v>11718</v>
      </c>
      <c r="H1184">
        <f>COUNTBLANK(Sales_Data[[#This Row],[Revenue]])</f>
        <v>0</v>
      </c>
      <c r="I1184">
        <f>COUNTBLANK(Sales_Data[[#This Row],[Quantity]])</f>
        <v>0</v>
      </c>
      <c r="J1184" t="str">
        <f>TEXT(Sales_Data[[#This Row],[Date]],"yyyy-mm")</f>
        <v>2025-06</v>
      </c>
    </row>
    <row r="1185" spans="1:10" x14ac:dyDescent="0.35">
      <c r="A1185" t="s">
        <v>1574</v>
      </c>
      <c r="B1185" s="3">
        <v>45690</v>
      </c>
      <c r="C1185" t="s">
        <v>61</v>
      </c>
      <c r="D1185" t="s">
        <v>159</v>
      </c>
      <c r="E1185" t="s">
        <v>394</v>
      </c>
      <c r="F1185">
        <v>5</v>
      </c>
      <c r="G1185" s="6">
        <v>125080</v>
      </c>
      <c r="H1185">
        <f>COUNTBLANK(Sales_Data[[#This Row],[Revenue]])</f>
        <v>0</v>
      </c>
      <c r="I1185">
        <f>COUNTBLANK(Sales_Data[[#This Row],[Quantity]])</f>
        <v>0</v>
      </c>
      <c r="J1185" t="str">
        <f>TEXT(Sales_Data[[#This Row],[Date]],"yyyy-mm")</f>
        <v>2025-02</v>
      </c>
    </row>
    <row r="1186" spans="1:10" x14ac:dyDescent="0.35">
      <c r="A1186" t="s">
        <v>1575</v>
      </c>
      <c r="B1186" s="3">
        <v>45672</v>
      </c>
      <c r="C1186" t="s">
        <v>33</v>
      </c>
      <c r="D1186" t="s">
        <v>281</v>
      </c>
      <c r="E1186" t="s">
        <v>403</v>
      </c>
      <c r="F1186">
        <v>10</v>
      </c>
      <c r="G1186" s="6">
        <v>362530</v>
      </c>
      <c r="H1186">
        <f>COUNTBLANK(Sales_Data[[#This Row],[Revenue]])</f>
        <v>0</v>
      </c>
      <c r="I1186">
        <f>COUNTBLANK(Sales_Data[[#This Row],[Quantity]])</f>
        <v>0</v>
      </c>
      <c r="J1186" t="str">
        <f>TEXT(Sales_Data[[#This Row],[Date]],"yyyy-mm")</f>
        <v>2025-01</v>
      </c>
    </row>
    <row r="1187" spans="1:10" x14ac:dyDescent="0.35">
      <c r="A1187" t="s">
        <v>1576</v>
      </c>
      <c r="B1187" s="3">
        <v>45828</v>
      </c>
      <c r="C1187" t="s">
        <v>45</v>
      </c>
      <c r="D1187" t="s">
        <v>109</v>
      </c>
      <c r="E1187" t="s">
        <v>403</v>
      </c>
      <c r="F1187">
        <v>6</v>
      </c>
      <c r="G1187" s="6">
        <v>46956</v>
      </c>
      <c r="H1187">
        <f>COUNTBLANK(Sales_Data[[#This Row],[Revenue]])</f>
        <v>0</v>
      </c>
      <c r="I1187">
        <f>COUNTBLANK(Sales_Data[[#This Row],[Quantity]])</f>
        <v>0</v>
      </c>
      <c r="J1187" t="str">
        <f>TEXT(Sales_Data[[#This Row],[Date]],"yyyy-mm")</f>
        <v>2025-06</v>
      </c>
    </row>
    <row r="1188" spans="1:10" x14ac:dyDescent="0.35">
      <c r="A1188" t="s">
        <v>1577</v>
      </c>
      <c r="B1188" s="3">
        <v>45861</v>
      </c>
      <c r="C1188" t="s">
        <v>63</v>
      </c>
      <c r="D1188" t="s">
        <v>211</v>
      </c>
      <c r="E1188" t="s">
        <v>387</v>
      </c>
      <c r="F1188">
        <v>2</v>
      </c>
      <c r="G1188" s="6">
        <v>17536</v>
      </c>
      <c r="H1188">
        <f>COUNTBLANK(Sales_Data[[#This Row],[Revenue]])</f>
        <v>0</v>
      </c>
      <c r="I1188">
        <f>COUNTBLANK(Sales_Data[[#This Row],[Quantity]])</f>
        <v>0</v>
      </c>
      <c r="J1188" t="str">
        <f>TEXT(Sales_Data[[#This Row],[Date]],"yyyy-mm")</f>
        <v>2025-07</v>
      </c>
    </row>
    <row r="1189" spans="1:10" x14ac:dyDescent="0.35">
      <c r="A1189" t="s">
        <v>1578</v>
      </c>
      <c r="B1189" s="3">
        <v>45982</v>
      </c>
      <c r="C1189" t="s">
        <v>25</v>
      </c>
      <c r="D1189" t="s">
        <v>373</v>
      </c>
      <c r="E1189" t="s">
        <v>391</v>
      </c>
      <c r="F1189">
        <v>9</v>
      </c>
      <c r="G1189" s="6">
        <v>164187</v>
      </c>
      <c r="H1189">
        <f>COUNTBLANK(Sales_Data[[#This Row],[Revenue]])</f>
        <v>0</v>
      </c>
      <c r="I1189">
        <f>COUNTBLANK(Sales_Data[[#This Row],[Quantity]])</f>
        <v>0</v>
      </c>
      <c r="J1189" t="str">
        <f>TEXT(Sales_Data[[#This Row],[Date]],"yyyy-mm")</f>
        <v>2025-11</v>
      </c>
    </row>
    <row r="1190" spans="1:10" x14ac:dyDescent="0.35">
      <c r="A1190" t="s">
        <v>1579</v>
      </c>
      <c r="B1190" s="3">
        <v>45734</v>
      </c>
      <c r="C1190" t="s">
        <v>41</v>
      </c>
      <c r="D1190" t="s">
        <v>109</v>
      </c>
      <c r="E1190" t="s">
        <v>394</v>
      </c>
      <c r="F1190">
        <v>3</v>
      </c>
      <c r="G1190" s="6">
        <v>63786</v>
      </c>
      <c r="H1190">
        <f>COUNTBLANK(Sales_Data[[#This Row],[Revenue]])</f>
        <v>0</v>
      </c>
      <c r="I1190">
        <f>COUNTBLANK(Sales_Data[[#This Row],[Quantity]])</f>
        <v>0</v>
      </c>
      <c r="J1190" t="str">
        <f>TEXT(Sales_Data[[#This Row],[Date]],"yyyy-mm")</f>
        <v>2025-03</v>
      </c>
    </row>
    <row r="1191" spans="1:10" x14ac:dyDescent="0.35">
      <c r="A1191" t="s">
        <v>1580</v>
      </c>
      <c r="B1191" s="3">
        <v>45978</v>
      </c>
      <c r="C1191" t="s">
        <v>7</v>
      </c>
      <c r="D1191" t="s">
        <v>373</v>
      </c>
      <c r="E1191" t="s">
        <v>403</v>
      </c>
      <c r="F1191">
        <v>2</v>
      </c>
      <c r="G1191" s="6">
        <v>52266</v>
      </c>
      <c r="H1191">
        <f>COUNTBLANK(Sales_Data[[#This Row],[Revenue]])</f>
        <v>0</v>
      </c>
      <c r="I1191">
        <f>COUNTBLANK(Sales_Data[[#This Row],[Quantity]])</f>
        <v>0</v>
      </c>
      <c r="J1191" t="str">
        <f>TEXT(Sales_Data[[#This Row],[Date]],"yyyy-mm")</f>
        <v>2025-11</v>
      </c>
    </row>
    <row r="1192" spans="1:10" x14ac:dyDescent="0.35">
      <c r="A1192" t="s">
        <v>1581</v>
      </c>
      <c r="B1192" s="3">
        <v>46006</v>
      </c>
      <c r="C1192" t="s">
        <v>53</v>
      </c>
      <c r="D1192" t="s">
        <v>107</v>
      </c>
      <c r="E1192" t="s">
        <v>389</v>
      </c>
      <c r="F1192">
        <v>2</v>
      </c>
      <c r="G1192" s="6">
        <v>8416</v>
      </c>
      <c r="H1192">
        <f>COUNTBLANK(Sales_Data[[#This Row],[Revenue]])</f>
        <v>0</v>
      </c>
      <c r="I1192">
        <f>COUNTBLANK(Sales_Data[[#This Row],[Quantity]])</f>
        <v>0</v>
      </c>
      <c r="J1192" t="str">
        <f>TEXT(Sales_Data[[#This Row],[Date]],"yyyy-mm")</f>
        <v>2025-12</v>
      </c>
    </row>
    <row r="1193" spans="1:10" x14ac:dyDescent="0.35">
      <c r="A1193" t="s">
        <v>1582</v>
      </c>
      <c r="B1193" s="3">
        <v>45712</v>
      </c>
      <c r="C1193" t="s">
        <v>67</v>
      </c>
      <c r="D1193" t="s">
        <v>327</v>
      </c>
      <c r="E1193" t="s">
        <v>403</v>
      </c>
      <c r="F1193">
        <v>4</v>
      </c>
      <c r="G1193" s="6">
        <v>86464</v>
      </c>
      <c r="H1193">
        <f>COUNTBLANK(Sales_Data[[#This Row],[Revenue]])</f>
        <v>0</v>
      </c>
      <c r="I1193">
        <f>COUNTBLANK(Sales_Data[[#This Row],[Quantity]])</f>
        <v>0</v>
      </c>
      <c r="J1193" t="str">
        <f>TEXT(Sales_Data[[#This Row],[Date]],"yyyy-mm")</f>
        <v>2025-02</v>
      </c>
    </row>
    <row r="1194" spans="1:10" x14ac:dyDescent="0.35">
      <c r="A1194" t="s">
        <v>1583</v>
      </c>
      <c r="B1194" s="3">
        <v>45970</v>
      </c>
      <c r="C1194" t="s">
        <v>10</v>
      </c>
      <c r="D1194" t="s">
        <v>255</v>
      </c>
      <c r="E1194" t="s">
        <v>389</v>
      </c>
      <c r="F1194">
        <v>2</v>
      </c>
      <c r="G1194" s="6">
        <v>9032</v>
      </c>
      <c r="H1194">
        <f>COUNTBLANK(Sales_Data[[#This Row],[Revenue]])</f>
        <v>0</v>
      </c>
      <c r="I1194">
        <f>COUNTBLANK(Sales_Data[[#This Row],[Quantity]])</f>
        <v>0</v>
      </c>
      <c r="J1194" t="str">
        <f>TEXT(Sales_Data[[#This Row],[Date]],"yyyy-mm")</f>
        <v>2025-11</v>
      </c>
    </row>
    <row r="1195" spans="1:10" x14ac:dyDescent="0.35">
      <c r="A1195" t="s">
        <v>1584</v>
      </c>
      <c r="B1195" s="3">
        <v>45874</v>
      </c>
      <c r="C1195" t="s">
        <v>47</v>
      </c>
      <c r="D1195" t="s">
        <v>135</v>
      </c>
      <c r="E1195" t="s">
        <v>389</v>
      </c>
      <c r="F1195">
        <v>3</v>
      </c>
      <c r="G1195" s="6">
        <v>66186</v>
      </c>
      <c r="H1195">
        <f>COUNTBLANK(Sales_Data[[#This Row],[Revenue]])</f>
        <v>0</v>
      </c>
      <c r="I1195">
        <f>COUNTBLANK(Sales_Data[[#This Row],[Quantity]])</f>
        <v>0</v>
      </c>
      <c r="J1195" t="str">
        <f>TEXT(Sales_Data[[#This Row],[Date]],"yyyy-mm")</f>
        <v>2025-08</v>
      </c>
    </row>
    <row r="1196" spans="1:10" x14ac:dyDescent="0.35">
      <c r="A1196" t="s">
        <v>1585</v>
      </c>
      <c r="B1196" s="3">
        <v>45709</v>
      </c>
      <c r="C1196" t="s">
        <v>55</v>
      </c>
      <c r="D1196" t="s">
        <v>95</v>
      </c>
      <c r="E1196" t="s">
        <v>389</v>
      </c>
      <c r="F1196">
        <v>5</v>
      </c>
      <c r="G1196" s="6">
        <v>57075</v>
      </c>
      <c r="H1196">
        <f>COUNTBLANK(Sales_Data[[#This Row],[Revenue]])</f>
        <v>0</v>
      </c>
      <c r="I1196">
        <f>COUNTBLANK(Sales_Data[[#This Row],[Quantity]])</f>
        <v>0</v>
      </c>
      <c r="J1196" t="str">
        <f>TEXT(Sales_Data[[#This Row],[Date]],"yyyy-mm")</f>
        <v>2025-02</v>
      </c>
    </row>
    <row r="1197" spans="1:10" x14ac:dyDescent="0.35">
      <c r="A1197" t="s">
        <v>1586</v>
      </c>
      <c r="B1197" s="3">
        <v>45689</v>
      </c>
      <c r="C1197" t="s">
        <v>13</v>
      </c>
      <c r="D1197" t="s">
        <v>113</v>
      </c>
      <c r="E1197" t="s">
        <v>394</v>
      </c>
      <c r="F1197">
        <v>5</v>
      </c>
      <c r="G1197" s="6">
        <v>150885</v>
      </c>
      <c r="H1197">
        <f>COUNTBLANK(Sales_Data[[#This Row],[Revenue]])</f>
        <v>0</v>
      </c>
      <c r="I1197">
        <f>COUNTBLANK(Sales_Data[[#This Row],[Quantity]])</f>
        <v>0</v>
      </c>
      <c r="J1197" t="str">
        <f>TEXT(Sales_Data[[#This Row],[Date]],"yyyy-mm")</f>
        <v>2025-02</v>
      </c>
    </row>
    <row r="1198" spans="1:10" x14ac:dyDescent="0.35">
      <c r="A1198" t="s">
        <v>1587</v>
      </c>
      <c r="B1198" s="3">
        <v>45747</v>
      </c>
      <c r="C1198" t="s">
        <v>16</v>
      </c>
      <c r="D1198" t="s">
        <v>185</v>
      </c>
      <c r="E1198" t="s">
        <v>394</v>
      </c>
      <c r="F1198">
        <v>3</v>
      </c>
      <c r="G1198" s="6">
        <v>95886</v>
      </c>
      <c r="H1198">
        <f>COUNTBLANK(Sales_Data[[#This Row],[Revenue]])</f>
        <v>0</v>
      </c>
      <c r="I1198">
        <f>COUNTBLANK(Sales_Data[[#This Row],[Quantity]])</f>
        <v>0</v>
      </c>
      <c r="J1198" t="str">
        <f>TEXT(Sales_Data[[#This Row],[Date]],"yyyy-mm")</f>
        <v>2025-03</v>
      </c>
    </row>
    <row r="1199" spans="1:10" x14ac:dyDescent="0.35">
      <c r="A1199" t="s">
        <v>1588</v>
      </c>
      <c r="B1199" s="3">
        <v>45919</v>
      </c>
      <c r="C1199" t="s">
        <v>13</v>
      </c>
      <c r="D1199" t="s">
        <v>207</v>
      </c>
      <c r="E1199" t="s">
        <v>387</v>
      </c>
      <c r="F1199">
        <v>1</v>
      </c>
      <c r="G1199" s="6">
        <v>30177</v>
      </c>
      <c r="H1199">
        <f>COUNTBLANK(Sales_Data[[#This Row],[Revenue]])</f>
        <v>0</v>
      </c>
      <c r="I1199">
        <f>COUNTBLANK(Sales_Data[[#This Row],[Quantity]])</f>
        <v>0</v>
      </c>
      <c r="J1199" t="str">
        <f>TEXT(Sales_Data[[#This Row],[Date]],"yyyy-mm")</f>
        <v>2025-09</v>
      </c>
    </row>
    <row r="1200" spans="1:10" x14ac:dyDescent="0.35">
      <c r="A1200" t="s">
        <v>1589</v>
      </c>
      <c r="B1200" s="3">
        <v>45991</v>
      </c>
      <c r="C1200" t="s">
        <v>23</v>
      </c>
      <c r="D1200" t="s">
        <v>327</v>
      </c>
      <c r="E1200" t="s">
        <v>389</v>
      </c>
      <c r="F1200">
        <v>9</v>
      </c>
      <c r="G1200" s="6">
        <v>54621</v>
      </c>
      <c r="H1200">
        <f>COUNTBLANK(Sales_Data[[#This Row],[Revenue]])</f>
        <v>0</v>
      </c>
      <c r="I1200">
        <f>COUNTBLANK(Sales_Data[[#This Row],[Quantity]])</f>
        <v>0</v>
      </c>
      <c r="J1200" t="str">
        <f>TEXT(Sales_Data[[#This Row],[Date]],"yyyy-mm")</f>
        <v>2025-11</v>
      </c>
    </row>
    <row r="1201" spans="1:10" x14ac:dyDescent="0.35">
      <c r="A1201" t="s">
        <v>1590</v>
      </c>
      <c r="B1201" s="3">
        <v>45981</v>
      </c>
      <c r="C1201" t="s">
        <v>67</v>
      </c>
      <c r="D1201" t="s">
        <v>305</v>
      </c>
      <c r="E1201" t="s">
        <v>389</v>
      </c>
      <c r="F1201">
        <v>5</v>
      </c>
      <c r="G1201" s="6">
        <v>108080</v>
      </c>
      <c r="H1201">
        <f>COUNTBLANK(Sales_Data[[#This Row],[Revenue]])</f>
        <v>0</v>
      </c>
      <c r="I1201">
        <f>COUNTBLANK(Sales_Data[[#This Row],[Quantity]])</f>
        <v>0</v>
      </c>
      <c r="J1201" t="str">
        <f>TEXT(Sales_Data[[#This Row],[Date]],"yyyy-mm")</f>
        <v>2025-11</v>
      </c>
    </row>
    <row r="1202" spans="1:10" x14ac:dyDescent="0.35">
      <c r="A1202" t="s">
        <v>1591</v>
      </c>
      <c r="B1202" s="3">
        <v>45856</v>
      </c>
      <c r="C1202" t="s">
        <v>33</v>
      </c>
      <c r="D1202" t="s">
        <v>313</v>
      </c>
      <c r="E1202" t="s">
        <v>403</v>
      </c>
      <c r="F1202">
        <v>5</v>
      </c>
      <c r="G1202" s="6">
        <v>181265</v>
      </c>
      <c r="H1202">
        <f>COUNTBLANK(Sales_Data[[#This Row],[Revenue]])</f>
        <v>0</v>
      </c>
      <c r="I1202">
        <f>COUNTBLANK(Sales_Data[[#This Row],[Quantity]])</f>
        <v>0</v>
      </c>
      <c r="J1202" t="str">
        <f>TEXT(Sales_Data[[#This Row],[Date]],"yyyy-mm")</f>
        <v>2025-07</v>
      </c>
    </row>
    <row r="1203" spans="1:10" x14ac:dyDescent="0.35">
      <c r="A1203" t="s">
        <v>1592</v>
      </c>
      <c r="B1203" s="3">
        <v>45842</v>
      </c>
      <c r="C1203" t="s">
        <v>53</v>
      </c>
      <c r="D1203" t="s">
        <v>341</v>
      </c>
      <c r="E1203" t="s">
        <v>389</v>
      </c>
      <c r="F1203">
        <v>10</v>
      </c>
      <c r="G1203" s="6">
        <v>42080</v>
      </c>
      <c r="H1203">
        <f>COUNTBLANK(Sales_Data[[#This Row],[Revenue]])</f>
        <v>0</v>
      </c>
      <c r="I1203">
        <f>COUNTBLANK(Sales_Data[[#This Row],[Quantity]])</f>
        <v>0</v>
      </c>
      <c r="J1203" t="str">
        <f>TEXT(Sales_Data[[#This Row],[Date]],"yyyy-mm")</f>
        <v>2025-07</v>
      </c>
    </row>
    <row r="1204" spans="1:10" x14ac:dyDescent="0.35">
      <c r="A1204" t="s">
        <v>1593</v>
      </c>
      <c r="B1204" s="3">
        <v>45867</v>
      </c>
      <c r="C1204" t="s">
        <v>25</v>
      </c>
      <c r="D1204" t="s">
        <v>325</v>
      </c>
      <c r="E1204" t="s">
        <v>389</v>
      </c>
      <c r="F1204">
        <v>1</v>
      </c>
      <c r="G1204" s="6">
        <v>18243</v>
      </c>
      <c r="H1204">
        <f>COUNTBLANK(Sales_Data[[#This Row],[Revenue]])</f>
        <v>0</v>
      </c>
      <c r="I1204">
        <f>COUNTBLANK(Sales_Data[[#This Row],[Quantity]])</f>
        <v>0</v>
      </c>
      <c r="J1204" t="str">
        <f>TEXT(Sales_Data[[#This Row],[Date]],"yyyy-mm")</f>
        <v>2025-07</v>
      </c>
    </row>
    <row r="1205" spans="1:10" x14ac:dyDescent="0.35">
      <c r="A1205" t="s">
        <v>1594</v>
      </c>
      <c r="B1205" s="3">
        <v>46019</v>
      </c>
      <c r="C1205" t="s">
        <v>43</v>
      </c>
      <c r="D1205" t="s">
        <v>291</v>
      </c>
      <c r="E1205" t="s">
        <v>391</v>
      </c>
      <c r="F1205">
        <v>1</v>
      </c>
      <c r="G1205" s="6">
        <v>37825</v>
      </c>
      <c r="H1205">
        <f>COUNTBLANK(Sales_Data[[#This Row],[Revenue]])</f>
        <v>0</v>
      </c>
      <c r="I1205">
        <f>COUNTBLANK(Sales_Data[[#This Row],[Quantity]])</f>
        <v>0</v>
      </c>
      <c r="J1205" t="str">
        <f>TEXT(Sales_Data[[#This Row],[Date]],"yyyy-mm")</f>
        <v>2025-12</v>
      </c>
    </row>
    <row r="1206" spans="1:10" x14ac:dyDescent="0.35">
      <c r="A1206" t="s">
        <v>1595</v>
      </c>
      <c r="B1206" s="3">
        <v>45928</v>
      </c>
      <c r="C1206" t="s">
        <v>49</v>
      </c>
      <c r="D1206" t="s">
        <v>289</v>
      </c>
      <c r="E1206" t="s">
        <v>391</v>
      </c>
      <c r="F1206">
        <v>4</v>
      </c>
      <c r="G1206" s="6">
        <v>182056</v>
      </c>
      <c r="H1206">
        <f>COUNTBLANK(Sales_Data[[#This Row],[Revenue]])</f>
        <v>0</v>
      </c>
      <c r="I1206">
        <f>COUNTBLANK(Sales_Data[[#This Row],[Quantity]])</f>
        <v>0</v>
      </c>
      <c r="J1206" t="str">
        <f>TEXT(Sales_Data[[#This Row],[Date]],"yyyy-mm")</f>
        <v>2025-09</v>
      </c>
    </row>
    <row r="1207" spans="1:10" x14ac:dyDescent="0.35">
      <c r="A1207" t="s">
        <v>1596</v>
      </c>
      <c r="B1207" s="3">
        <v>45885</v>
      </c>
      <c r="C1207" t="s">
        <v>21</v>
      </c>
      <c r="D1207" t="s">
        <v>173</v>
      </c>
      <c r="E1207" t="s">
        <v>387</v>
      </c>
      <c r="F1207">
        <v>1</v>
      </c>
      <c r="G1207" s="6">
        <v>15209</v>
      </c>
      <c r="H1207">
        <f>COUNTBLANK(Sales_Data[[#This Row],[Revenue]])</f>
        <v>0</v>
      </c>
      <c r="I1207">
        <f>COUNTBLANK(Sales_Data[[#This Row],[Quantity]])</f>
        <v>0</v>
      </c>
      <c r="J1207" t="str">
        <f>TEXT(Sales_Data[[#This Row],[Date]],"yyyy-mm")</f>
        <v>2025-08</v>
      </c>
    </row>
    <row r="1208" spans="1:10" x14ac:dyDescent="0.35">
      <c r="A1208" t="s">
        <v>1597</v>
      </c>
      <c r="B1208" s="3">
        <v>45672</v>
      </c>
      <c r="C1208" t="s">
        <v>7</v>
      </c>
      <c r="D1208" t="s">
        <v>167</v>
      </c>
      <c r="E1208" t="s">
        <v>391</v>
      </c>
      <c r="F1208">
        <v>9</v>
      </c>
      <c r="G1208" s="6">
        <v>235197</v>
      </c>
      <c r="H1208">
        <f>COUNTBLANK(Sales_Data[[#This Row],[Revenue]])</f>
        <v>0</v>
      </c>
      <c r="I1208">
        <f>COUNTBLANK(Sales_Data[[#This Row],[Quantity]])</f>
        <v>0</v>
      </c>
      <c r="J1208" t="str">
        <f>TEXT(Sales_Data[[#This Row],[Date]],"yyyy-mm")</f>
        <v>2025-01</v>
      </c>
    </row>
    <row r="1209" spans="1:10" x14ac:dyDescent="0.35">
      <c r="A1209" t="s">
        <v>1598</v>
      </c>
      <c r="B1209" s="3">
        <v>45722</v>
      </c>
      <c r="C1209" t="s">
        <v>13</v>
      </c>
      <c r="D1209" t="s">
        <v>151</v>
      </c>
      <c r="E1209" t="s">
        <v>403</v>
      </c>
      <c r="F1209">
        <v>2</v>
      </c>
      <c r="G1209" s="6">
        <v>60354</v>
      </c>
      <c r="H1209">
        <f>COUNTBLANK(Sales_Data[[#This Row],[Revenue]])</f>
        <v>0</v>
      </c>
      <c r="I1209">
        <f>COUNTBLANK(Sales_Data[[#This Row],[Quantity]])</f>
        <v>0</v>
      </c>
      <c r="J1209" t="str">
        <f>TEXT(Sales_Data[[#This Row],[Date]],"yyyy-mm")</f>
        <v>2025-03</v>
      </c>
    </row>
    <row r="1210" spans="1:10" x14ac:dyDescent="0.35">
      <c r="A1210" t="s">
        <v>1599</v>
      </c>
      <c r="B1210" s="3">
        <v>45968</v>
      </c>
      <c r="C1210" t="s">
        <v>45</v>
      </c>
      <c r="D1210" t="s">
        <v>119</v>
      </c>
      <c r="E1210" t="s">
        <v>387</v>
      </c>
      <c r="F1210">
        <v>4</v>
      </c>
      <c r="G1210" s="6">
        <v>31304</v>
      </c>
      <c r="H1210">
        <f>COUNTBLANK(Sales_Data[[#This Row],[Revenue]])</f>
        <v>0</v>
      </c>
      <c r="I1210">
        <f>COUNTBLANK(Sales_Data[[#This Row],[Quantity]])</f>
        <v>0</v>
      </c>
      <c r="J1210" t="str">
        <f>TEXT(Sales_Data[[#This Row],[Date]],"yyyy-mm")</f>
        <v>2025-11</v>
      </c>
    </row>
    <row r="1211" spans="1:10" x14ac:dyDescent="0.35">
      <c r="A1211" t="s">
        <v>1600</v>
      </c>
      <c r="B1211" s="3">
        <v>45740</v>
      </c>
      <c r="C1211" t="s">
        <v>63</v>
      </c>
      <c r="D1211" t="s">
        <v>271</v>
      </c>
      <c r="E1211" t="s">
        <v>391</v>
      </c>
      <c r="F1211">
        <v>8</v>
      </c>
      <c r="G1211" s="6">
        <v>70144</v>
      </c>
      <c r="H1211">
        <f>COUNTBLANK(Sales_Data[[#This Row],[Revenue]])</f>
        <v>0</v>
      </c>
      <c r="I1211">
        <f>COUNTBLANK(Sales_Data[[#This Row],[Quantity]])</f>
        <v>0</v>
      </c>
      <c r="J1211" t="str">
        <f>TEXT(Sales_Data[[#This Row],[Date]],"yyyy-mm")</f>
        <v>2025-03</v>
      </c>
    </row>
    <row r="1212" spans="1:10" x14ac:dyDescent="0.35">
      <c r="A1212" t="s">
        <v>1601</v>
      </c>
      <c r="B1212" s="3">
        <v>45833</v>
      </c>
      <c r="C1212" t="s">
        <v>4</v>
      </c>
      <c r="D1212" t="s">
        <v>379</v>
      </c>
      <c r="E1212" t="s">
        <v>394</v>
      </c>
      <c r="F1212">
        <v>7</v>
      </c>
      <c r="G1212" s="6">
        <v>82705</v>
      </c>
      <c r="H1212">
        <f>COUNTBLANK(Sales_Data[[#This Row],[Revenue]])</f>
        <v>0</v>
      </c>
      <c r="I1212">
        <f>COUNTBLANK(Sales_Data[[#This Row],[Quantity]])</f>
        <v>0</v>
      </c>
      <c r="J1212" t="str">
        <f>TEXT(Sales_Data[[#This Row],[Date]],"yyyy-mm")</f>
        <v>2025-06</v>
      </c>
    </row>
    <row r="1213" spans="1:10" x14ac:dyDescent="0.35">
      <c r="A1213" t="s">
        <v>1602</v>
      </c>
      <c r="B1213" s="3">
        <v>45871</v>
      </c>
      <c r="C1213" t="s">
        <v>31</v>
      </c>
      <c r="D1213" t="s">
        <v>235</v>
      </c>
      <c r="E1213" t="s">
        <v>403</v>
      </c>
      <c r="F1213">
        <v>3</v>
      </c>
      <c r="G1213" s="6">
        <v>89898</v>
      </c>
      <c r="H1213">
        <f>COUNTBLANK(Sales_Data[[#This Row],[Revenue]])</f>
        <v>0</v>
      </c>
      <c r="I1213">
        <f>COUNTBLANK(Sales_Data[[#This Row],[Quantity]])</f>
        <v>0</v>
      </c>
      <c r="J1213" t="str">
        <f>TEXT(Sales_Data[[#This Row],[Date]],"yyyy-mm")</f>
        <v>2025-08</v>
      </c>
    </row>
    <row r="1214" spans="1:10" x14ac:dyDescent="0.35">
      <c r="A1214" t="s">
        <v>1603</v>
      </c>
      <c r="B1214" s="3">
        <v>45765</v>
      </c>
      <c r="C1214" t="s">
        <v>33</v>
      </c>
      <c r="D1214" t="s">
        <v>299</v>
      </c>
      <c r="E1214" t="s">
        <v>387</v>
      </c>
      <c r="F1214">
        <v>9</v>
      </c>
      <c r="G1214" s="6">
        <v>326277</v>
      </c>
      <c r="H1214">
        <f>COUNTBLANK(Sales_Data[[#This Row],[Revenue]])</f>
        <v>0</v>
      </c>
      <c r="I1214">
        <f>COUNTBLANK(Sales_Data[[#This Row],[Quantity]])</f>
        <v>0</v>
      </c>
      <c r="J1214" t="str">
        <f>TEXT(Sales_Data[[#This Row],[Date]],"yyyy-mm")</f>
        <v>2025-04</v>
      </c>
    </row>
    <row r="1215" spans="1:10" x14ac:dyDescent="0.35">
      <c r="A1215" t="s">
        <v>1604</v>
      </c>
      <c r="B1215" s="3">
        <v>45901</v>
      </c>
      <c r="C1215" t="s">
        <v>10</v>
      </c>
      <c r="D1215" t="s">
        <v>333</v>
      </c>
      <c r="E1215" t="s">
        <v>394</v>
      </c>
      <c r="F1215">
        <v>3</v>
      </c>
      <c r="G1215" s="6">
        <v>13548</v>
      </c>
      <c r="H1215">
        <f>COUNTBLANK(Sales_Data[[#This Row],[Revenue]])</f>
        <v>0</v>
      </c>
      <c r="I1215">
        <f>COUNTBLANK(Sales_Data[[#This Row],[Quantity]])</f>
        <v>0</v>
      </c>
      <c r="J1215" t="str">
        <f>TEXT(Sales_Data[[#This Row],[Date]],"yyyy-mm")</f>
        <v>2025-09</v>
      </c>
    </row>
    <row r="1216" spans="1:10" x14ac:dyDescent="0.35">
      <c r="A1216" t="s">
        <v>1605</v>
      </c>
      <c r="B1216" s="3">
        <v>45812</v>
      </c>
      <c r="C1216" t="s">
        <v>53</v>
      </c>
      <c r="D1216" t="s">
        <v>287</v>
      </c>
      <c r="E1216" t="s">
        <v>394</v>
      </c>
      <c r="F1216">
        <v>9</v>
      </c>
      <c r="G1216" s="6">
        <v>37872</v>
      </c>
      <c r="H1216">
        <f>COUNTBLANK(Sales_Data[[#This Row],[Revenue]])</f>
        <v>0</v>
      </c>
      <c r="I1216">
        <f>COUNTBLANK(Sales_Data[[#This Row],[Quantity]])</f>
        <v>0</v>
      </c>
      <c r="J1216" t="str">
        <f>TEXT(Sales_Data[[#This Row],[Date]],"yyyy-mm")</f>
        <v>2025-06</v>
      </c>
    </row>
    <row r="1217" spans="1:10" x14ac:dyDescent="0.35">
      <c r="A1217" t="s">
        <v>1606</v>
      </c>
      <c r="B1217" s="3">
        <v>45740</v>
      </c>
      <c r="C1217" t="s">
        <v>53</v>
      </c>
      <c r="D1217" t="s">
        <v>105</v>
      </c>
      <c r="E1217" t="s">
        <v>387</v>
      </c>
      <c r="F1217">
        <v>4</v>
      </c>
      <c r="G1217" s="6">
        <v>16832</v>
      </c>
      <c r="H1217">
        <f>COUNTBLANK(Sales_Data[[#This Row],[Revenue]])</f>
        <v>0</v>
      </c>
      <c r="I1217">
        <f>COUNTBLANK(Sales_Data[[#This Row],[Quantity]])</f>
        <v>0</v>
      </c>
      <c r="J1217" t="str">
        <f>TEXT(Sales_Data[[#This Row],[Date]],"yyyy-mm")</f>
        <v>2025-03</v>
      </c>
    </row>
    <row r="1218" spans="1:10" x14ac:dyDescent="0.35">
      <c r="A1218" t="s">
        <v>1607</v>
      </c>
      <c r="B1218" s="3">
        <v>45706</v>
      </c>
      <c r="C1218" t="s">
        <v>25</v>
      </c>
      <c r="D1218" t="s">
        <v>339</v>
      </c>
      <c r="E1218" t="s">
        <v>394</v>
      </c>
      <c r="F1218">
        <v>9</v>
      </c>
      <c r="G1218" s="6">
        <v>164187</v>
      </c>
      <c r="H1218">
        <f>COUNTBLANK(Sales_Data[[#This Row],[Revenue]])</f>
        <v>0</v>
      </c>
      <c r="I1218">
        <f>COUNTBLANK(Sales_Data[[#This Row],[Quantity]])</f>
        <v>0</v>
      </c>
      <c r="J1218" t="str">
        <f>TEXT(Sales_Data[[#This Row],[Date]],"yyyy-mm")</f>
        <v>2025-02</v>
      </c>
    </row>
    <row r="1219" spans="1:10" x14ac:dyDescent="0.35">
      <c r="A1219" t="s">
        <v>1608</v>
      </c>
      <c r="B1219" s="3">
        <v>45869</v>
      </c>
      <c r="C1219" t="s">
        <v>59</v>
      </c>
      <c r="D1219" t="s">
        <v>127</v>
      </c>
      <c r="E1219" t="s">
        <v>391</v>
      </c>
      <c r="F1219">
        <v>8</v>
      </c>
      <c r="G1219" s="6">
        <v>384848</v>
      </c>
      <c r="H1219">
        <f>COUNTBLANK(Sales_Data[[#This Row],[Revenue]])</f>
        <v>0</v>
      </c>
      <c r="I1219">
        <f>COUNTBLANK(Sales_Data[[#This Row],[Quantity]])</f>
        <v>0</v>
      </c>
      <c r="J1219" t="str">
        <f>TEXT(Sales_Data[[#This Row],[Date]],"yyyy-mm")</f>
        <v>2025-07</v>
      </c>
    </row>
    <row r="1220" spans="1:10" x14ac:dyDescent="0.35">
      <c r="A1220" t="s">
        <v>1609</v>
      </c>
      <c r="B1220" s="3">
        <v>45909</v>
      </c>
      <c r="C1220" t="s">
        <v>25</v>
      </c>
      <c r="D1220" t="s">
        <v>223</v>
      </c>
      <c r="E1220" t="s">
        <v>389</v>
      </c>
      <c r="F1220">
        <v>9</v>
      </c>
      <c r="G1220" s="6">
        <v>164187</v>
      </c>
      <c r="H1220">
        <f>COUNTBLANK(Sales_Data[[#This Row],[Revenue]])</f>
        <v>0</v>
      </c>
      <c r="I1220">
        <f>COUNTBLANK(Sales_Data[[#This Row],[Quantity]])</f>
        <v>0</v>
      </c>
      <c r="J1220" t="str">
        <f>TEXT(Sales_Data[[#This Row],[Date]],"yyyy-mm")</f>
        <v>2025-09</v>
      </c>
    </row>
    <row r="1221" spans="1:10" x14ac:dyDescent="0.35">
      <c r="A1221" t="s">
        <v>1610</v>
      </c>
      <c r="B1221" s="3">
        <v>45907</v>
      </c>
      <c r="C1221" t="s">
        <v>55</v>
      </c>
      <c r="D1221" t="s">
        <v>149</v>
      </c>
      <c r="E1221" t="s">
        <v>394</v>
      </c>
      <c r="F1221">
        <v>1</v>
      </c>
      <c r="G1221" s="6">
        <v>11415</v>
      </c>
      <c r="H1221">
        <f>COUNTBLANK(Sales_Data[[#This Row],[Revenue]])</f>
        <v>0</v>
      </c>
      <c r="I1221">
        <f>COUNTBLANK(Sales_Data[[#This Row],[Quantity]])</f>
        <v>0</v>
      </c>
      <c r="J1221" t="str">
        <f>TEXT(Sales_Data[[#This Row],[Date]],"yyyy-mm")</f>
        <v>2025-09</v>
      </c>
    </row>
    <row r="1222" spans="1:10" x14ac:dyDescent="0.35">
      <c r="A1222" t="s">
        <v>1611</v>
      </c>
      <c r="B1222" s="3">
        <v>45813</v>
      </c>
      <c r="C1222" t="s">
        <v>61</v>
      </c>
      <c r="D1222" t="s">
        <v>137</v>
      </c>
      <c r="E1222" t="s">
        <v>387</v>
      </c>
      <c r="F1222">
        <v>9</v>
      </c>
      <c r="G1222" s="6">
        <v>225144</v>
      </c>
      <c r="H1222">
        <f>COUNTBLANK(Sales_Data[[#This Row],[Revenue]])</f>
        <v>0</v>
      </c>
      <c r="I1222">
        <f>COUNTBLANK(Sales_Data[[#This Row],[Quantity]])</f>
        <v>0</v>
      </c>
      <c r="J1222" t="str">
        <f>TEXT(Sales_Data[[#This Row],[Date]],"yyyy-mm")</f>
        <v>2025-06</v>
      </c>
    </row>
    <row r="1223" spans="1:10" x14ac:dyDescent="0.35">
      <c r="A1223" t="s">
        <v>1612</v>
      </c>
      <c r="B1223" s="3">
        <v>45997</v>
      </c>
      <c r="C1223" t="s">
        <v>53</v>
      </c>
      <c r="D1223" t="s">
        <v>84</v>
      </c>
      <c r="E1223" t="s">
        <v>391</v>
      </c>
      <c r="F1223">
        <v>9</v>
      </c>
      <c r="G1223" s="6">
        <v>37872</v>
      </c>
      <c r="H1223">
        <f>COUNTBLANK(Sales_Data[[#This Row],[Revenue]])</f>
        <v>0</v>
      </c>
      <c r="I1223">
        <f>COUNTBLANK(Sales_Data[[#This Row],[Quantity]])</f>
        <v>0</v>
      </c>
      <c r="J1223" t="str">
        <f>TEXT(Sales_Data[[#This Row],[Date]],"yyyy-mm")</f>
        <v>2025-12</v>
      </c>
    </row>
    <row r="1224" spans="1:10" x14ac:dyDescent="0.35">
      <c r="A1224" t="s">
        <v>1613</v>
      </c>
      <c r="B1224" s="3">
        <v>45680</v>
      </c>
      <c r="C1224" t="s">
        <v>45</v>
      </c>
      <c r="D1224" t="s">
        <v>273</v>
      </c>
      <c r="E1224" t="s">
        <v>387</v>
      </c>
      <c r="F1224">
        <v>6</v>
      </c>
      <c r="G1224" s="6">
        <v>46956</v>
      </c>
      <c r="H1224">
        <f>COUNTBLANK(Sales_Data[[#This Row],[Revenue]])</f>
        <v>0</v>
      </c>
      <c r="I1224">
        <f>COUNTBLANK(Sales_Data[[#This Row],[Quantity]])</f>
        <v>0</v>
      </c>
      <c r="J1224" t="str">
        <f>TEXT(Sales_Data[[#This Row],[Date]],"yyyy-mm")</f>
        <v>2025-01</v>
      </c>
    </row>
    <row r="1225" spans="1:10" x14ac:dyDescent="0.35">
      <c r="A1225" t="s">
        <v>1614</v>
      </c>
      <c r="B1225" s="3">
        <v>45719</v>
      </c>
      <c r="C1225" t="s">
        <v>27</v>
      </c>
      <c r="D1225" t="s">
        <v>357</v>
      </c>
      <c r="E1225" t="s">
        <v>387</v>
      </c>
      <c r="F1225">
        <v>3</v>
      </c>
      <c r="G1225" s="6">
        <v>113052</v>
      </c>
      <c r="H1225">
        <f>COUNTBLANK(Sales_Data[[#This Row],[Revenue]])</f>
        <v>0</v>
      </c>
      <c r="I1225">
        <f>COUNTBLANK(Sales_Data[[#This Row],[Quantity]])</f>
        <v>0</v>
      </c>
      <c r="J1225" t="str">
        <f>TEXT(Sales_Data[[#This Row],[Date]],"yyyy-mm")</f>
        <v>2025-03</v>
      </c>
    </row>
    <row r="1226" spans="1:10" x14ac:dyDescent="0.35">
      <c r="A1226" t="s">
        <v>1615</v>
      </c>
      <c r="B1226" s="3">
        <v>45780</v>
      </c>
      <c r="C1226" t="s">
        <v>31</v>
      </c>
      <c r="D1226" t="s">
        <v>195</v>
      </c>
      <c r="E1226" t="s">
        <v>387</v>
      </c>
      <c r="F1226">
        <v>7</v>
      </c>
      <c r="G1226" s="6">
        <v>209762</v>
      </c>
      <c r="H1226">
        <f>COUNTBLANK(Sales_Data[[#This Row],[Revenue]])</f>
        <v>0</v>
      </c>
      <c r="I1226">
        <f>COUNTBLANK(Sales_Data[[#This Row],[Quantity]])</f>
        <v>0</v>
      </c>
      <c r="J1226" t="str">
        <f>TEXT(Sales_Data[[#This Row],[Date]],"yyyy-mm")</f>
        <v>2025-05</v>
      </c>
    </row>
    <row r="1227" spans="1:10" x14ac:dyDescent="0.35">
      <c r="A1227" t="s">
        <v>1616</v>
      </c>
      <c r="B1227" s="3">
        <v>45777</v>
      </c>
      <c r="C1227" t="s">
        <v>65</v>
      </c>
      <c r="D1227" t="s">
        <v>255</v>
      </c>
      <c r="E1227" t="s">
        <v>387</v>
      </c>
      <c r="F1227">
        <v>1</v>
      </c>
      <c r="G1227" s="6">
        <v>545</v>
      </c>
      <c r="H1227">
        <f>COUNTBLANK(Sales_Data[[#This Row],[Revenue]])</f>
        <v>0</v>
      </c>
      <c r="I1227">
        <f>COUNTBLANK(Sales_Data[[#This Row],[Quantity]])</f>
        <v>0</v>
      </c>
      <c r="J1227" t="str">
        <f>TEXT(Sales_Data[[#This Row],[Date]],"yyyy-mm")</f>
        <v>2025-04</v>
      </c>
    </row>
    <row r="1228" spans="1:10" x14ac:dyDescent="0.35">
      <c r="A1228" t="s">
        <v>1617</v>
      </c>
      <c r="B1228" s="3">
        <v>45977</v>
      </c>
      <c r="C1228" t="s">
        <v>23</v>
      </c>
      <c r="D1228" t="s">
        <v>225</v>
      </c>
      <c r="E1228" t="s">
        <v>394</v>
      </c>
      <c r="F1228">
        <v>9</v>
      </c>
      <c r="G1228" s="6">
        <v>54621</v>
      </c>
      <c r="H1228">
        <f>COUNTBLANK(Sales_Data[[#This Row],[Revenue]])</f>
        <v>0</v>
      </c>
      <c r="I1228">
        <f>COUNTBLANK(Sales_Data[[#This Row],[Quantity]])</f>
        <v>0</v>
      </c>
      <c r="J1228" t="str">
        <f>TEXT(Sales_Data[[#This Row],[Date]],"yyyy-mm")</f>
        <v>2025-11</v>
      </c>
    </row>
    <row r="1229" spans="1:10" x14ac:dyDescent="0.35">
      <c r="A1229" t="s">
        <v>1618</v>
      </c>
      <c r="B1229" s="3">
        <v>45869</v>
      </c>
      <c r="C1229" t="s">
        <v>16</v>
      </c>
      <c r="D1229" t="s">
        <v>91</v>
      </c>
      <c r="E1229" t="s">
        <v>391</v>
      </c>
      <c r="F1229">
        <v>3</v>
      </c>
      <c r="G1229" s="6">
        <v>95886</v>
      </c>
      <c r="H1229">
        <f>COUNTBLANK(Sales_Data[[#This Row],[Revenue]])</f>
        <v>0</v>
      </c>
      <c r="I1229">
        <f>COUNTBLANK(Sales_Data[[#This Row],[Quantity]])</f>
        <v>0</v>
      </c>
      <c r="J1229" t="str">
        <f>TEXT(Sales_Data[[#This Row],[Date]],"yyyy-mm")</f>
        <v>2025-07</v>
      </c>
    </row>
    <row r="1230" spans="1:10" x14ac:dyDescent="0.35">
      <c r="A1230" t="s">
        <v>1619</v>
      </c>
      <c r="B1230" s="3">
        <v>45941</v>
      </c>
      <c r="C1230" t="s">
        <v>4</v>
      </c>
      <c r="D1230" t="s">
        <v>299</v>
      </c>
      <c r="E1230" t="s">
        <v>394</v>
      </c>
      <c r="F1230">
        <v>5</v>
      </c>
      <c r="G1230" s="6">
        <v>59075</v>
      </c>
      <c r="H1230">
        <f>COUNTBLANK(Sales_Data[[#This Row],[Revenue]])</f>
        <v>0</v>
      </c>
      <c r="I1230">
        <f>COUNTBLANK(Sales_Data[[#This Row],[Quantity]])</f>
        <v>0</v>
      </c>
      <c r="J1230" t="str">
        <f>TEXT(Sales_Data[[#This Row],[Date]],"yyyy-mm")</f>
        <v>2025-10</v>
      </c>
    </row>
    <row r="1231" spans="1:10" x14ac:dyDescent="0.35">
      <c r="A1231" t="s">
        <v>1620</v>
      </c>
      <c r="B1231" s="3">
        <v>45964</v>
      </c>
      <c r="C1231" t="s">
        <v>19</v>
      </c>
      <c r="D1231" t="s">
        <v>159</v>
      </c>
      <c r="E1231" t="s">
        <v>394</v>
      </c>
      <c r="F1231">
        <v>10</v>
      </c>
      <c r="G1231" s="6">
        <v>421590</v>
      </c>
      <c r="H1231">
        <f>COUNTBLANK(Sales_Data[[#This Row],[Revenue]])</f>
        <v>0</v>
      </c>
      <c r="I1231">
        <f>COUNTBLANK(Sales_Data[[#This Row],[Quantity]])</f>
        <v>0</v>
      </c>
      <c r="J1231" t="str">
        <f>TEXT(Sales_Data[[#This Row],[Date]],"yyyy-mm")</f>
        <v>2025-11</v>
      </c>
    </row>
    <row r="1232" spans="1:10" x14ac:dyDescent="0.35">
      <c r="A1232" t="s">
        <v>1621</v>
      </c>
      <c r="B1232" s="3">
        <v>45731</v>
      </c>
      <c r="C1232" t="s">
        <v>55</v>
      </c>
      <c r="D1232" t="s">
        <v>311</v>
      </c>
      <c r="E1232" t="s">
        <v>403</v>
      </c>
      <c r="F1232">
        <v>2</v>
      </c>
      <c r="G1232" s="6">
        <v>22830</v>
      </c>
      <c r="H1232">
        <f>COUNTBLANK(Sales_Data[[#This Row],[Revenue]])</f>
        <v>0</v>
      </c>
      <c r="I1232">
        <f>COUNTBLANK(Sales_Data[[#This Row],[Quantity]])</f>
        <v>0</v>
      </c>
      <c r="J1232" t="str">
        <f>TEXT(Sales_Data[[#This Row],[Date]],"yyyy-mm")</f>
        <v>2025-03</v>
      </c>
    </row>
    <row r="1233" spans="1:10" x14ac:dyDescent="0.35">
      <c r="A1233" t="s">
        <v>1622</v>
      </c>
      <c r="B1233" s="3">
        <v>45835</v>
      </c>
      <c r="C1233" t="s">
        <v>29</v>
      </c>
      <c r="D1233" t="s">
        <v>263</v>
      </c>
      <c r="E1233" t="s">
        <v>391</v>
      </c>
      <c r="F1233">
        <v>5</v>
      </c>
      <c r="G1233" s="6">
        <v>213220</v>
      </c>
      <c r="H1233">
        <f>COUNTBLANK(Sales_Data[[#This Row],[Revenue]])</f>
        <v>0</v>
      </c>
      <c r="I1233">
        <f>COUNTBLANK(Sales_Data[[#This Row],[Quantity]])</f>
        <v>0</v>
      </c>
      <c r="J1233" t="str">
        <f>TEXT(Sales_Data[[#This Row],[Date]],"yyyy-mm")</f>
        <v>2025-06</v>
      </c>
    </row>
    <row r="1234" spans="1:10" x14ac:dyDescent="0.35">
      <c r="A1234" t="s">
        <v>1623</v>
      </c>
      <c r="B1234" s="3">
        <v>45991</v>
      </c>
      <c r="C1234" t="s">
        <v>39</v>
      </c>
      <c r="D1234" t="s">
        <v>351</v>
      </c>
      <c r="E1234" t="s">
        <v>391</v>
      </c>
      <c r="F1234">
        <v>4</v>
      </c>
      <c r="G1234" s="6">
        <v>193152</v>
      </c>
      <c r="H1234">
        <f>COUNTBLANK(Sales_Data[[#This Row],[Revenue]])</f>
        <v>0</v>
      </c>
      <c r="I1234">
        <f>COUNTBLANK(Sales_Data[[#This Row],[Quantity]])</f>
        <v>0</v>
      </c>
      <c r="J1234" t="str">
        <f>TEXT(Sales_Data[[#This Row],[Date]],"yyyy-mm")</f>
        <v>2025-11</v>
      </c>
    </row>
    <row r="1235" spans="1:10" x14ac:dyDescent="0.35">
      <c r="A1235" t="s">
        <v>1624</v>
      </c>
      <c r="B1235" s="3">
        <v>45738</v>
      </c>
      <c r="C1235" t="s">
        <v>57</v>
      </c>
      <c r="D1235" t="s">
        <v>129</v>
      </c>
      <c r="E1235" t="s">
        <v>403</v>
      </c>
      <c r="F1235">
        <v>7</v>
      </c>
      <c r="G1235" s="6">
        <v>341523</v>
      </c>
      <c r="H1235">
        <f>COUNTBLANK(Sales_Data[[#This Row],[Revenue]])</f>
        <v>0</v>
      </c>
      <c r="I1235">
        <f>COUNTBLANK(Sales_Data[[#This Row],[Quantity]])</f>
        <v>0</v>
      </c>
      <c r="J1235" t="str">
        <f>TEXT(Sales_Data[[#This Row],[Date]],"yyyy-mm")</f>
        <v>2025-03</v>
      </c>
    </row>
    <row r="1236" spans="1:10" x14ac:dyDescent="0.35">
      <c r="A1236" t="s">
        <v>1625</v>
      </c>
      <c r="B1236" s="3">
        <v>45948</v>
      </c>
      <c r="C1236" t="s">
        <v>57</v>
      </c>
      <c r="D1236" t="s">
        <v>183</v>
      </c>
      <c r="E1236" t="s">
        <v>394</v>
      </c>
      <c r="F1236">
        <v>10</v>
      </c>
      <c r="G1236" s="6">
        <v>487890</v>
      </c>
      <c r="H1236">
        <f>COUNTBLANK(Sales_Data[[#This Row],[Revenue]])</f>
        <v>0</v>
      </c>
      <c r="I1236">
        <f>COUNTBLANK(Sales_Data[[#This Row],[Quantity]])</f>
        <v>0</v>
      </c>
      <c r="J1236" t="str">
        <f>TEXT(Sales_Data[[#This Row],[Date]],"yyyy-mm")</f>
        <v>2025-10</v>
      </c>
    </row>
    <row r="1237" spans="1:10" x14ac:dyDescent="0.35">
      <c r="A1237" t="s">
        <v>1626</v>
      </c>
      <c r="B1237" s="3">
        <v>45686</v>
      </c>
      <c r="C1237" t="s">
        <v>7</v>
      </c>
      <c r="D1237" t="s">
        <v>315</v>
      </c>
      <c r="E1237" t="s">
        <v>389</v>
      </c>
      <c r="F1237">
        <v>4</v>
      </c>
      <c r="G1237" s="6">
        <v>104532</v>
      </c>
      <c r="H1237">
        <f>COUNTBLANK(Sales_Data[[#This Row],[Revenue]])</f>
        <v>0</v>
      </c>
      <c r="I1237">
        <f>COUNTBLANK(Sales_Data[[#This Row],[Quantity]])</f>
        <v>0</v>
      </c>
      <c r="J1237" t="str">
        <f>TEXT(Sales_Data[[#This Row],[Date]],"yyyy-mm")</f>
        <v>2025-01</v>
      </c>
    </row>
    <row r="1238" spans="1:10" x14ac:dyDescent="0.35">
      <c r="A1238" t="s">
        <v>1627</v>
      </c>
      <c r="B1238" s="3">
        <v>45998</v>
      </c>
      <c r="C1238" t="s">
        <v>33</v>
      </c>
      <c r="D1238" t="s">
        <v>195</v>
      </c>
      <c r="E1238" t="s">
        <v>394</v>
      </c>
      <c r="F1238">
        <v>2</v>
      </c>
      <c r="G1238" s="6">
        <v>72506</v>
      </c>
      <c r="H1238">
        <f>COUNTBLANK(Sales_Data[[#This Row],[Revenue]])</f>
        <v>0</v>
      </c>
      <c r="I1238">
        <f>COUNTBLANK(Sales_Data[[#This Row],[Quantity]])</f>
        <v>0</v>
      </c>
      <c r="J1238" t="str">
        <f>TEXT(Sales_Data[[#This Row],[Date]],"yyyy-mm")</f>
        <v>2025-12</v>
      </c>
    </row>
    <row r="1239" spans="1:10" x14ac:dyDescent="0.35">
      <c r="A1239" t="s">
        <v>1628</v>
      </c>
      <c r="B1239" s="3">
        <v>45975</v>
      </c>
      <c r="C1239" t="s">
        <v>57</v>
      </c>
      <c r="D1239" t="s">
        <v>191</v>
      </c>
      <c r="E1239" t="s">
        <v>387</v>
      </c>
      <c r="F1239">
        <v>10</v>
      </c>
      <c r="G1239" s="6">
        <v>487890</v>
      </c>
      <c r="H1239">
        <f>COUNTBLANK(Sales_Data[[#This Row],[Revenue]])</f>
        <v>0</v>
      </c>
      <c r="I1239">
        <f>COUNTBLANK(Sales_Data[[#This Row],[Quantity]])</f>
        <v>0</v>
      </c>
      <c r="J1239" t="str">
        <f>TEXT(Sales_Data[[#This Row],[Date]],"yyyy-mm")</f>
        <v>2025-11</v>
      </c>
    </row>
    <row r="1240" spans="1:10" x14ac:dyDescent="0.35">
      <c r="A1240" t="s">
        <v>1629</v>
      </c>
      <c r="B1240" s="3">
        <v>45991</v>
      </c>
      <c r="C1240" t="s">
        <v>41</v>
      </c>
      <c r="D1240" t="s">
        <v>133</v>
      </c>
      <c r="E1240" t="s">
        <v>403</v>
      </c>
      <c r="F1240">
        <v>1</v>
      </c>
      <c r="G1240" s="6">
        <v>21262</v>
      </c>
      <c r="H1240">
        <f>COUNTBLANK(Sales_Data[[#This Row],[Revenue]])</f>
        <v>0</v>
      </c>
      <c r="I1240">
        <f>COUNTBLANK(Sales_Data[[#This Row],[Quantity]])</f>
        <v>0</v>
      </c>
      <c r="J1240" t="str">
        <f>TEXT(Sales_Data[[#This Row],[Date]],"yyyy-mm")</f>
        <v>2025-11</v>
      </c>
    </row>
    <row r="1241" spans="1:10" x14ac:dyDescent="0.35">
      <c r="A1241" t="s">
        <v>1630</v>
      </c>
      <c r="B1241" s="3">
        <v>45808</v>
      </c>
      <c r="C1241" t="s">
        <v>55</v>
      </c>
      <c r="D1241" t="s">
        <v>207</v>
      </c>
      <c r="E1241" t="s">
        <v>391</v>
      </c>
      <c r="F1241">
        <v>4</v>
      </c>
      <c r="G1241" s="6">
        <v>45660</v>
      </c>
      <c r="H1241">
        <f>COUNTBLANK(Sales_Data[[#This Row],[Revenue]])</f>
        <v>0</v>
      </c>
      <c r="I1241">
        <f>COUNTBLANK(Sales_Data[[#This Row],[Quantity]])</f>
        <v>0</v>
      </c>
      <c r="J1241" t="str">
        <f>TEXT(Sales_Data[[#This Row],[Date]],"yyyy-mm")</f>
        <v>2025-05</v>
      </c>
    </row>
    <row r="1242" spans="1:10" x14ac:dyDescent="0.35">
      <c r="A1242" t="s">
        <v>1631</v>
      </c>
      <c r="B1242" s="3">
        <v>45727</v>
      </c>
      <c r="C1242" t="s">
        <v>47</v>
      </c>
      <c r="D1242" t="s">
        <v>307</v>
      </c>
      <c r="E1242" t="s">
        <v>391</v>
      </c>
      <c r="F1242">
        <v>1</v>
      </c>
      <c r="G1242" s="6">
        <v>22062</v>
      </c>
      <c r="H1242">
        <f>COUNTBLANK(Sales_Data[[#This Row],[Revenue]])</f>
        <v>0</v>
      </c>
      <c r="I1242">
        <f>COUNTBLANK(Sales_Data[[#This Row],[Quantity]])</f>
        <v>0</v>
      </c>
      <c r="J1242" t="str">
        <f>TEXT(Sales_Data[[#This Row],[Date]],"yyyy-mm")</f>
        <v>2025-03</v>
      </c>
    </row>
    <row r="1243" spans="1:10" x14ac:dyDescent="0.35">
      <c r="A1243" t="s">
        <v>1632</v>
      </c>
      <c r="B1243" s="3">
        <v>45924</v>
      </c>
      <c r="C1243" t="s">
        <v>37</v>
      </c>
      <c r="D1243" t="s">
        <v>263</v>
      </c>
      <c r="E1243" t="s">
        <v>394</v>
      </c>
      <c r="F1243">
        <v>8</v>
      </c>
      <c r="G1243" s="6">
        <v>15624</v>
      </c>
      <c r="H1243">
        <f>COUNTBLANK(Sales_Data[[#This Row],[Revenue]])</f>
        <v>0</v>
      </c>
      <c r="I1243">
        <f>COUNTBLANK(Sales_Data[[#This Row],[Quantity]])</f>
        <v>0</v>
      </c>
      <c r="J1243" t="str">
        <f>TEXT(Sales_Data[[#This Row],[Date]],"yyyy-mm")</f>
        <v>2025-09</v>
      </c>
    </row>
    <row r="1244" spans="1:10" x14ac:dyDescent="0.35">
      <c r="A1244" t="s">
        <v>1633</v>
      </c>
      <c r="B1244" s="3">
        <v>45838</v>
      </c>
      <c r="C1244" t="s">
        <v>33</v>
      </c>
      <c r="D1244" t="s">
        <v>351</v>
      </c>
      <c r="E1244" t="s">
        <v>389</v>
      </c>
      <c r="F1244">
        <v>1</v>
      </c>
      <c r="G1244" s="6">
        <v>36253</v>
      </c>
      <c r="H1244">
        <f>COUNTBLANK(Sales_Data[[#This Row],[Revenue]])</f>
        <v>0</v>
      </c>
      <c r="I1244">
        <f>COUNTBLANK(Sales_Data[[#This Row],[Quantity]])</f>
        <v>0</v>
      </c>
      <c r="J1244" t="str">
        <f>TEXT(Sales_Data[[#This Row],[Date]],"yyyy-mm")</f>
        <v>2025-06</v>
      </c>
    </row>
    <row r="1245" spans="1:10" x14ac:dyDescent="0.35">
      <c r="A1245" t="s">
        <v>1634</v>
      </c>
      <c r="B1245" s="3">
        <v>45741</v>
      </c>
      <c r="C1245" t="s">
        <v>49</v>
      </c>
      <c r="D1245" t="s">
        <v>249</v>
      </c>
      <c r="E1245" t="s">
        <v>387</v>
      </c>
      <c r="F1245">
        <v>4</v>
      </c>
      <c r="G1245" s="6">
        <v>182056</v>
      </c>
      <c r="H1245">
        <f>COUNTBLANK(Sales_Data[[#This Row],[Revenue]])</f>
        <v>0</v>
      </c>
      <c r="I1245">
        <f>COUNTBLANK(Sales_Data[[#This Row],[Quantity]])</f>
        <v>0</v>
      </c>
      <c r="J1245" t="str">
        <f>TEXT(Sales_Data[[#This Row],[Date]],"yyyy-mm")</f>
        <v>2025-03</v>
      </c>
    </row>
    <row r="1246" spans="1:10" x14ac:dyDescent="0.35">
      <c r="A1246" t="s">
        <v>1635</v>
      </c>
      <c r="B1246" s="3">
        <v>45871</v>
      </c>
      <c r="C1246" t="s">
        <v>25</v>
      </c>
      <c r="D1246" t="s">
        <v>323</v>
      </c>
      <c r="E1246" t="s">
        <v>403</v>
      </c>
      <c r="F1246">
        <v>6</v>
      </c>
      <c r="G1246" s="6">
        <v>109458</v>
      </c>
      <c r="H1246">
        <f>COUNTBLANK(Sales_Data[[#This Row],[Revenue]])</f>
        <v>0</v>
      </c>
      <c r="I1246">
        <f>COUNTBLANK(Sales_Data[[#This Row],[Quantity]])</f>
        <v>0</v>
      </c>
      <c r="J1246" t="str">
        <f>TEXT(Sales_Data[[#This Row],[Date]],"yyyy-mm")</f>
        <v>2025-08</v>
      </c>
    </row>
    <row r="1247" spans="1:10" x14ac:dyDescent="0.35">
      <c r="A1247" t="s">
        <v>1636</v>
      </c>
      <c r="B1247" s="3">
        <v>45918</v>
      </c>
      <c r="C1247" t="s">
        <v>41</v>
      </c>
      <c r="D1247" t="s">
        <v>213</v>
      </c>
      <c r="E1247" t="s">
        <v>389</v>
      </c>
      <c r="F1247">
        <v>8</v>
      </c>
      <c r="G1247" s="6">
        <v>170096</v>
      </c>
      <c r="H1247">
        <f>COUNTBLANK(Sales_Data[[#This Row],[Revenue]])</f>
        <v>0</v>
      </c>
      <c r="I1247">
        <f>COUNTBLANK(Sales_Data[[#This Row],[Quantity]])</f>
        <v>0</v>
      </c>
      <c r="J1247" t="str">
        <f>TEXT(Sales_Data[[#This Row],[Date]],"yyyy-mm")</f>
        <v>2025-09</v>
      </c>
    </row>
    <row r="1248" spans="1:10" x14ac:dyDescent="0.35">
      <c r="A1248" t="s">
        <v>1637</v>
      </c>
      <c r="B1248" s="3">
        <v>45787</v>
      </c>
      <c r="C1248" t="s">
        <v>55</v>
      </c>
      <c r="D1248" t="s">
        <v>305</v>
      </c>
      <c r="E1248" t="s">
        <v>387</v>
      </c>
      <c r="F1248">
        <v>8</v>
      </c>
      <c r="G1248" s="6">
        <v>91320</v>
      </c>
      <c r="H1248">
        <f>COUNTBLANK(Sales_Data[[#This Row],[Revenue]])</f>
        <v>0</v>
      </c>
      <c r="I1248">
        <f>COUNTBLANK(Sales_Data[[#This Row],[Quantity]])</f>
        <v>0</v>
      </c>
      <c r="J1248" t="str">
        <f>TEXT(Sales_Data[[#This Row],[Date]],"yyyy-mm")</f>
        <v>2025-05</v>
      </c>
    </row>
    <row r="1249" spans="1:10" x14ac:dyDescent="0.35">
      <c r="A1249" t="s">
        <v>1638</v>
      </c>
      <c r="B1249" s="3">
        <v>45693</v>
      </c>
      <c r="C1249" t="s">
        <v>61</v>
      </c>
      <c r="D1249" t="s">
        <v>371</v>
      </c>
      <c r="E1249" t="s">
        <v>389</v>
      </c>
      <c r="F1249">
        <v>4</v>
      </c>
      <c r="G1249" s="6">
        <v>100064</v>
      </c>
      <c r="H1249">
        <f>COUNTBLANK(Sales_Data[[#This Row],[Revenue]])</f>
        <v>0</v>
      </c>
      <c r="I1249">
        <f>COUNTBLANK(Sales_Data[[#This Row],[Quantity]])</f>
        <v>0</v>
      </c>
      <c r="J1249" t="str">
        <f>TEXT(Sales_Data[[#This Row],[Date]],"yyyy-mm")</f>
        <v>2025-02</v>
      </c>
    </row>
    <row r="1250" spans="1:10" x14ac:dyDescent="0.35">
      <c r="A1250" t="s">
        <v>1639</v>
      </c>
      <c r="B1250" s="3">
        <v>45746</v>
      </c>
      <c r="C1250" t="s">
        <v>35</v>
      </c>
      <c r="D1250" t="s">
        <v>257</v>
      </c>
      <c r="E1250" t="s">
        <v>391</v>
      </c>
      <c r="F1250">
        <v>5</v>
      </c>
      <c r="G1250" s="6">
        <v>247300</v>
      </c>
      <c r="H1250">
        <f>COUNTBLANK(Sales_Data[[#This Row],[Revenue]])</f>
        <v>0</v>
      </c>
      <c r="I1250">
        <f>COUNTBLANK(Sales_Data[[#This Row],[Quantity]])</f>
        <v>0</v>
      </c>
      <c r="J1250" t="str">
        <f>TEXT(Sales_Data[[#This Row],[Date]],"yyyy-mm")</f>
        <v>2025-03</v>
      </c>
    </row>
    <row r="1251" spans="1:10" x14ac:dyDescent="0.35">
      <c r="A1251" t="s">
        <v>1640</v>
      </c>
      <c r="B1251" s="3">
        <v>45694</v>
      </c>
      <c r="C1251" t="s">
        <v>53</v>
      </c>
      <c r="D1251" t="s">
        <v>305</v>
      </c>
      <c r="E1251" t="s">
        <v>387</v>
      </c>
      <c r="F1251">
        <v>1</v>
      </c>
      <c r="G1251" s="6">
        <v>4208</v>
      </c>
      <c r="H1251">
        <f>COUNTBLANK(Sales_Data[[#This Row],[Revenue]])</f>
        <v>0</v>
      </c>
      <c r="I1251">
        <f>COUNTBLANK(Sales_Data[[#This Row],[Quantity]])</f>
        <v>0</v>
      </c>
      <c r="J1251" t="str">
        <f>TEXT(Sales_Data[[#This Row],[Date]],"yyyy-mm")</f>
        <v>2025-02</v>
      </c>
    </row>
    <row r="1252" spans="1:10" x14ac:dyDescent="0.35">
      <c r="A1252" t="s">
        <v>1641</v>
      </c>
      <c r="B1252" s="3">
        <v>45768</v>
      </c>
      <c r="C1252" t="s">
        <v>67</v>
      </c>
      <c r="D1252" t="s">
        <v>327</v>
      </c>
      <c r="E1252" t="s">
        <v>389</v>
      </c>
      <c r="F1252">
        <v>1</v>
      </c>
      <c r="G1252" s="6">
        <v>21616</v>
      </c>
      <c r="H1252">
        <f>COUNTBLANK(Sales_Data[[#This Row],[Revenue]])</f>
        <v>0</v>
      </c>
      <c r="I1252">
        <f>COUNTBLANK(Sales_Data[[#This Row],[Quantity]])</f>
        <v>0</v>
      </c>
      <c r="J1252" t="str">
        <f>TEXT(Sales_Data[[#This Row],[Date]],"yyyy-mm")</f>
        <v>2025-04</v>
      </c>
    </row>
    <row r="1253" spans="1:10" x14ac:dyDescent="0.35">
      <c r="A1253" t="s">
        <v>1642</v>
      </c>
      <c r="B1253" s="3">
        <v>45675</v>
      </c>
      <c r="C1253" t="s">
        <v>39</v>
      </c>
      <c r="D1253" t="s">
        <v>221</v>
      </c>
      <c r="E1253" t="s">
        <v>389</v>
      </c>
      <c r="F1253">
        <v>6</v>
      </c>
      <c r="G1253" s="6">
        <v>289728</v>
      </c>
      <c r="H1253">
        <f>COUNTBLANK(Sales_Data[[#This Row],[Revenue]])</f>
        <v>0</v>
      </c>
      <c r="I1253">
        <f>COUNTBLANK(Sales_Data[[#This Row],[Quantity]])</f>
        <v>0</v>
      </c>
      <c r="J1253" t="str">
        <f>TEXT(Sales_Data[[#This Row],[Date]],"yyyy-mm")</f>
        <v>2025-01</v>
      </c>
    </row>
    <row r="1254" spans="1:10" x14ac:dyDescent="0.35">
      <c r="A1254" t="s">
        <v>1643</v>
      </c>
      <c r="B1254" s="3">
        <v>45812</v>
      </c>
      <c r="C1254" t="s">
        <v>27</v>
      </c>
      <c r="D1254" t="s">
        <v>367</v>
      </c>
      <c r="E1254" t="s">
        <v>403</v>
      </c>
      <c r="F1254">
        <v>10</v>
      </c>
      <c r="G1254" s="6">
        <v>376840</v>
      </c>
      <c r="H1254">
        <f>COUNTBLANK(Sales_Data[[#This Row],[Revenue]])</f>
        <v>0</v>
      </c>
      <c r="I1254">
        <f>COUNTBLANK(Sales_Data[[#This Row],[Quantity]])</f>
        <v>0</v>
      </c>
      <c r="J1254" t="str">
        <f>TEXT(Sales_Data[[#This Row],[Date]],"yyyy-mm")</f>
        <v>2025-06</v>
      </c>
    </row>
    <row r="1255" spans="1:10" x14ac:dyDescent="0.35">
      <c r="A1255" t="s">
        <v>1644</v>
      </c>
      <c r="B1255" s="3">
        <v>45988</v>
      </c>
      <c r="C1255" t="s">
        <v>55</v>
      </c>
      <c r="D1255" t="s">
        <v>317</v>
      </c>
      <c r="E1255" t="s">
        <v>387</v>
      </c>
      <c r="F1255">
        <v>2</v>
      </c>
      <c r="G1255" s="6">
        <v>22830</v>
      </c>
      <c r="H1255">
        <f>COUNTBLANK(Sales_Data[[#This Row],[Revenue]])</f>
        <v>0</v>
      </c>
      <c r="I1255">
        <f>COUNTBLANK(Sales_Data[[#This Row],[Quantity]])</f>
        <v>0</v>
      </c>
      <c r="J1255" t="str">
        <f>TEXT(Sales_Data[[#This Row],[Date]],"yyyy-mm")</f>
        <v>2025-11</v>
      </c>
    </row>
    <row r="1256" spans="1:10" x14ac:dyDescent="0.35">
      <c r="A1256" t="s">
        <v>1645</v>
      </c>
      <c r="B1256" s="3">
        <v>45956</v>
      </c>
      <c r="C1256" t="s">
        <v>67</v>
      </c>
      <c r="D1256" t="s">
        <v>357</v>
      </c>
      <c r="E1256" t="s">
        <v>394</v>
      </c>
      <c r="F1256">
        <v>5</v>
      </c>
      <c r="G1256" s="6">
        <v>108080</v>
      </c>
      <c r="H1256">
        <f>COUNTBLANK(Sales_Data[[#This Row],[Revenue]])</f>
        <v>0</v>
      </c>
      <c r="I1256">
        <f>COUNTBLANK(Sales_Data[[#This Row],[Quantity]])</f>
        <v>0</v>
      </c>
      <c r="J1256" t="str">
        <f>TEXT(Sales_Data[[#This Row],[Date]],"yyyy-mm")</f>
        <v>2025-10</v>
      </c>
    </row>
    <row r="1257" spans="1:10" x14ac:dyDescent="0.35">
      <c r="A1257" t="s">
        <v>1646</v>
      </c>
      <c r="B1257" s="3">
        <v>45701</v>
      </c>
      <c r="C1257" t="s">
        <v>55</v>
      </c>
      <c r="D1257" t="s">
        <v>297</v>
      </c>
      <c r="E1257" t="s">
        <v>387</v>
      </c>
      <c r="F1257">
        <v>2</v>
      </c>
      <c r="G1257" s="6">
        <v>22830</v>
      </c>
      <c r="H1257">
        <f>COUNTBLANK(Sales_Data[[#This Row],[Revenue]])</f>
        <v>0</v>
      </c>
      <c r="I1257">
        <f>COUNTBLANK(Sales_Data[[#This Row],[Quantity]])</f>
        <v>0</v>
      </c>
      <c r="J1257" t="str">
        <f>TEXT(Sales_Data[[#This Row],[Date]],"yyyy-mm")</f>
        <v>2025-02</v>
      </c>
    </row>
    <row r="1258" spans="1:10" x14ac:dyDescent="0.35">
      <c r="A1258" t="s">
        <v>1647</v>
      </c>
      <c r="B1258" s="3">
        <v>45848</v>
      </c>
      <c r="C1258" t="s">
        <v>29</v>
      </c>
      <c r="D1258" t="s">
        <v>235</v>
      </c>
      <c r="E1258" t="s">
        <v>394</v>
      </c>
      <c r="F1258">
        <v>1</v>
      </c>
      <c r="G1258" s="6">
        <v>42644</v>
      </c>
      <c r="H1258">
        <f>COUNTBLANK(Sales_Data[[#This Row],[Revenue]])</f>
        <v>0</v>
      </c>
      <c r="I1258">
        <f>COUNTBLANK(Sales_Data[[#This Row],[Quantity]])</f>
        <v>0</v>
      </c>
      <c r="J1258" t="str">
        <f>TEXT(Sales_Data[[#This Row],[Date]],"yyyy-mm")</f>
        <v>2025-07</v>
      </c>
    </row>
    <row r="1259" spans="1:10" x14ac:dyDescent="0.35">
      <c r="A1259" t="s">
        <v>1648</v>
      </c>
      <c r="B1259" s="3">
        <v>45741</v>
      </c>
      <c r="C1259" t="s">
        <v>35</v>
      </c>
      <c r="D1259" t="s">
        <v>209</v>
      </c>
      <c r="E1259" t="s">
        <v>389</v>
      </c>
      <c r="F1259">
        <v>6</v>
      </c>
      <c r="G1259" s="6">
        <v>296760</v>
      </c>
      <c r="H1259">
        <f>COUNTBLANK(Sales_Data[[#This Row],[Revenue]])</f>
        <v>0</v>
      </c>
      <c r="I1259">
        <f>COUNTBLANK(Sales_Data[[#This Row],[Quantity]])</f>
        <v>0</v>
      </c>
      <c r="J1259" t="str">
        <f>TEXT(Sales_Data[[#This Row],[Date]],"yyyy-mm")</f>
        <v>2025-03</v>
      </c>
    </row>
    <row r="1260" spans="1:10" x14ac:dyDescent="0.35">
      <c r="A1260" t="s">
        <v>1649</v>
      </c>
      <c r="B1260" s="3">
        <v>45766</v>
      </c>
      <c r="C1260" t="s">
        <v>65</v>
      </c>
      <c r="D1260" t="s">
        <v>165</v>
      </c>
      <c r="E1260" t="s">
        <v>387</v>
      </c>
      <c r="F1260">
        <v>1</v>
      </c>
      <c r="G1260" s="6">
        <v>545</v>
      </c>
      <c r="H1260">
        <f>COUNTBLANK(Sales_Data[[#This Row],[Revenue]])</f>
        <v>0</v>
      </c>
      <c r="I1260">
        <f>COUNTBLANK(Sales_Data[[#This Row],[Quantity]])</f>
        <v>0</v>
      </c>
      <c r="J1260" t="str">
        <f>TEXT(Sales_Data[[#This Row],[Date]],"yyyy-mm")</f>
        <v>2025-04</v>
      </c>
    </row>
    <row r="1261" spans="1:10" x14ac:dyDescent="0.35">
      <c r="A1261" t="s">
        <v>1650</v>
      </c>
      <c r="B1261" s="3">
        <v>45960</v>
      </c>
      <c r="C1261" t="s">
        <v>59</v>
      </c>
      <c r="D1261" t="s">
        <v>185</v>
      </c>
      <c r="E1261" t="s">
        <v>391</v>
      </c>
      <c r="F1261">
        <v>1</v>
      </c>
      <c r="G1261" s="6">
        <v>48106</v>
      </c>
      <c r="H1261">
        <f>COUNTBLANK(Sales_Data[[#This Row],[Revenue]])</f>
        <v>0</v>
      </c>
      <c r="I1261">
        <f>COUNTBLANK(Sales_Data[[#This Row],[Quantity]])</f>
        <v>0</v>
      </c>
      <c r="J1261" t="str">
        <f>TEXT(Sales_Data[[#This Row],[Date]],"yyyy-mm")</f>
        <v>2025-10</v>
      </c>
    </row>
    <row r="1262" spans="1:10" x14ac:dyDescent="0.35">
      <c r="A1262" t="s">
        <v>1651</v>
      </c>
      <c r="B1262" s="3">
        <v>45859</v>
      </c>
      <c r="C1262" t="s">
        <v>59</v>
      </c>
      <c r="D1262" t="s">
        <v>97</v>
      </c>
      <c r="E1262" t="s">
        <v>394</v>
      </c>
      <c r="F1262">
        <v>9</v>
      </c>
      <c r="G1262" s="6">
        <v>432954</v>
      </c>
      <c r="H1262">
        <f>COUNTBLANK(Sales_Data[[#This Row],[Revenue]])</f>
        <v>0</v>
      </c>
      <c r="I1262">
        <f>COUNTBLANK(Sales_Data[[#This Row],[Quantity]])</f>
        <v>0</v>
      </c>
      <c r="J1262" t="str">
        <f>TEXT(Sales_Data[[#This Row],[Date]],"yyyy-mm")</f>
        <v>2025-07</v>
      </c>
    </row>
    <row r="1263" spans="1:10" x14ac:dyDescent="0.35">
      <c r="A1263" t="s">
        <v>1652</v>
      </c>
      <c r="B1263" s="3">
        <v>45867</v>
      </c>
      <c r="C1263" t="s">
        <v>10</v>
      </c>
      <c r="D1263" t="s">
        <v>291</v>
      </c>
      <c r="E1263" t="s">
        <v>391</v>
      </c>
      <c r="F1263">
        <v>6</v>
      </c>
      <c r="G1263" s="6">
        <v>27096</v>
      </c>
      <c r="H1263">
        <f>COUNTBLANK(Sales_Data[[#This Row],[Revenue]])</f>
        <v>0</v>
      </c>
      <c r="I1263">
        <f>COUNTBLANK(Sales_Data[[#This Row],[Quantity]])</f>
        <v>0</v>
      </c>
      <c r="J1263" t="str">
        <f>TEXT(Sales_Data[[#This Row],[Date]],"yyyy-mm")</f>
        <v>2025-07</v>
      </c>
    </row>
    <row r="1264" spans="1:10" x14ac:dyDescent="0.35">
      <c r="A1264" t="s">
        <v>1653</v>
      </c>
      <c r="B1264" s="3">
        <v>45762</v>
      </c>
      <c r="C1264" t="s">
        <v>19</v>
      </c>
      <c r="D1264" t="s">
        <v>215</v>
      </c>
      <c r="E1264" t="s">
        <v>391</v>
      </c>
      <c r="F1264">
        <v>3</v>
      </c>
      <c r="G1264" s="6">
        <v>126477</v>
      </c>
      <c r="H1264">
        <f>COUNTBLANK(Sales_Data[[#This Row],[Revenue]])</f>
        <v>0</v>
      </c>
      <c r="I1264">
        <f>COUNTBLANK(Sales_Data[[#This Row],[Quantity]])</f>
        <v>0</v>
      </c>
      <c r="J1264" t="str">
        <f>TEXT(Sales_Data[[#This Row],[Date]],"yyyy-mm")</f>
        <v>2025-04</v>
      </c>
    </row>
    <row r="1265" spans="1:10" x14ac:dyDescent="0.35">
      <c r="A1265" t="s">
        <v>1654</v>
      </c>
      <c r="B1265" s="3">
        <v>45722</v>
      </c>
      <c r="C1265" t="s">
        <v>55</v>
      </c>
      <c r="D1265" t="s">
        <v>145</v>
      </c>
      <c r="E1265" t="s">
        <v>394</v>
      </c>
      <c r="F1265">
        <v>2</v>
      </c>
      <c r="G1265" s="6">
        <v>22830</v>
      </c>
      <c r="H1265">
        <f>COUNTBLANK(Sales_Data[[#This Row],[Revenue]])</f>
        <v>0</v>
      </c>
      <c r="I1265">
        <f>COUNTBLANK(Sales_Data[[#This Row],[Quantity]])</f>
        <v>0</v>
      </c>
      <c r="J1265" t="str">
        <f>TEXT(Sales_Data[[#This Row],[Date]],"yyyy-mm")</f>
        <v>2025-03</v>
      </c>
    </row>
    <row r="1266" spans="1:10" x14ac:dyDescent="0.35">
      <c r="A1266" t="s">
        <v>1655</v>
      </c>
      <c r="B1266" s="3">
        <v>45861</v>
      </c>
      <c r="C1266" t="s">
        <v>39</v>
      </c>
      <c r="D1266" t="s">
        <v>201</v>
      </c>
      <c r="E1266" t="s">
        <v>403</v>
      </c>
      <c r="F1266">
        <v>1</v>
      </c>
      <c r="G1266" s="6">
        <v>48288</v>
      </c>
      <c r="H1266">
        <f>COUNTBLANK(Sales_Data[[#This Row],[Revenue]])</f>
        <v>0</v>
      </c>
      <c r="I1266">
        <f>COUNTBLANK(Sales_Data[[#This Row],[Quantity]])</f>
        <v>0</v>
      </c>
      <c r="J1266" t="str">
        <f>TEXT(Sales_Data[[#This Row],[Date]],"yyyy-mm")</f>
        <v>2025-07</v>
      </c>
    </row>
    <row r="1267" spans="1:10" x14ac:dyDescent="0.35">
      <c r="A1267" t="s">
        <v>1656</v>
      </c>
      <c r="B1267" s="3">
        <v>45669</v>
      </c>
      <c r="C1267" t="s">
        <v>55</v>
      </c>
      <c r="D1267" t="s">
        <v>261</v>
      </c>
      <c r="E1267" t="s">
        <v>403</v>
      </c>
      <c r="F1267">
        <v>6</v>
      </c>
      <c r="G1267" s="6">
        <v>68490</v>
      </c>
      <c r="H1267">
        <f>COUNTBLANK(Sales_Data[[#This Row],[Revenue]])</f>
        <v>0</v>
      </c>
      <c r="I1267">
        <f>COUNTBLANK(Sales_Data[[#This Row],[Quantity]])</f>
        <v>0</v>
      </c>
      <c r="J1267" t="str">
        <f>TEXT(Sales_Data[[#This Row],[Date]],"yyyy-mm")</f>
        <v>2025-01</v>
      </c>
    </row>
    <row r="1268" spans="1:10" x14ac:dyDescent="0.35">
      <c r="A1268" t="s">
        <v>1657</v>
      </c>
      <c r="B1268" s="3">
        <v>45665</v>
      </c>
      <c r="C1268" t="s">
        <v>13</v>
      </c>
      <c r="D1268" t="s">
        <v>281</v>
      </c>
      <c r="E1268" t="s">
        <v>391</v>
      </c>
      <c r="F1268">
        <v>5</v>
      </c>
      <c r="G1268" s="6">
        <v>150885</v>
      </c>
      <c r="H1268">
        <f>COUNTBLANK(Sales_Data[[#This Row],[Revenue]])</f>
        <v>0</v>
      </c>
      <c r="I1268">
        <f>COUNTBLANK(Sales_Data[[#This Row],[Quantity]])</f>
        <v>0</v>
      </c>
      <c r="J1268" t="str">
        <f>TEXT(Sales_Data[[#This Row],[Date]],"yyyy-mm")</f>
        <v>2025-01</v>
      </c>
    </row>
    <row r="1269" spans="1:10" x14ac:dyDescent="0.35">
      <c r="A1269" t="s">
        <v>1658</v>
      </c>
      <c r="B1269" s="3">
        <v>45773</v>
      </c>
      <c r="C1269" t="s">
        <v>16</v>
      </c>
      <c r="D1269" t="s">
        <v>291</v>
      </c>
      <c r="E1269" t="s">
        <v>403</v>
      </c>
      <c r="F1269">
        <v>7</v>
      </c>
      <c r="G1269" s="6">
        <v>223734</v>
      </c>
      <c r="H1269">
        <f>COUNTBLANK(Sales_Data[[#This Row],[Revenue]])</f>
        <v>0</v>
      </c>
      <c r="I1269">
        <f>COUNTBLANK(Sales_Data[[#This Row],[Quantity]])</f>
        <v>0</v>
      </c>
      <c r="J1269" t="str">
        <f>TEXT(Sales_Data[[#This Row],[Date]],"yyyy-mm")</f>
        <v>2025-04</v>
      </c>
    </row>
    <row r="1270" spans="1:10" x14ac:dyDescent="0.35">
      <c r="A1270" t="s">
        <v>1659</v>
      </c>
      <c r="B1270" s="3">
        <v>45853</v>
      </c>
      <c r="C1270" t="s">
        <v>7</v>
      </c>
      <c r="D1270" t="s">
        <v>187</v>
      </c>
      <c r="E1270" t="s">
        <v>403</v>
      </c>
      <c r="F1270">
        <v>9</v>
      </c>
      <c r="G1270" s="6">
        <v>235197</v>
      </c>
      <c r="H1270">
        <f>COUNTBLANK(Sales_Data[[#This Row],[Revenue]])</f>
        <v>0</v>
      </c>
      <c r="I1270">
        <f>COUNTBLANK(Sales_Data[[#This Row],[Quantity]])</f>
        <v>0</v>
      </c>
      <c r="J1270" t="str">
        <f>TEXT(Sales_Data[[#This Row],[Date]],"yyyy-mm")</f>
        <v>2025-07</v>
      </c>
    </row>
    <row r="1271" spans="1:10" x14ac:dyDescent="0.35">
      <c r="A1271" t="s">
        <v>1660</v>
      </c>
      <c r="B1271" s="3">
        <v>45763</v>
      </c>
      <c r="C1271" t="s">
        <v>57</v>
      </c>
      <c r="D1271" t="s">
        <v>239</v>
      </c>
      <c r="E1271" t="s">
        <v>394</v>
      </c>
      <c r="F1271">
        <v>2</v>
      </c>
      <c r="G1271" s="6">
        <v>97578</v>
      </c>
      <c r="H1271">
        <f>COUNTBLANK(Sales_Data[[#This Row],[Revenue]])</f>
        <v>0</v>
      </c>
      <c r="I1271">
        <f>COUNTBLANK(Sales_Data[[#This Row],[Quantity]])</f>
        <v>0</v>
      </c>
      <c r="J1271" t="str">
        <f>TEXT(Sales_Data[[#This Row],[Date]],"yyyy-mm")</f>
        <v>2025-04</v>
      </c>
    </row>
    <row r="1272" spans="1:10" x14ac:dyDescent="0.35">
      <c r="A1272" t="s">
        <v>1661</v>
      </c>
      <c r="B1272" s="3">
        <v>45875</v>
      </c>
      <c r="C1272" t="s">
        <v>35</v>
      </c>
      <c r="D1272" t="s">
        <v>373</v>
      </c>
      <c r="E1272" t="s">
        <v>403</v>
      </c>
      <c r="F1272">
        <v>7</v>
      </c>
      <c r="G1272" s="6">
        <v>346220</v>
      </c>
      <c r="H1272">
        <f>COUNTBLANK(Sales_Data[[#This Row],[Revenue]])</f>
        <v>0</v>
      </c>
      <c r="I1272">
        <f>COUNTBLANK(Sales_Data[[#This Row],[Quantity]])</f>
        <v>0</v>
      </c>
      <c r="J1272" t="str">
        <f>TEXT(Sales_Data[[#This Row],[Date]],"yyyy-mm")</f>
        <v>2025-08</v>
      </c>
    </row>
    <row r="1273" spans="1:10" x14ac:dyDescent="0.35">
      <c r="A1273" t="s">
        <v>1662</v>
      </c>
      <c r="B1273" s="3">
        <v>45924</v>
      </c>
      <c r="C1273" t="s">
        <v>39</v>
      </c>
      <c r="D1273" t="s">
        <v>315</v>
      </c>
      <c r="E1273" t="s">
        <v>391</v>
      </c>
      <c r="F1273">
        <v>8</v>
      </c>
      <c r="G1273" s="6">
        <v>386304</v>
      </c>
      <c r="H1273">
        <f>COUNTBLANK(Sales_Data[[#This Row],[Revenue]])</f>
        <v>0</v>
      </c>
      <c r="I1273">
        <f>COUNTBLANK(Sales_Data[[#This Row],[Quantity]])</f>
        <v>0</v>
      </c>
      <c r="J1273" t="str">
        <f>TEXT(Sales_Data[[#This Row],[Date]],"yyyy-mm")</f>
        <v>2025-09</v>
      </c>
    </row>
    <row r="1274" spans="1:10" x14ac:dyDescent="0.35">
      <c r="A1274" t="s">
        <v>1663</v>
      </c>
      <c r="B1274" s="3">
        <v>45738</v>
      </c>
      <c r="C1274" t="s">
        <v>23</v>
      </c>
      <c r="D1274" t="s">
        <v>237</v>
      </c>
      <c r="E1274" t="s">
        <v>389</v>
      </c>
      <c r="F1274">
        <v>2</v>
      </c>
      <c r="G1274" s="6">
        <v>12138</v>
      </c>
      <c r="H1274">
        <f>COUNTBLANK(Sales_Data[[#This Row],[Revenue]])</f>
        <v>0</v>
      </c>
      <c r="I1274">
        <f>COUNTBLANK(Sales_Data[[#This Row],[Quantity]])</f>
        <v>0</v>
      </c>
      <c r="J1274" t="str">
        <f>TEXT(Sales_Data[[#This Row],[Date]],"yyyy-mm")</f>
        <v>2025-03</v>
      </c>
    </row>
    <row r="1275" spans="1:10" x14ac:dyDescent="0.35">
      <c r="A1275" t="s">
        <v>1664</v>
      </c>
      <c r="B1275" s="3">
        <v>45694</v>
      </c>
      <c r="C1275" t="s">
        <v>49</v>
      </c>
      <c r="D1275" t="s">
        <v>273</v>
      </c>
      <c r="E1275" t="s">
        <v>403</v>
      </c>
      <c r="F1275">
        <v>4</v>
      </c>
      <c r="G1275" s="6">
        <v>182056</v>
      </c>
      <c r="H1275">
        <f>COUNTBLANK(Sales_Data[[#This Row],[Revenue]])</f>
        <v>0</v>
      </c>
      <c r="I1275">
        <f>COUNTBLANK(Sales_Data[[#This Row],[Quantity]])</f>
        <v>0</v>
      </c>
      <c r="J1275" t="str">
        <f>TEXT(Sales_Data[[#This Row],[Date]],"yyyy-mm")</f>
        <v>2025-02</v>
      </c>
    </row>
    <row r="1276" spans="1:10" x14ac:dyDescent="0.35">
      <c r="A1276" t="s">
        <v>1665</v>
      </c>
      <c r="B1276" s="3">
        <v>45907</v>
      </c>
      <c r="C1276" t="s">
        <v>45</v>
      </c>
      <c r="D1276" t="s">
        <v>289</v>
      </c>
      <c r="E1276" t="s">
        <v>394</v>
      </c>
      <c r="F1276">
        <v>6</v>
      </c>
      <c r="G1276" s="6">
        <v>46956</v>
      </c>
      <c r="H1276">
        <f>COUNTBLANK(Sales_Data[[#This Row],[Revenue]])</f>
        <v>0</v>
      </c>
      <c r="I1276">
        <f>COUNTBLANK(Sales_Data[[#This Row],[Quantity]])</f>
        <v>0</v>
      </c>
      <c r="J1276" t="str">
        <f>TEXT(Sales_Data[[#This Row],[Date]],"yyyy-mm")</f>
        <v>2025-09</v>
      </c>
    </row>
    <row r="1277" spans="1:10" x14ac:dyDescent="0.35">
      <c r="A1277" t="s">
        <v>1666</v>
      </c>
      <c r="B1277" s="3">
        <v>45710</v>
      </c>
      <c r="C1277" t="s">
        <v>49</v>
      </c>
      <c r="D1277" t="s">
        <v>171</v>
      </c>
      <c r="E1277" t="s">
        <v>387</v>
      </c>
      <c r="F1277">
        <v>10</v>
      </c>
      <c r="G1277" s="6">
        <v>455140</v>
      </c>
      <c r="H1277">
        <f>COUNTBLANK(Sales_Data[[#This Row],[Revenue]])</f>
        <v>0</v>
      </c>
      <c r="I1277">
        <f>COUNTBLANK(Sales_Data[[#This Row],[Quantity]])</f>
        <v>0</v>
      </c>
      <c r="J1277" t="str">
        <f>TEXT(Sales_Data[[#This Row],[Date]],"yyyy-mm")</f>
        <v>2025-02</v>
      </c>
    </row>
    <row r="1278" spans="1:10" x14ac:dyDescent="0.35">
      <c r="A1278" t="s">
        <v>1667</v>
      </c>
      <c r="B1278" s="3">
        <v>45777</v>
      </c>
      <c r="C1278" t="s">
        <v>23</v>
      </c>
      <c r="D1278" t="s">
        <v>135</v>
      </c>
      <c r="E1278" t="s">
        <v>389</v>
      </c>
      <c r="F1278">
        <v>3</v>
      </c>
      <c r="G1278" s="6">
        <v>18207</v>
      </c>
      <c r="H1278">
        <f>COUNTBLANK(Sales_Data[[#This Row],[Revenue]])</f>
        <v>0</v>
      </c>
      <c r="I1278">
        <f>COUNTBLANK(Sales_Data[[#This Row],[Quantity]])</f>
        <v>0</v>
      </c>
      <c r="J1278" t="str">
        <f>TEXT(Sales_Data[[#This Row],[Date]],"yyyy-mm")</f>
        <v>2025-04</v>
      </c>
    </row>
    <row r="1279" spans="1:10" x14ac:dyDescent="0.35">
      <c r="A1279" t="s">
        <v>1668</v>
      </c>
      <c r="B1279" s="3">
        <v>45758</v>
      </c>
      <c r="C1279" t="s">
        <v>23</v>
      </c>
      <c r="D1279" t="s">
        <v>335</v>
      </c>
      <c r="E1279" t="s">
        <v>391</v>
      </c>
      <c r="F1279">
        <v>3</v>
      </c>
      <c r="G1279" s="6">
        <v>18207</v>
      </c>
      <c r="H1279">
        <f>COUNTBLANK(Sales_Data[[#This Row],[Revenue]])</f>
        <v>0</v>
      </c>
      <c r="I1279">
        <f>COUNTBLANK(Sales_Data[[#This Row],[Quantity]])</f>
        <v>0</v>
      </c>
      <c r="J1279" t="str">
        <f>TEXT(Sales_Data[[#This Row],[Date]],"yyyy-mm")</f>
        <v>2025-04</v>
      </c>
    </row>
    <row r="1280" spans="1:10" x14ac:dyDescent="0.35">
      <c r="A1280" t="s">
        <v>1669</v>
      </c>
      <c r="B1280" s="3">
        <v>45935</v>
      </c>
      <c r="C1280" t="s">
        <v>31</v>
      </c>
      <c r="D1280" t="s">
        <v>319</v>
      </c>
      <c r="E1280" t="s">
        <v>387</v>
      </c>
      <c r="F1280">
        <v>6</v>
      </c>
      <c r="G1280" s="6">
        <v>179796</v>
      </c>
      <c r="H1280">
        <f>COUNTBLANK(Sales_Data[[#This Row],[Revenue]])</f>
        <v>0</v>
      </c>
      <c r="I1280">
        <f>COUNTBLANK(Sales_Data[[#This Row],[Quantity]])</f>
        <v>0</v>
      </c>
      <c r="J1280" t="str">
        <f>TEXT(Sales_Data[[#This Row],[Date]],"yyyy-mm")</f>
        <v>2025-10</v>
      </c>
    </row>
    <row r="1281" spans="1:10" x14ac:dyDescent="0.35">
      <c r="A1281" t="s">
        <v>1670</v>
      </c>
      <c r="B1281" s="3">
        <v>45700</v>
      </c>
      <c r="C1281" t="s">
        <v>16</v>
      </c>
      <c r="D1281" t="s">
        <v>305</v>
      </c>
      <c r="E1281" t="s">
        <v>391</v>
      </c>
      <c r="F1281">
        <v>7</v>
      </c>
      <c r="G1281" s="6">
        <v>223734</v>
      </c>
      <c r="H1281">
        <f>COUNTBLANK(Sales_Data[[#This Row],[Revenue]])</f>
        <v>0</v>
      </c>
      <c r="I1281">
        <f>COUNTBLANK(Sales_Data[[#This Row],[Quantity]])</f>
        <v>0</v>
      </c>
      <c r="J1281" t="str">
        <f>TEXT(Sales_Data[[#This Row],[Date]],"yyyy-mm")</f>
        <v>2025-02</v>
      </c>
    </row>
    <row r="1282" spans="1:10" x14ac:dyDescent="0.35">
      <c r="A1282" t="s">
        <v>1671</v>
      </c>
      <c r="B1282" s="3">
        <v>45908</v>
      </c>
      <c r="C1282" t="s">
        <v>7</v>
      </c>
      <c r="D1282" t="s">
        <v>103</v>
      </c>
      <c r="E1282" t="s">
        <v>391</v>
      </c>
      <c r="F1282">
        <v>9</v>
      </c>
      <c r="G1282" s="6">
        <v>235197</v>
      </c>
      <c r="H1282">
        <f>COUNTBLANK(Sales_Data[[#This Row],[Revenue]])</f>
        <v>0</v>
      </c>
      <c r="I1282">
        <f>COUNTBLANK(Sales_Data[[#This Row],[Quantity]])</f>
        <v>0</v>
      </c>
      <c r="J1282" t="str">
        <f>TEXT(Sales_Data[[#This Row],[Date]],"yyyy-mm")</f>
        <v>2025-09</v>
      </c>
    </row>
    <row r="1283" spans="1:10" x14ac:dyDescent="0.35">
      <c r="A1283" t="s">
        <v>1672</v>
      </c>
      <c r="B1283" s="3">
        <v>45873</v>
      </c>
      <c r="C1283" t="s">
        <v>47</v>
      </c>
      <c r="D1283" t="s">
        <v>217</v>
      </c>
      <c r="E1283" t="s">
        <v>391</v>
      </c>
      <c r="F1283">
        <v>1</v>
      </c>
      <c r="G1283" s="6">
        <v>22062</v>
      </c>
      <c r="H1283">
        <f>COUNTBLANK(Sales_Data[[#This Row],[Revenue]])</f>
        <v>0</v>
      </c>
      <c r="I1283">
        <f>COUNTBLANK(Sales_Data[[#This Row],[Quantity]])</f>
        <v>0</v>
      </c>
      <c r="J1283" t="str">
        <f>TEXT(Sales_Data[[#This Row],[Date]],"yyyy-mm")</f>
        <v>2025-08</v>
      </c>
    </row>
    <row r="1284" spans="1:10" x14ac:dyDescent="0.35">
      <c r="A1284" t="s">
        <v>1673</v>
      </c>
      <c r="B1284" s="3">
        <v>45886</v>
      </c>
      <c r="C1284" t="s">
        <v>45</v>
      </c>
      <c r="D1284" t="s">
        <v>209</v>
      </c>
      <c r="E1284" t="s">
        <v>394</v>
      </c>
      <c r="F1284">
        <v>9</v>
      </c>
      <c r="G1284" s="6">
        <v>70434</v>
      </c>
      <c r="H1284">
        <f>COUNTBLANK(Sales_Data[[#This Row],[Revenue]])</f>
        <v>0</v>
      </c>
      <c r="I1284">
        <f>COUNTBLANK(Sales_Data[[#This Row],[Quantity]])</f>
        <v>0</v>
      </c>
      <c r="J1284" t="str">
        <f>TEXT(Sales_Data[[#This Row],[Date]],"yyyy-mm")</f>
        <v>2025-08</v>
      </c>
    </row>
    <row r="1285" spans="1:10" x14ac:dyDescent="0.35">
      <c r="A1285" t="s">
        <v>1674</v>
      </c>
      <c r="B1285" s="3">
        <v>45879</v>
      </c>
      <c r="C1285" t="s">
        <v>29</v>
      </c>
      <c r="D1285" t="s">
        <v>143</v>
      </c>
      <c r="E1285" t="s">
        <v>391</v>
      </c>
      <c r="F1285">
        <v>5</v>
      </c>
      <c r="G1285" s="6">
        <v>213220</v>
      </c>
      <c r="H1285">
        <f>COUNTBLANK(Sales_Data[[#This Row],[Revenue]])</f>
        <v>0</v>
      </c>
      <c r="I1285">
        <f>COUNTBLANK(Sales_Data[[#This Row],[Quantity]])</f>
        <v>0</v>
      </c>
      <c r="J1285" t="str">
        <f>TEXT(Sales_Data[[#This Row],[Date]],"yyyy-mm")</f>
        <v>2025-08</v>
      </c>
    </row>
    <row r="1286" spans="1:10" x14ac:dyDescent="0.35">
      <c r="A1286" t="s">
        <v>1675</v>
      </c>
      <c r="B1286" s="3">
        <v>45987</v>
      </c>
      <c r="C1286" t="s">
        <v>55</v>
      </c>
      <c r="D1286" t="s">
        <v>223</v>
      </c>
      <c r="E1286" t="s">
        <v>394</v>
      </c>
      <c r="F1286">
        <v>6</v>
      </c>
      <c r="G1286" s="6">
        <v>68490</v>
      </c>
      <c r="H1286">
        <f>COUNTBLANK(Sales_Data[[#This Row],[Revenue]])</f>
        <v>0</v>
      </c>
      <c r="I1286">
        <f>COUNTBLANK(Sales_Data[[#This Row],[Quantity]])</f>
        <v>0</v>
      </c>
      <c r="J1286" t="str">
        <f>TEXT(Sales_Data[[#This Row],[Date]],"yyyy-mm")</f>
        <v>2025-11</v>
      </c>
    </row>
    <row r="1287" spans="1:10" x14ac:dyDescent="0.35">
      <c r="A1287" t="s">
        <v>1676</v>
      </c>
      <c r="B1287" s="3">
        <v>45800</v>
      </c>
      <c r="C1287" t="s">
        <v>47</v>
      </c>
      <c r="D1287" t="s">
        <v>367</v>
      </c>
      <c r="E1287" t="s">
        <v>389</v>
      </c>
      <c r="F1287">
        <v>2</v>
      </c>
      <c r="G1287" s="6">
        <v>44124</v>
      </c>
      <c r="H1287">
        <f>COUNTBLANK(Sales_Data[[#This Row],[Revenue]])</f>
        <v>0</v>
      </c>
      <c r="I1287">
        <f>COUNTBLANK(Sales_Data[[#This Row],[Quantity]])</f>
        <v>0</v>
      </c>
      <c r="J1287" t="str">
        <f>TEXT(Sales_Data[[#This Row],[Date]],"yyyy-mm")</f>
        <v>2025-05</v>
      </c>
    </row>
    <row r="1288" spans="1:10" x14ac:dyDescent="0.35">
      <c r="A1288" t="s">
        <v>1677</v>
      </c>
      <c r="B1288" s="3">
        <v>45708</v>
      </c>
      <c r="C1288" t="s">
        <v>29</v>
      </c>
      <c r="D1288" t="s">
        <v>251</v>
      </c>
      <c r="E1288" t="s">
        <v>389</v>
      </c>
      <c r="F1288">
        <v>7</v>
      </c>
      <c r="G1288" s="6">
        <v>298508</v>
      </c>
      <c r="H1288">
        <f>COUNTBLANK(Sales_Data[[#This Row],[Revenue]])</f>
        <v>0</v>
      </c>
      <c r="I1288">
        <f>COUNTBLANK(Sales_Data[[#This Row],[Quantity]])</f>
        <v>0</v>
      </c>
      <c r="J1288" t="str">
        <f>TEXT(Sales_Data[[#This Row],[Date]],"yyyy-mm")</f>
        <v>2025-02</v>
      </c>
    </row>
    <row r="1289" spans="1:10" x14ac:dyDescent="0.35">
      <c r="A1289" t="s">
        <v>1678</v>
      </c>
      <c r="B1289" s="3">
        <v>45873</v>
      </c>
      <c r="C1289" t="s">
        <v>4</v>
      </c>
      <c r="D1289" t="s">
        <v>249</v>
      </c>
      <c r="E1289" t="s">
        <v>394</v>
      </c>
      <c r="F1289">
        <v>1</v>
      </c>
      <c r="G1289" s="6">
        <v>11815</v>
      </c>
      <c r="H1289">
        <f>COUNTBLANK(Sales_Data[[#This Row],[Revenue]])</f>
        <v>0</v>
      </c>
      <c r="I1289">
        <f>COUNTBLANK(Sales_Data[[#This Row],[Quantity]])</f>
        <v>0</v>
      </c>
      <c r="J1289" t="str">
        <f>TEXT(Sales_Data[[#This Row],[Date]],"yyyy-mm")</f>
        <v>2025-08</v>
      </c>
    </row>
    <row r="1290" spans="1:10" x14ac:dyDescent="0.35">
      <c r="A1290" t="s">
        <v>1679</v>
      </c>
      <c r="B1290" s="3">
        <v>45841</v>
      </c>
      <c r="C1290" t="s">
        <v>49</v>
      </c>
      <c r="D1290" t="s">
        <v>257</v>
      </c>
      <c r="E1290" t="s">
        <v>394</v>
      </c>
      <c r="F1290">
        <v>5</v>
      </c>
      <c r="G1290" s="6">
        <v>227570</v>
      </c>
      <c r="H1290">
        <f>COUNTBLANK(Sales_Data[[#This Row],[Revenue]])</f>
        <v>0</v>
      </c>
      <c r="I1290">
        <f>COUNTBLANK(Sales_Data[[#This Row],[Quantity]])</f>
        <v>0</v>
      </c>
      <c r="J1290" t="str">
        <f>TEXT(Sales_Data[[#This Row],[Date]],"yyyy-mm")</f>
        <v>2025-07</v>
      </c>
    </row>
    <row r="1291" spans="1:10" x14ac:dyDescent="0.35">
      <c r="A1291" t="s">
        <v>1680</v>
      </c>
      <c r="B1291" s="3">
        <v>45965</v>
      </c>
      <c r="C1291" t="s">
        <v>7</v>
      </c>
      <c r="D1291" t="s">
        <v>241</v>
      </c>
      <c r="E1291" t="s">
        <v>389</v>
      </c>
      <c r="F1291">
        <v>1</v>
      </c>
      <c r="G1291" s="6">
        <v>26133</v>
      </c>
      <c r="H1291">
        <f>COUNTBLANK(Sales_Data[[#This Row],[Revenue]])</f>
        <v>0</v>
      </c>
      <c r="I1291">
        <f>COUNTBLANK(Sales_Data[[#This Row],[Quantity]])</f>
        <v>0</v>
      </c>
      <c r="J1291" t="str">
        <f>TEXT(Sales_Data[[#This Row],[Date]],"yyyy-mm")</f>
        <v>2025-11</v>
      </c>
    </row>
    <row r="1292" spans="1:10" x14ac:dyDescent="0.35">
      <c r="A1292" t="s">
        <v>1681</v>
      </c>
      <c r="B1292" s="3">
        <v>45740</v>
      </c>
      <c r="C1292" t="s">
        <v>27</v>
      </c>
      <c r="D1292" t="s">
        <v>175</v>
      </c>
      <c r="E1292" t="s">
        <v>394</v>
      </c>
      <c r="F1292">
        <v>7</v>
      </c>
      <c r="G1292" s="6">
        <v>263788</v>
      </c>
      <c r="H1292">
        <f>COUNTBLANK(Sales_Data[[#This Row],[Revenue]])</f>
        <v>0</v>
      </c>
      <c r="I1292">
        <f>COUNTBLANK(Sales_Data[[#This Row],[Quantity]])</f>
        <v>0</v>
      </c>
      <c r="J1292" t="str">
        <f>TEXT(Sales_Data[[#This Row],[Date]],"yyyy-mm")</f>
        <v>2025-03</v>
      </c>
    </row>
    <row r="1293" spans="1:10" x14ac:dyDescent="0.35">
      <c r="A1293" t="s">
        <v>1682</v>
      </c>
      <c r="B1293" s="3">
        <v>45677</v>
      </c>
      <c r="C1293" t="s">
        <v>61</v>
      </c>
      <c r="D1293" t="s">
        <v>341</v>
      </c>
      <c r="E1293" t="s">
        <v>389</v>
      </c>
      <c r="F1293">
        <v>3</v>
      </c>
      <c r="G1293" s="6">
        <v>75048</v>
      </c>
      <c r="H1293">
        <f>COUNTBLANK(Sales_Data[[#This Row],[Revenue]])</f>
        <v>0</v>
      </c>
      <c r="I1293">
        <f>COUNTBLANK(Sales_Data[[#This Row],[Quantity]])</f>
        <v>0</v>
      </c>
      <c r="J1293" t="str">
        <f>TEXT(Sales_Data[[#This Row],[Date]],"yyyy-mm")</f>
        <v>2025-01</v>
      </c>
    </row>
    <row r="1294" spans="1:10" x14ac:dyDescent="0.35">
      <c r="A1294" t="s">
        <v>1683</v>
      </c>
      <c r="B1294" s="3">
        <v>45800</v>
      </c>
      <c r="C1294" t="s">
        <v>21</v>
      </c>
      <c r="D1294" t="s">
        <v>309</v>
      </c>
      <c r="E1294" t="s">
        <v>389</v>
      </c>
      <c r="F1294">
        <v>3</v>
      </c>
      <c r="G1294" s="6">
        <v>45627</v>
      </c>
      <c r="H1294">
        <f>COUNTBLANK(Sales_Data[[#This Row],[Revenue]])</f>
        <v>0</v>
      </c>
      <c r="I1294">
        <f>COUNTBLANK(Sales_Data[[#This Row],[Quantity]])</f>
        <v>0</v>
      </c>
      <c r="J1294" t="str">
        <f>TEXT(Sales_Data[[#This Row],[Date]],"yyyy-mm")</f>
        <v>2025-05</v>
      </c>
    </row>
    <row r="1295" spans="1:10" x14ac:dyDescent="0.35">
      <c r="A1295" t="s">
        <v>1684</v>
      </c>
      <c r="B1295" s="3">
        <v>45861</v>
      </c>
      <c r="C1295" t="s">
        <v>59</v>
      </c>
      <c r="D1295" t="s">
        <v>263</v>
      </c>
      <c r="E1295" t="s">
        <v>394</v>
      </c>
      <c r="F1295">
        <v>1</v>
      </c>
      <c r="G1295" s="6">
        <v>48106</v>
      </c>
      <c r="H1295">
        <f>COUNTBLANK(Sales_Data[[#This Row],[Revenue]])</f>
        <v>0</v>
      </c>
      <c r="I1295">
        <f>COUNTBLANK(Sales_Data[[#This Row],[Quantity]])</f>
        <v>0</v>
      </c>
      <c r="J1295" t="str">
        <f>TEXT(Sales_Data[[#This Row],[Date]],"yyyy-mm")</f>
        <v>2025-07</v>
      </c>
    </row>
    <row r="1296" spans="1:10" x14ac:dyDescent="0.35">
      <c r="A1296" t="s">
        <v>1685</v>
      </c>
      <c r="B1296" s="3">
        <v>46004</v>
      </c>
      <c r="C1296" t="s">
        <v>57</v>
      </c>
      <c r="D1296" t="s">
        <v>133</v>
      </c>
      <c r="E1296" t="s">
        <v>403</v>
      </c>
      <c r="F1296">
        <v>5</v>
      </c>
      <c r="G1296" s="6">
        <v>243945</v>
      </c>
      <c r="H1296">
        <f>COUNTBLANK(Sales_Data[[#This Row],[Revenue]])</f>
        <v>0</v>
      </c>
      <c r="I1296">
        <f>COUNTBLANK(Sales_Data[[#This Row],[Quantity]])</f>
        <v>0</v>
      </c>
      <c r="J1296" t="str">
        <f>TEXT(Sales_Data[[#This Row],[Date]],"yyyy-mm")</f>
        <v>2025-12</v>
      </c>
    </row>
    <row r="1297" spans="1:10" x14ac:dyDescent="0.35">
      <c r="A1297" t="s">
        <v>1686</v>
      </c>
      <c r="B1297" s="3">
        <v>45953</v>
      </c>
      <c r="C1297" t="s">
        <v>29</v>
      </c>
      <c r="D1297" t="s">
        <v>131</v>
      </c>
      <c r="E1297" t="s">
        <v>403</v>
      </c>
      <c r="F1297">
        <v>10</v>
      </c>
      <c r="G1297" s="6">
        <v>426440</v>
      </c>
      <c r="H1297">
        <f>COUNTBLANK(Sales_Data[[#This Row],[Revenue]])</f>
        <v>0</v>
      </c>
      <c r="I1297">
        <f>COUNTBLANK(Sales_Data[[#This Row],[Quantity]])</f>
        <v>0</v>
      </c>
      <c r="J1297" t="str">
        <f>TEXT(Sales_Data[[#This Row],[Date]],"yyyy-mm")</f>
        <v>2025-10</v>
      </c>
    </row>
    <row r="1298" spans="1:10" x14ac:dyDescent="0.35">
      <c r="A1298" t="s">
        <v>1687</v>
      </c>
      <c r="B1298" s="3">
        <v>45985</v>
      </c>
      <c r="C1298" t="s">
        <v>51</v>
      </c>
      <c r="D1298" t="s">
        <v>365</v>
      </c>
      <c r="E1298" t="s">
        <v>391</v>
      </c>
      <c r="F1298">
        <v>3</v>
      </c>
      <c r="G1298" s="6">
        <v>94317</v>
      </c>
      <c r="H1298">
        <f>COUNTBLANK(Sales_Data[[#This Row],[Revenue]])</f>
        <v>0</v>
      </c>
      <c r="I1298">
        <f>COUNTBLANK(Sales_Data[[#This Row],[Quantity]])</f>
        <v>0</v>
      </c>
      <c r="J1298" t="str">
        <f>TEXT(Sales_Data[[#This Row],[Date]],"yyyy-mm")</f>
        <v>2025-11</v>
      </c>
    </row>
    <row r="1299" spans="1:10" x14ac:dyDescent="0.35">
      <c r="A1299" t="s">
        <v>1688</v>
      </c>
      <c r="B1299" s="3">
        <v>45694</v>
      </c>
      <c r="C1299" t="s">
        <v>33</v>
      </c>
      <c r="D1299" t="s">
        <v>279</v>
      </c>
      <c r="E1299" t="s">
        <v>391</v>
      </c>
      <c r="F1299">
        <v>3</v>
      </c>
      <c r="G1299" s="6">
        <v>108759</v>
      </c>
      <c r="H1299">
        <f>COUNTBLANK(Sales_Data[[#This Row],[Revenue]])</f>
        <v>0</v>
      </c>
      <c r="I1299">
        <f>COUNTBLANK(Sales_Data[[#This Row],[Quantity]])</f>
        <v>0</v>
      </c>
      <c r="J1299" t="str">
        <f>TEXT(Sales_Data[[#This Row],[Date]],"yyyy-mm")</f>
        <v>2025-02</v>
      </c>
    </row>
    <row r="1300" spans="1:10" x14ac:dyDescent="0.35">
      <c r="A1300" t="s">
        <v>1689</v>
      </c>
      <c r="B1300" s="3">
        <v>45854</v>
      </c>
      <c r="C1300" t="s">
        <v>59</v>
      </c>
      <c r="D1300" t="s">
        <v>211</v>
      </c>
      <c r="E1300" t="s">
        <v>403</v>
      </c>
      <c r="F1300">
        <v>4</v>
      </c>
      <c r="G1300" s="6">
        <v>192424</v>
      </c>
      <c r="H1300">
        <f>COUNTBLANK(Sales_Data[[#This Row],[Revenue]])</f>
        <v>0</v>
      </c>
      <c r="I1300">
        <f>COUNTBLANK(Sales_Data[[#This Row],[Quantity]])</f>
        <v>0</v>
      </c>
      <c r="J1300" t="str">
        <f>TEXT(Sales_Data[[#This Row],[Date]],"yyyy-mm")</f>
        <v>2025-07</v>
      </c>
    </row>
    <row r="1301" spans="1:10" x14ac:dyDescent="0.35">
      <c r="A1301" t="s">
        <v>1690</v>
      </c>
      <c r="B1301" s="3">
        <v>45889</v>
      </c>
      <c r="C1301" t="s">
        <v>55</v>
      </c>
      <c r="D1301" t="s">
        <v>361</v>
      </c>
      <c r="E1301" t="s">
        <v>387</v>
      </c>
      <c r="F1301">
        <v>9</v>
      </c>
      <c r="G1301" s="6">
        <v>102735</v>
      </c>
      <c r="H1301">
        <f>COUNTBLANK(Sales_Data[[#This Row],[Revenue]])</f>
        <v>0</v>
      </c>
      <c r="I1301">
        <f>COUNTBLANK(Sales_Data[[#This Row],[Quantity]])</f>
        <v>0</v>
      </c>
      <c r="J1301" t="str">
        <f>TEXT(Sales_Data[[#This Row],[Date]],"yyyy-mm")</f>
        <v>2025-08</v>
      </c>
    </row>
    <row r="1302" spans="1:10" x14ac:dyDescent="0.35">
      <c r="A1302" t="s">
        <v>1691</v>
      </c>
      <c r="B1302" s="3">
        <v>45775</v>
      </c>
      <c r="C1302" t="s">
        <v>19</v>
      </c>
      <c r="D1302" t="s">
        <v>345</v>
      </c>
      <c r="E1302" t="s">
        <v>403</v>
      </c>
      <c r="F1302">
        <v>4</v>
      </c>
      <c r="G1302" s="6">
        <v>168636</v>
      </c>
      <c r="H1302">
        <f>COUNTBLANK(Sales_Data[[#This Row],[Revenue]])</f>
        <v>0</v>
      </c>
      <c r="I1302">
        <f>COUNTBLANK(Sales_Data[[#This Row],[Quantity]])</f>
        <v>0</v>
      </c>
      <c r="J1302" t="str">
        <f>TEXT(Sales_Data[[#This Row],[Date]],"yyyy-mm")</f>
        <v>2025-04</v>
      </c>
    </row>
    <row r="1303" spans="1:10" x14ac:dyDescent="0.35">
      <c r="A1303" t="s">
        <v>1692</v>
      </c>
      <c r="B1303" s="3">
        <v>45693</v>
      </c>
      <c r="C1303" t="s">
        <v>59</v>
      </c>
      <c r="D1303" t="s">
        <v>127</v>
      </c>
      <c r="E1303" t="s">
        <v>403</v>
      </c>
      <c r="F1303">
        <v>1</v>
      </c>
      <c r="G1303" s="6">
        <v>48106</v>
      </c>
      <c r="H1303">
        <f>COUNTBLANK(Sales_Data[[#This Row],[Revenue]])</f>
        <v>0</v>
      </c>
      <c r="I1303">
        <f>COUNTBLANK(Sales_Data[[#This Row],[Quantity]])</f>
        <v>0</v>
      </c>
      <c r="J1303" t="str">
        <f>TEXT(Sales_Data[[#This Row],[Date]],"yyyy-mm")</f>
        <v>2025-02</v>
      </c>
    </row>
    <row r="1304" spans="1:10" x14ac:dyDescent="0.35">
      <c r="A1304" t="s">
        <v>1693</v>
      </c>
      <c r="B1304" s="3">
        <v>45759</v>
      </c>
      <c r="C1304" t="s">
        <v>33</v>
      </c>
      <c r="D1304" t="s">
        <v>113</v>
      </c>
      <c r="E1304" t="s">
        <v>403</v>
      </c>
      <c r="F1304">
        <v>4</v>
      </c>
      <c r="G1304" s="6">
        <v>145012</v>
      </c>
      <c r="H1304">
        <f>COUNTBLANK(Sales_Data[[#This Row],[Revenue]])</f>
        <v>0</v>
      </c>
      <c r="I1304">
        <f>COUNTBLANK(Sales_Data[[#This Row],[Quantity]])</f>
        <v>0</v>
      </c>
      <c r="J1304" t="str">
        <f>TEXT(Sales_Data[[#This Row],[Date]],"yyyy-mm")</f>
        <v>2025-04</v>
      </c>
    </row>
    <row r="1305" spans="1:10" x14ac:dyDescent="0.35">
      <c r="A1305" t="s">
        <v>1694</v>
      </c>
      <c r="B1305" s="3">
        <v>45692</v>
      </c>
      <c r="C1305" t="s">
        <v>37</v>
      </c>
      <c r="D1305" t="s">
        <v>157</v>
      </c>
      <c r="E1305" t="s">
        <v>389</v>
      </c>
      <c r="F1305">
        <v>6</v>
      </c>
      <c r="G1305" s="6">
        <v>11718</v>
      </c>
      <c r="H1305">
        <f>COUNTBLANK(Sales_Data[[#This Row],[Revenue]])</f>
        <v>0</v>
      </c>
      <c r="I1305">
        <f>COUNTBLANK(Sales_Data[[#This Row],[Quantity]])</f>
        <v>0</v>
      </c>
      <c r="J1305" t="str">
        <f>TEXT(Sales_Data[[#This Row],[Date]],"yyyy-mm")</f>
        <v>2025-02</v>
      </c>
    </row>
    <row r="1306" spans="1:10" x14ac:dyDescent="0.35">
      <c r="A1306" t="s">
        <v>1695</v>
      </c>
      <c r="B1306" s="3">
        <v>46009</v>
      </c>
      <c r="C1306" t="s">
        <v>13</v>
      </c>
      <c r="D1306" t="s">
        <v>81</v>
      </c>
      <c r="E1306" t="s">
        <v>391</v>
      </c>
      <c r="F1306">
        <v>5</v>
      </c>
      <c r="G1306" s="6">
        <v>150885</v>
      </c>
      <c r="H1306">
        <f>COUNTBLANK(Sales_Data[[#This Row],[Revenue]])</f>
        <v>0</v>
      </c>
      <c r="I1306">
        <f>COUNTBLANK(Sales_Data[[#This Row],[Quantity]])</f>
        <v>0</v>
      </c>
      <c r="J1306" t="str">
        <f>TEXT(Sales_Data[[#This Row],[Date]],"yyyy-mm")</f>
        <v>2025-12</v>
      </c>
    </row>
    <row r="1307" spans="1:10" x14ac:dyDescent="0.35">
      <c r="A1307" t="s">
        <v>1696</v>
      </c>
      <c r="B1307" s="3">
        <v>46004</v>
      </c>
      <c r="C1307" t="s">
        <v>10</v>
      </c>
      <c r="D1307" t="s">
        <v>115</v>
      </c>
      <c r="E1307" t="s">
        <v>387</v>
      </c>
      <c r="F1307">
        <v>8</v>
      </c>
      <c r="G1307" s="6">
        <v>36128</v>
      </c>
      <c r="H1307">
        <f>COUNTBLANK(Sales_Data[[#This Row],[Revenue]])</f>
        <v>0</v>
      </c>
      <c r="I1307">
        <f>COUNTBLANK(Sales_Data[[#This Row],[Quantity]])</f>
        <v>0</v>
      </c>
      <c r="J1307" t="str">
        <f>TEXT(Sales_Data[[#This Row],[Date]],"yyyy-mm")</f>
        <v>2025-12</v>
      </c>
    </row>
    <row r="1308" spans="1:10" x14ac:dyDescent="0.35">
      <c r="A1308" t="s">
        <v>1697</v>
      </c>
      <c r="B1308" s="3">
        <v>45868</v>
      </c>
      <c r="C1308" t="s">
        <v>39</v>
      </c>
      <c r="D1308" t="s">
        <v>161</v>
      </c>
      <c r="E1308" t="s">
        <v>391</v>
      </c>
      <c r="F1308">
        <v>8</v>
      </c>
      <c r="G1308" s="6">
        <v>386304</v>
      </c>
      <c r="H1308">
        <f>COUNTBLANK(Sales_Data[[#This Row],[Revenue]])</f>
        <v>0</v>
      </c>
      <c r="I1308">
        <f>COUNTBLANK(Sales_Data[[#This Row],[Quantity]])</f>
        <v>0</v>
      </c>
      <c r="J1308" t="str">
        <f>TEXT(Sales_Data[[#This Row],[Date]],"yyyy-mm")</f>
        <v>2025-07</v>
      </c>
    </row>
    <row r="1309" spans="1:10" x14ac:dyDescent="0.35">
      <c r="A1309" t="s">
        <v>1698</v>
      </c>
      <c r="B1309" s="3">
        <v>46000</v>
      </c>
      <c r="C1309" t="s">
        <v>16</v>
      </c>
      <c r="D1309" t="s">
        <v>171</v>
      </c>
      <c r="E1309" t="s">
        <v>387</v>
      </c>
      <c r="F1309">
        <v>10</v>
      </c>
      <c r="G1309" s="6">
        <v>319620</v>
      </c>
      <c r="H1309">
        <f>COUNTBLANK(Sales_Data[[#This Row],[Revenue]])</f>
        <v>0</v>
      </c>
      <c r="I1309">
        <f>COUNTBLANK(Sales_Data[[#This Row],[Quantity]])</f>
        <v>0</v>
      </c>
      <c r="J1309" t="str">
        <f>TEXT(Sales_Data[[#This Row],[Date]],"yyyy-mm")</f>
        <v>2025-12</v>
      </c>
    </row>
    <row r="1310" spans="1:10" x14ac:dyDescent="0.35">
      <c r="A1310" t="s">
        <v>1699</v>
      </c>
      <c r="B1310" s="3">
        <v>45980</v>
      </c>
      <c r="C1310" t="s">
        <v>35</v>
      </c>
      <c r="D1310" t="s">
        <v>239</v>
      </c>
      <c r="E1310" t="s">
        <v>403</v>
      </c>
      <c r="F1310">
        <v>2</v>
      </c>
      <c r="G1310" s="6">
        <v>98920</v>
      </c>
      <c r="H1310">
        <f>COUNTBLANK(Sales_Data[[#This Row],[Revenue]])</f>
        <v>0</v>
      </c>
      <c r="I1310">
        <f>COUNTBLANK(Sales_Data[[#This Row],[Quantity]])</f>
        <v>0</v>
      </c>
      <c r="J1310" t="str">
        <f>TEXT(Sales_Data[[#This Row],[Date]],"yyyy-mm")</f>
        <v>2025-11</v>
      </c>
    </row>
    <row r="1311" spans="1:10" x14ac:dyDescent="0.35">
      <c r="A1311" t="s">
        <v>1700</v>
      </c>
      <c r="B1311" s="3">
        <v>45980</v>
      </c>
      <c r="C1311" t="s">
        <v>33</v>
      </c>
      <c r="D1311" t="s">
        <v>361</v>
      </c>
      <c r="E1311" t="s">
        <v>403</v>
      </c>
      <c r="F1311">
        <v>2</v>
      </c>
      <c r="G1311" s="6">
        <v>72506</v>
      </c>
      <c r="H1311">
        <f>COUNTBLANK(Sales_Data[[#This Row],[Revenue]])</f>
        <v>0</v>
      </c>
      <c r="I1311">
        <f>COUNTBLANK(Sales_Data[[#This Row],[Quantity]])</f>
        <v>0</v>
      </c>
      <c r="J1311" t="str">
        <f>TEXT(Sales_Data[[#This Row],[Date]],"yyyy-mm")</f>
        <v>2025-11</v>
      </c>
    </row>
    <row r="1312" spans="1:10" x14ac:dyDescent="0.35">
      <c r="A1312" t="s">
        <v>1701</v>
      </c>
      <c r="B1312" s="3">
        <v>45819</v>
      </c>
      <c r="C1312" t="s">
        <v>45</v>
      </c>
      <c r="D1312" t="s">
        <v>175</v>
      </c>
      <c r="E1312" t="s">
        <v>394</v>
      </c>
      <c r="F1312">
        <v>9</v>
      </c>
      <c r="G1312" s="6">
        <v>70434</v>
      </c>
      <c r="H1312">
        <f>COUNTBLANK(Sales_Data[[#This Row],[Revenue]])</f>
        <v>0</v>
      </c>
      <c r="I1312">
        <f>COUNTBLANK(Sales_Data[[#This Row],[Quantity]])</f>
        <v>0</v>
      </c>
      <c r="J1312" t="str">
        <f>TEXT(Sales_Data[[#This Row],[Date]],"yyyy-mm")</f>
        <v>2025-06</v>
      </c>
    </row>
    <row r="1313" spans="1:10" x14ac:dyDescent="0.35">
      <c r="A1313" t="s">
        <v>1702</v>
      </c>
      <c r="B1313" s="3">
        <v>45870</v>
      </c>
      <c r="C1313" t="s">
        <v>43</v>
      </c>
      <c r="D1313" t="s">
        <v>137</v>
      </c>
      <c r="E1313" t="s">
        <v>387</v>
      </c>
      <c r="F1313">
        <v>6</v>
      </c>
      <c r="G1313" s="6">
        <v>226950</v>
      </c>
      <c r="H1313">
        <f>COUNTBLANK(Sales_Data[[#This Row],[Revenue]])</f>
        <v>0</v>
      </c>
      <c r="I1313">
        <f>COUNTBLANK(Sales_Data[[#This Row],[Quantity]])</f>
        <v>0</v>
      </c>
      <c r="J1313" t="str">
        <f>TEXT(Sales_Data[[#This Row],[Date]],"yyyy-mm")</f>
        <v>2025-08</v>
      </c>
    </row>
    <row r="1314" spans="1:10" x14ac:dyDescent="0.35">
      <c r="A1314" t="s">
        <v>1703</v>
      </c>
      <c r="B1314" s="3">
        <v>45843</v>
      </c>
      <c r="C1314" t="s">
        <v>55</v>
      </c>
      <c r="D1314" t="s">
        <v>163</v>
      </c>
      <c r="E1314" t="s">
        <v>403</v>
      </c>
      <c r="F1314">
        <v>4</v>
      </c>
      <c r="G1314" s="6">
        <v>45660</v>
      </c>
      <c r="H1314">
        <f>COUNTBLANK(Sales_Data[[#This Row],[Revenue]])</f>
        <v>0</v>
      </c>
      <c r="I1314">
        <f>COUNTBLANK(Sales_Data[[#This Row],[Quantity]])</f>
        <v>0</v>
      </c>
      <c r="J1314" t="str">
        <f>TEXT(Sales_Data[[#This Row],[Date]],"yyyy-mm")</f>
        <v>2025-07</v>
      </c>
    </row>
    <row r="1315" spans="1:10" x14ac:dyDescent="0.35">
      <c r="A1315" t="s">
        <v>1704</v>
      </c>
      <c r="B1315" s="3">
        <v>45730</v>
      </c>
      <c r="C1315" t="s">
        <v>37</v>
      </c>
      <c r="D1315" t="s">
        <v>319</v>
      </c>
      <c r="E1315" t="s">
        <v>391</v>
      </c>
      <c r="F1315">
        <v>4</v>
      </c>
      <c r="G1315" s="6">
        <v>7812</v>
      </c>
      <c r="H1315">
        <f>COUNTBLANK(Sales_Data[[#This Row],[Revenue]])</f>
        <v>0</v>
      </c>
      <c r="I1315">
        <f>COUNTBLANK(Sales_Data[[#This Row],[Quantity]])</f>
        <v>0</v>
      </c>
      <c r="J1315" t="str">
        <f>TEXT(Sales_Data[[#This Row],[Date]],"yyyy-mm")</f>
        <v>2025-03</v>
      </c>
    </row>
    <row r="1316" spans="1:10" x14ac:dyDescent="0.35">
      <c r="A1316" t="s">
        <v>1705</v>
      </c>
      <c r="B1316" s="3">
        <v>45942</v>
      </c>
      <c r="C1316" t="s">
        <v>51</v>
      </c>
      <c r="D1316" t="s">
        <v>84</v>
      </c>
      <c r="E1316" t="s">
        <v>387</v>
      </c>
      <c r="F1316">
        <v>9</v>
      </c>
      <c r="G1316" s="6">
        <v>282951</v>
      </c>
      <c r="H1316">
        <f>COUNTBLANK(Sales_Data[[#This Row],[Revenue]])</f>
        <v>0</v>
      </c>
      <c r="I1316">
        <f>COUNTBLANK(Sales_Data[[#This Row],[Quantity]])</f>
        <v>0</v>
      </c>
      <c r="J1316" t="str">
        <f>TEXT(Sales_Data[[#This Row],[Date]],"yyyy-mm")</f>
        <v>2025-10</v>
      </c>
    </row>
    <row r="1317" spans="1:10" x14ac:dyDescent="0.35">
      <c r="A1317" t="s">
        <v>1706</v>
      </c>
      <c r="B1317" s="3">
        <v>45676</v>
      </c>
      <c r="C1317" t="s">
        <v>67</v>
      </c>
      <c r="D1317" t="s">
        <v>117</v>
      </c>
      <c r="E1317" t="s">
        <v>394</v>
      </c>
      <c r="F1317">
        <v>5</v>
      </c>
      <c r="G1317" s="6">
        <v>108080</v>
      </c>
      <c r="H1317">
        <f>COUNTBLANK(Sales_Data[[#This Row],[Revenue]])</f>
        <v>0</v>
      </c>
      <c r="I1317">
        <f>COUNTBLANK(Sales_Data[[#This Row],[Quantity]])</f>
        <v>0</v>
      </c>
      <c r="J1317" t="str">
        <f>TEXT(Sales_Data[[#This Row],[Date]],"yyyy-mm")</f>
        <v>2025-01</v>
      </c>
    </row>
    <row r="1318" spans="1:10" x14ac:dyDescent="0.35">
      <c r="A1318" t="s">
        <v>1707</v>
      </c>
      <c r="B1318" s="3">
        <v>45990</v>
      </c>
      <c r="C1318" t="s">
        <v>39</v>
      </c>
      <c r="D1318" t="s">
        <v>293</v>
      </c>
      <c r="E1318" t="s">
        <v>391</v>
      </c>
      <c r="F1318">
        <v>1</v>
      </c>
      <c r="G1318" s="6">
        <v>48288</v>
      </c>
      <c r="H1318">
        <f>COUNTBLANK(Sales_Data[[#This Row],[Revenue]])</f>
        <v>0</v>
      </c>
      <c r="I1318">
        <f>COUNTBLANK(Sales_Data[[#This Row],[Quantity]])</f>
        <v>0</v>
      </c>
      <c r="J1318" t="str">
        <f>TEXT(Sales_Data[[#This Row],[Date]],"yyyy-mm")</f>
        <v>2025-11</v>
      </c>
    </row>
    <row r="1319" spans="1:10" x14ac:dyDescent="0.35">
      <c r="A1319" t="s">
        <v>1708</v>
      </c>
      <c r="B1319" s="3">
        <v>45742</v>
      </c>
      <c r="C1319" t="s">
        <v>63</v>
      </c>
      <c r="D1319" t="s">
        <v>217</v>
      </c>
      <c r="E1319" t="s">
        <v>387</v>
      </c>
      <c r="F1319">
        <v>10</v>
      </c>
      <c r="G1319" s="6">
        <v>87680</v>
      </c>
      <c r="H1319">
        <f>COUNTBLANK(Sales_Data[[#This Row],[Revenue]])</f>
        <v>0</v>
      </c>
      <c r="I1319">
        <f>COUNTBLANK(Sales_Data[[#This Row],[Quantity]])</f>
        <v>0</v>
      </c>
      <c r="J1319" t="str">
        <f>TEXT(Sales_Data[[#This Row],[Date]],"yyyy-mm")</f>
        <v>2025-03</v>
      </c>
    </row>
    <row r="1320" spans="1:10" x14ac:dyDescent="0.35">
      <c r="A1320" t="s">
        <v>1709</v>
      </c>
      <c r="B1320" s="3">
        <v>45925</v>
      </c>
      <c r="C1320" t="s">
        <v>23</v>
      </c>
      <c r="D1320" t="s">
        <v>207</v>
      </c>
      <c r="E1320" t="s">
        <v>394</v>
      </c>
      <c r="F1320">
        <v>1</v>
      </c>
      <c r="G1320" s="6">
        <v>6069</v>
      </c>
      <c r="H1320">
        <f>COUNTBLANK(Sales_Data[[#This Row],[Revenue]])</f>
        <v>0</v>
      </c>
      <c r="I1320">
        <f>COUNTBLANK(Sales_Data[[#This Row],[Quantity]])</f>
        <v>0</v>
      </c>
      <c r="J1320" t="str">
        <f>TEXT(Sales_Data[[#This Row],[Date]],"yyyy-mm")</f>
        <v>2025-09</v>
      </c>
    </row>
    <row r="1321" spans="1:10" x14ac:dyDescent="0.35">
      <c r="A1321" t="s">
        <v>1710</v>
      </c>
      <c r="B1321" s="3">
        <v>45833</v>
      </c>
      <c r="C1321" t="s">
        <v>33</v>
      </c>
      <c r="D1321" t="s">
        <v>257</v>
      </c>
      <c r="E1321" t="s">
        <v>403</v>
      </c>
      <c r="F1321">
        <v>5</v>
      </c>
      <c r="G1321" s="6">
        <v>181265</v>
      </c>
      <c r="H1321">
        <f>COUNTBLANK(Sales_Data[[#This Row],[Revenue]])</f>
        <v>0</v>
      </c>
      <c r="I1321">
        <f>COUNTBLANK(Sales_Data[[#This Row],[Quantity]])</f>
        <v>0</v>
      </c>
      <c r="J1321" t="str">
        <f>TEXT(Sales_Data[[#This Row],[Date]],"yyyy-mm")</f>
        <v>2025-06</v>
      </c>
    </row>
    <row r="1322" spans="1:10" x14ac:dyDescent="0.35">
      <c r="A1322" t="s">
        <v>1711</v>
      </c>
      <c r="B1322" s="3">
        <v>46015</v>
      </c>
      <c r="C1322" t="s">
        <v>63</v>
      </c>
      <c r="D1322" t="s">
        <v>131</v>
      </c>
      <c r="E1322" t="s">
        <v>403</v>
      </c>
      <c r="F1322">
        <v>4</v>
      </c>
      <c r="G1322" s="6">
        <v>35072</v>
      </c>
      <c r="H1322">
        <f>COUNTBLANK(Sales_Data[[#This Row],[Revenue]])</f>
        <v>0</v>
      </c>
      <c r="I1322">
        <f>COUNTBLANK(Sales_Data[[#This Row],[Quantity]])</f>
        <v>0</v>
      </c>
      <c r="J1322" t="str">
        <f>TEXT(Sales_Data[[#This Row],[Date]],"yyyy-mm")</f>
        <v>2025-12</v>
      </c>
    </row>
    <row r="1323" spans="1:10" x14ac:dyDescent="0.35">
      <c r="A1323" t="s">
        <v>1712</v>
      </c>
      <c r="B1323" s="3">
        <v>45778</v>
      </c>
      <c r="C1323" t="s">
        <v>47</v>
      </c>
      <c r="D1323" t="s">
        <v>153</v>
      </c>
      <c r="E1323" t="s">
        <v>387</v>
      </c>
      <c r="F1323">
        <v>7</v>
      </c>
      <c r="G1323" s="6">
        <v>154434</v>
      </c>
      <c r="H1323">
        <f>COUNTBLANK(Sales_Data[[#This Row],[Revenue]])</f>
        <v>0</v>
      </c>
      <c r="I1323">
        <f>COUNTBLANK(Sales_Data[[#This Row],[Quantity]])</f>
        <v>0</v>
      </c>
      <c r="J1323" t="str">
        <f>TEXT(Sales_Data[[#This Row],[Date]],"yyyy-mm")</f>
        <v>2025-05</v>
      </c>
    </row>
    <row r="1324" spans="1:10" x14ac:dyDescent="0.35">
      <c r="A1324" t="s">
        <v>1713</v>
      </c>
      <c r="B1324" s="3">
        <v>45860</v>
      </c>
      <c r="C1324" t="s">
        <v>35</v>
      </c>
      <c r="D1324" t="s">
        <v>147</v>
      </c>
      <c r="E1324" t="s">
        <v>391</v>
      </c>
      <c r="F1324">
        <v>5</v>
      </c>
      <c r="G1324" s="6">
        <v>247300</v>
      </c>
      <c r="H1324">
        <f>COUNTBLANK(Sales_Data[[#This Row],[Revenue]])</f>
        <v>0</v>
      </c>
      <c r="I1324">
        <f>COUNTBLANK(Sales_Data[[#This Row],[Quantity]])</f>
        <v>0</v>
      </c>
      <c r="J1324" t="str">
        <f>TEXT(Sales_Data[[#This Row],[Date]],"yyyy-mm")</f>
        <v>2025-07</v>
      </c>
    </row>
    <row r="1325" spans="1:10" x14ac:dyDescent="0.35">
      <c r="A1325" t="s">
        <v>1714</v>
      </c>
      <c r="B1325" s="3">
        <v>45993</v>
      </c>
      <c r="C1325" t="s">
        <v>67</v>
      </c>
      <c r="D1325" t="s">
        <v>295</v>
      </c>
      <c r="E1325" t="s">
        <v>387</v>
      </c>
      <c r="F1325">
        <v>8</v>
      </c>
      <c r="G1325" s="6">
        <v>172928</v>
      </c>
      <c r="H1325">
        <f>COUNTBLANK(Sales_Data[[#This Row],[Revenue]])</f>
        <v>0</v>
      </c>
      <c r="I1325">
        <f>COUNTBLANK(Sales_Data[[#This Row],[Quantity]])</f>
        <v>0</v>
      </c>
      <c r="J1325" t="str">
        <f>TEXT(Sales_Data[[#This Row],[Date]],"yyyy-mm")</f>
        <v>2025-12</v>
      </c>
    </row>
    <row r="1326" spans="1:10" x14ac:dyDescent="0.35">
      <c r="A1326" t="s">
        <v>1715</v>
      </c>
      <c r="B1326" s="3">
        <v>45750</v>
      </c>
      <c r="C1326" t="s">
        <v>37</v>
      </c>
      <c r="D1326" t="s">
        <v>321</v>
      </c>
      <c r="E1326" t="s">
        <v>391</v>
      </c>
      <c r="F1326">
        <v>1</v>
      </c>
      <c r="G1326" s="6">
        <v>1953</v>
      </c>
      <c r="H1326">
        <f>COUNTBLANK(Sales_Data[[#This Row],[Revenue]])</f>
        <v>0</v>
      </c>
      <c r="I1326">
        <f>COUNTBLANK(Sales_Data[[#This Row],[Quantity]])</f>
        <v>0</v>
      </c>
      <c r="J1326" t="str">
        <f>TEXT(Sales_Data[[#This Row],[Date]],"yyyy-mm")</f>
        <v>2025-04</v>
      </c>
    </row>
    <row r="1327" spans="1:10" x14ac:dyDescent="0.35">
      <c r="A1327" t="s">
        <v>1716</v>
      </c>
      <c r="B1327" s="3">
        <v>45935</v>
      </c>
      <c r="C1327" t="s">
        <v>57</v>
      </c>
      <c r="D1327" t="s">
        <v>225</v>
      </c>
      <c r="E1327" t="s">
        <v>403</v>
      </c>
      <c r="F1327">
        <v>10</v>
      </c>
      <c r="G1327" s="6">
        <v>487890</v>
      </c>
      <c r="H1327">
        <f>COUNTBLANK(Sales_Data[[#This Row],[Revenue]])</f>
        <v>0</v>
      </c>
      <c r="I1327">
        <f>COUNTBLANK(Sales_Data[[#This Row],[Quantity]])</f>
        <v>0</v>
      </c>
      <c r="J1327" t="str">
        <f>TEXT(Sales_Data[[#This Row],[Date]],"yyyy-mm")</f>
        <v>2025-10</v>
      </c>
    </row>
    <row r="1328" spans="1:10" x14ac:dyDescent="0.35">
      <c r="A1328" t="s">
        <v>1717</v>
      </c>
      <c r="B1328" s="3">
        <v>46010</v>
      </c>
      <c r="C1328" t="s">
        <v>23</v>
      </c>
      <c r="D1328" t="s">
        <v>255</v>
      </c>
      <c r="E1328" t="s">
        <v>389</v>
      </c>
      <c r="F1328">
        <v>4</v>
      </c>
      <c r="G1328" s="6">
        <v>24276</v>
      </c>
      <c r="H1328">
        <f>COUNTBLANK(Sales_Data[[#This Row],[Revenue]])</f>
        <v>0</v>
      </c>
      <c r="I1328">
        <f>COUNTBLANK(Sales_Data[[#This Row],[Quantity]])</f>
        <v>0</v>
      </c>
      <c r="J1328" t="str">
        <f>TEXT(Sales_Data[[#This Row],[Date]],"yyyy-mm")</f>
        <v>2025-12</v>
      </c>
    </row>
    <row r="1329" spans="1:10" x14ac:dyDescent="0.35">
      <c r="A1329" t="s">
        <v>1718</v>
      </c>
      <c r="B1329" s="3">
        <v>45726</v>
      </c>
      <c r="C1329" t="s">
        <v>67</v>
      </c>
      <c r="D1329" t="s">
        <v>235</v>
      </c>
      <c r="E1329" t="s">
        <v>403</v>
      </c>
      <c r="F1329">
        <v>7</v>
      </c>
      <c r="G1329" s="6">
        <v>151312</v>
      </c>
      <c r="H1329">
        <f>COUNTBLANK(Sales_Data[[#This Row],[Revenue]])</f>
        <v>0</v>
      </c>
      <c r="I1329">
        <f>COUNTBLANK(Sales_Data[[#This Row],[Quantity]])</f>
        <v>0</v>
      </c>
      <c r="J1329" t="str">
        <f>TEXT(Sales_Data[[#This Row],[Date]],"yyyy-mm")</f>
        <v>2025-03</v>
      </c>
    </row>
    <row r="1330" spans="1:10" x14ac:dyDescent="0.35">
      <c r="A1330" t="s">
        <v>1719</v>
      </c>
      <c r="B1330" s="3">
        <v>45768</v>
      </c>
      <c r="C1330" t="s">
        <v>19</v>
      </c>
      <c r="D1330" t="s">
        <v>251</v>
      </c>
      <c r="E1330" t="s">
        <v>394</v>
      </c>
      <c r="F1330">
        <v>2</v>
      </c>
      <c r="G1330" s="6">
        <v>84318</v>
      </c>
      <c r="H1330">
        <f>COUNTBLANK(Sales_Data[[#This Row],[Revenue]])</f>
        <v>0</v>
      </c>
      <c r="I1330">
        <f>COUNTBLANK(Sales_Data[[#This Row],[Quantity]])</f>
        <v>0</v>
      </c>
      <c r="J1330" t="str">
        <f>TEXT(Sales_Data[[#This Row],[Date]],"yyyy-mm")</f>
        <v>2025-04</v>
      </c>
    </row>
    <row r="1331" spans="1:10" x14ac:dyDescent="0.35">
      <c r="A1331" t="s">
        <v>1720</v>
      </c>
      <c r="B1331" s="3">
        <v>45792</v>
      </c>
      <c r="C1331" t="s">
        <v>23</v>
      </c>
      <c r="D1331" t="s">
        <v>359</v>
      </c>
      <c r="E1331" t="s">
        <v>394</v>
      </c>
      <c r="F1331">
        <v>5</v>
      </c>
      <c r="G1331" s="6">
        <v>30345</v>
      </c>
      <c r="H1331">
        <f>COUNTBLANK(Sales_Data[[#This Row],[Revenue]])</f>
        <v>0</v>
      </c>
      <c r="I1331">
        <f>COUNTBLANK(Sales_Data[[#This Row],[Quantity]])</f>
        <v>0</v>
      </c>
      <c r="J1331" t="str">
        <f>TEXT(Sales_Data[[#This Row],[Date]],"yyyy-mm")</f>
        <v>2025-05</v>
      </c>
    </row>
    <row r="1332" spans="1:10" x14ac:dyDescent="0.35">
      <c r="A1332" t="s">
        <v>1721</v>
      </c>
      <c r="B1332" s="3">
        <v>45863</v>
      </c>
      <c r="C1332" t="s">
        <v>47</v>
      </c>
      <c r="D1332" t="s">
        <v>369</v>
      </c>
      <c r="E1332" t="s">
        <v>389</v>
      </c>
      <c r="F1332">
        <v>2</v>
      </c>
      <c r="G1332" s="6">
        <v>44124</v>
      </c>
      <c r="H1332">
        <f>COUNTBLANK(Sales_Data[[#This Row],[Revenue]])</f>
        <v>0</v>
      </c>
      <c r="I1332">
        <f>COUNTBLANK(Sales_Data[[#This Row],[Quantity]])</f>
        <v>0</v>
      </c>
      <c r="J1332" t="str">
        <f>TEXT(Sales_Data[[#This Row],[Date]],"yyyy-mm")</f>
        <v>2025-07</v>
      </c>
    </row>
    <row r="1333" spans="1:10" x14ac:dyDescent="0.35">
      <c r="A1333" t="s">
        <v>1722</v>
      </c>
      <c r="B1333" s="3">
        <v>45882</v>
      </c>
      <c r="C1333" t="s">
        <v>27</v>
      </c>
      <c r="D1333" t="s">
        <v>205</v>
      </c>
      <c r="E1333" t="s">
        <v>391</v>
      </c>
      <c r="F1333">
        <v>9</v>
      </c>
      <c r="G1333" s="6">
        <v>339156</v>
      </c>
      <c r="H1333">
        <f>COUNTBLANK(Sales_Data[[#This Row],[Revenue]])</f>
        <v>0</v>
      </c>
      <c r="I1333">
        <f>COUNTBLANK(Sales_Data[[#This Row],[Quantity]])</f>
        <v>0</v>
      </c>
      <c r="J1333" t="str">
        <f>TEXT(Sales_Data[[#This Row],[Date]],"yyyy-mm")</f>
        <v>2025-08</v>
      </c>
    </row>
    <row r="1334" spans="1:10" x14ac:dyDescent="0.35">
      <c r="A1334" t="s">
        <v>1723</v>
      </c>
      <c r="B1334" s="3">
        <v>45990</v>
      </c>
      <c r="C1334" t="s">
        <v>59</v>
      </c>
      <c r="D1334" t="s">
        <v>111</v>
      </c>
      <c r="E1334" t="s">
        <v>403</v>
      </c>
      <c r="F1334">
        <v>1</v>
      </c>
      <c r="G1334" s="6">
        <v>48106</v>
      </c>
      <c r="H1334">
        <f>COUNTBLANK(Sales_Data[[#This Row],[Revenue]])</f>
        <v>0</v>
      </c>
      <c r="I1334">
        <f>COUNTBLANK(Sales_Data[[#This Row],[Quantity]])</f>
        <v>0</v>
      </c>
      <c r="J1334" t="str">
        <f>TEXT(Sales_Data[[#This Row],[Date]],"yyyy-mm")</f>
        <v>2025-11</v>
      </c>
    </row>
    <row r="1335" spans="1:10" x14ac:dyDescent="0.35">
      <c r="A1335" t="s">
        <v>1724</v>
      </c>
      <c r="B1335" s="3">
        <v>45900</v>
      </c>
      <c r="C1335" t="s">
        <v>49</v>
      </c>
      <c r="D1335" t="s">
        <v>341</v>
      </c>
      <c r="E1335" t="s">
        <v>403</v>
      </c>
      <c r="F1335">
        <v>4</v>
      </c>
      <c r="G1335" s="6">
        <v>182056</v>
      </c>
      <c r="H1335">
        <f>COUNTBLANK(Sales_Data[[#This Row],[Revenue]])</f>
        <v>0</v>
      </c>
      <c r="I1335">
        <f>COUNTBLANK(Sales_Data[[#This Row],[Quantity]])</f>
        <v>0</v>
      </c>
      <c r="J1335" t="str">
        <f>TEXT(Sales_Data[[#This Row],[Date]],"yyyy-mm")</f>
        <v>2025-08</v>
      </c>
    </row>
    <row r="1336" spans="1:10" x14ac:dyDescent="0.35">
      <c r="A1336" t="s">
        <v>1725</v>
      </c>
      <c r="B1336" s="3">
        <v>45683</v>
      </c>
      <c r="C1336" t="s">
        <v>31</v>
      </c>
      <c r="D1336" t="s">
        <v>243</v>
      </c>
      <c r="E1336" t="s">
        <v>403</v>
      </c>
      <c r="F1336">
        <v>6</v>
      </c>
      <c r="G1336" s="6">
        <v>179796</v>
      </c>
      <c r="H1336">
        <f>COUNTBLANK(Sales_Data[[#This Row],[Revenue]])</f>
        <v>0</v>
      </c>
      <c r="I1336">
        <f>COUNTBLANK(Sales_Data[[#This Row],[Quantity]])</f>
        <v>0</v>
      </c>
      <c r="J1336" t="str">
        <f>TEXT(Sales_Data[[#This Row],[Date]],"yyyy-mm")</f>
        <v>2025-01</v>
      </c>
    </row>
    <row r="1337" spans="1:10" x14ac:dyDescent="0.35">
      <c r="A1337" t="s">
        <v>1726</v>
      </c>
      <c r="B1337" s="3">
        <v>45685</v>
      </c>
      <c r="C1337" t="s">
        <v>16</v>
      </c>
      <c r="D1337" t="s">
        <v>313</v>
      </c>
      <c r="E1337" t="s">
        <v>391</v>
      </c>
      <c r="F1337">
        <v>7</v>
      </c>
      <c r="G1337" s="6">
        <v>223734</v>
      </c>
      <c r="H1337">
        <f>COUNTBLANK(Sales_Data[[#This Row],[Revenue]])</f>
        <v>0</v>
      </c>
      <c r="I1337">
        <f>COUNTBLANK(Sales_Data[[#This Row],[Quantity]])</f>
        <v>0</v>
      </c>
      <c r="J1337" t="str">
        <f>TEXT(Sales_Data[[#This Row],[Date]],"yyyy-mm")</f>
        <v>2025-01</v>
      </c>
    </row>
    <row r="1338" spans="1:10" x14ac:dyDescent="0.35">
      <c r="A1338" t="s">
        <v>1727</v>
      </c>
      <c r="B1338" s="3">
        <v>45713</v>
      </c>
      <c r="C1338" t="s">
        <v>67</v>
      </c>
      <c r="D1338" t="s">
        <v>185</v>
      </c>
      <c r="E1338" t="s">
        <v>387</v>
      </c>
      <c r="F1338">
        <v>2</v>
      </c>
      <c r="G1338" s="6">
        <v>43232</v>
      </c>
      <c r="H1338">
        <f>COUNTBLANK(Sales_Data[[#This Row],[Revenue]])</f>
        <v>0</v>
      </c>
      <c r="I1338">
        <f>COUNTBLANK(Sales_Data[[#This Row],[Quantity]])</f>
        <v>0</v>
      </c>
      <c r="J1338" t="str">
        <f>TEXT(Sales_Data[[#This Row],[Date]],"yyyy-mm")</f>
        <v>2025-02</v>
      </c>
    </row>
    <row r="1339" spans="1:10" x14ac:dyDescent="0.35">
      <c r="A1339" t="s">
        <v>1728</v>
      </c>
      <c r="B1339" s="3">
        <v>45690</v>
      </c>
      <c r="C1339" t="s">
        <v>67</v>
      </c>
      <c r="D1339" t="s">
        <v>281</v>
      </c>
      <c r="E1339" t="s">
        <v>387</v>
      </c>
      <c r="F1339">
        <v>4</v>
      </c>
      <c r="G1339" s="6">
        <v>86464</v>
      </c>
      <c r="H1339">
        <f>COUNTBLANK(Sales_Data[[#This Row],[Revenue]])</f>
        <v>0</v>
      </c>
      <c r="I1339">
        <f>COUNTBLANK(Sales_Data[[#This Row],[Quantity]])</f>
        <v>0</v>
      </c>
      <c r="J1339" t="str">
        <f>TEXT(Sales_Data[[#This Row],[Date]],"yyyy-mm")</f>
        <v>2025-02</v>
      </c>
    </row>
    <row r="1340" spans="1:10" x14ac:dyDescent="0.35">
      <c r="A1340" t="s">
        <v>1729</v>
      </c>
      <c r="B1340" s="3">
        <v>45832</v>
      </c>
      <c r="C1340" t="s">
        <v>41</v>
      </c>
      <c r="D1340" t="s">
        <v>351</v>
      </c>
      <c r="E1340" t="s">
        <v>403</v>
      </c>
      <c r="F1340">
        <v>1</v>
      </c>
      <c r="G1340" s="6">
        <v>21262</v>
      </c>
      <c r="H1340">
        <f>COUNTBLANK(Sales_Data[[#This Row],[Revenue]])</f>
        <v>0</v>
      </c>
      <c r="I1340">
        <f>COUNTBLANK(Sales_Data[[#This Row],[Quantity]])</f>
        <v>0</v>
      </c>
      <c r="J1340" t="str">
        <f>TEXT(Sales_Data[[#This Row],[Date]],"yyyy-mm")</f>
        <v>2025-06</v>
      </c>
    </row>
    <row r="1341" spans="1:10" x14ac:dyDescent="0.35">
      <c r="A1341" t="s">
        <v>1730</v>
      </c>
      <c r="B1341" s="3">
        <v>45723</v>
      </c>
      <c r="C1341" t="s">
        <v>31</v>
      </c>
      <c r="D1341" t="s">
        <v>265</v>
      </c>
      <c r="E1341" t="s">
        <v>394</v>
      </c>
      <c r="F1341">
        <v>10</v>
      </c>
      <c r="G1341" s="6">
        <v>299660</v>
      </c>
      <c r="H1341">
        <f>COUNTBLANK(Sales_Data[[#This Row],[Revenue]])</f>
        <v>0</v>
      </c>
      <c r="I1341">
        <f>COUNTBLANK(Sales_Data[[#This Row],[Quantity]])</f>
        <v>0</v>
      </c>
      <c r="J1341" t="str">
        <f>TEXT(Sales_Data[[#This Row],[Date]],"yyyy-mm")</f>
        <v>2025-03</v>
      </c>
    </row>
    <row r="1342" spans="1:10" x14ac:dyDescent="0.35">
      <c r="A1342" t="s">
        <v>1731</v>
      </c>
      <c r="B1342" s="3">
        <v>45755</v>
      </c>
      <c r="C1342" t="s">
        <v>19</v>
      </c>
      <c r="D1342" t="s">
        <v>253</v>
      </c>
      <c r="E1342" t="s">
        <v>403</v>
      </c>
      <c r="F1342">
        <v>7</v>
      </c>
      <c r="G1342" s="6">
        <v>295113</v>
      </c>
      <c r="H1342">
        <f>COUNTBLANK(Sales_Data[[#This Row],[Revenue]])</f>
        <v>0</v>
      </c>
      <c r="I1342">
        <f>COUNTBLANK(Sales_Data[[#This Row],[Quantity]])</f>
        <v>0</v>
      </c>
      <c r="J1342" t="str">
        <f>TEXT(Sales_Data[[#This Row],[Date]],"yyyy-mm")</f>
        <v>2025-04</v>
      </c>
    </row>
    <row r="1343" spans="1:10" x14ac:dyDescent="0.35">
      <c r="A1343" t="s">
        <v>1732</v>
      </c>
      <c r="B1343" s="3">
        <v>46016</v>
      </c>
      <c r="C1343" t="s">
        <v>27</v>
      </c>
      <c r="D1343" t="s">
        <v>251</v>
      </c>
      <c r="E1343" t="s">
        <v>403</v>
      </c>
      <c r="F1343">
        <v>4</v>
      </c>
      <c r="G1343" s="6">
        <v>150736</v>
      </c>
      <c r="H1343">
        <f>COUNTBLANK(Sales_Data[[#This Row],[Revenue]])</f>
        <v>0</v>
      </c>
      <c r="I1343">
        <f>COUNTBLANK(Sales_Data[[#This Row],[Quantity]])</f>
        <v>0</v>
      </c>
      <c r="J1343" t="str">
        <f>TEXT(Sales_Data[[#This Row],[Date]],"yyyy-mm")</f>
        <v>2025-12</v>
      </c>
    </row>
    <row r="1344" spans="1:10" x14ac:dyDescent="0.35">
      <c r="A1344" t="s">
        <v>1733</v>
      </c>
      <c r="B1344" s="3">
        <v>46002</v>
      </c>
      <c r="C1344" t="s">
        <v>59</v>
      </c>
      <c r="D1344" t="s">
        <v>181</v>
      </c>
      <c r="E1344" t="s">
        <v>391</v>
      </c>
      <c r="F1344">
        <v>3</v>
      </c>
      <c r="G1344" s="6">
        <v>144318</v>
      </c>
      <c r="H1344">
        <f>COUNTBLANK(Sales_Data[[#This Row],[Revenue]])</f>
        <v>0</v>
      </c>
      <c r="I1344">
        <f>COUNTBLANK(Sales_Data[[#This Row],[Quantity]])</f>
        <v>0</v>
      </c>
      <c r="J1344" t="str">
        <f>TEXT(Sales_Data[[#This Row],[Date]],"yyyy-mm")</f>
        <v>2025-12</v>
      </c>
    </row>
    <row r="1345" spans="1:10" x14ac:dyDescent="0.35">
      <c r="A1345" t="s">
        <v>1734</v>
      </c>
      <c r="B1345" s="3">
        <v>45919</v>
      </c>
      <c r="C1345" t="s">
        <v>51</v>
      </c>
      <c r="D1345" t="s">
        <v>191</v>
      </c>
      <c r="E1345" t="s">
        <v>391</v>
      </c>
      <c r="F1345">
        <v>3</v>
      </c>
      <c r="G1345" s="6">
        <v>94317</v>
      </c>
      <c r="H1345">
        <f>COUNTBLANK(Sales_Data[[#This Row],[Revenue]])</f>
        <v>0</v>
      </c>
      <c r="I1345">
        <f>COUNTBLANK(Sales_Data[[#This Row],[Quantity]])</f>
        <v>0</v>
      </c>
      <c r="J1345" t="str">
        <f>TEXT(Sales_Data[[#This Row],[Date]],"yyyy-mm")</f>
        <v>2025-09</v>
      </c>
    </row>
    <row r="1346" spans="1:10" x14ac:dyDescent="0.35">
      <c r="A1346" t="s">
        <v>1735</v>
      </c>
      <c r="B1346" s="3">
        <v>45971</v>
      </c>
      <c r="C1346" t="s">
        <v>43</v>
      </c>
      <c r="D1346" t="s">
        <v>285</v>
      </c>
      <c r="E1346" t="s">
        <v>403</v>
      </c>
      <c r="F1346">
        <v>5</v>
      </c>
      <c r="G1346" s="6">
        <v>189125</v>
      </c>
      <c r="H1346">
        <f>COUNTBLANK(Sales_Data[[#This Row],[Revenue]])</f>
        <v>0</v>
      </c>
      <c r="I1346">
        <f>COUNTBLANK(Sales_Data[[#This Row],[Quantity]])</f>
        <v>0</v>
      </c>
      <c r="J1346" t="str">
        <f>TEXT(Sales_Data[[#This Row],[Date]],"yyyy-mm")</f>
        <v>2025-11</v>
      </c>
    </row>
    <row r="1347" spans="1:10" x14ac:dyDescent="0.35">
      <c r="A1347" t="s">
        <v>1736</v>
      </c>
      <c r="B1347" s="3">
        <v>45820</v>
      </c>
      <c r="C1347" t="s">
        <v>57</v>
      </c>
      <c r="D1347" t="s">
        <v>107</v>
      </c>
      <c r="E1347" t="s">
        <v>387</v>
      </c>
      <c r="F1347">
        <v>3</v>
      </c>
      <c r="G1347" s="6">
        <v>146367</v>
      </c>
      <c r="H1347">
        <f>COUNTBLANK(Sales_Data[[#This Row],[Revenue]])</f>
        <v>0</v>
      </c>
      <c r="I1347">
        <f>COUNTBLANK(Sales_Data[[#This Row],[Quantity]])</f>
        <v>0</v>
      </c>
      <c r="J1347" t="str">
        <f>TEXT(Sales_Data[[#This Row],[Date]],"yyyy-mm")</f>
        <v>2025-06</v>
      </c>
    </row>
    <row r="1348" spans="1:10" x14ac:dyDescent="0.35">
      <c r="A1348" t="s">
        <v>1737</v>
      </c>
      <c r="B1348" s="3">
        <v>45825</v>
      </c>
      <c r="C1348" t="s">
        <v>13</v>
      </c>
      <c r="D1348" t="s">
        <v>193</v>
      </c>
      <c r="E1348" t="s">
        <v>394</v>
      </c>
      <c r="F1348">
        <v>2</v>
      </c>
      <c r="G1348" s="6">
        <v>60354</v>
      </c>
      <c r="H1348">
        <f>COUNTBLANK(Sales_Data[[#This Row],[Revenue]])</f>
        <v>0</v>
      </c>
      <c r="I1348">
        <f>COUNTBLANK(Sales_Data[[#This Row],[Quantity]])</f>
        <v>0</v>
      </c>
      <c r="J1348" t="str">
        <f>TEXT(Sales_Data[[#This Row],[Date]],"yyyy-mm")</f>
        <v>2025-06</v>
      </c>
    </row>
    <row r="1349" spans="1:10" x14ac:dyDescent="0.35">
      <c r="A1349" t="s">
        <v>1738</v>
      </c>
      <c r="B1349" s="3">
        <v>45956</v>
      </c>
      <c r="C1349" t="s">
        <v>33</v>
      </c>
      <c r="D1349" t="s">
        <v>377</v>
      </c>
      <c r="E1349" t="s">
        <v>387</v>
      </c>
      <c r="F1349">
        <v>1</v>
      </c>
      <c r="G1349" s="6">
        <v>36253</v>
      </c>
      <c r="H1349">
        <f>COUNTBLANK(Sales_Data[[#This Row],[Revenue]])</f>
        <v>0</v>
      </c>
      <c r="I1349">
        <f>COUNTBLANK(Sales_Data[[#This Row],[Quantity]])</f>
        <v>0</v>
      </c>
      <c r="J1349" t="str">
        <f>TEXT(Sales_Data[[#This Row],[Date]],"yyyy-mm")</f>
        <v>2025-10</v>
      </c>
    </row>
    <row r="1350" spans="1:10" x14ac:dyDescent="0.35">
      <c r="A1350" t="s">
        <v>1739</v>
      </c>
      <c r="B1350" s="3">
        <v>45720</v>
      </c>
      <c r="C1350" t="s">
        <v>65</v>
      </c>
      <c r="D1350" t="s">
        <v>247</v>
      </c>
      <c r="E1350" t="s">
        <v>394</v>
      </c>
      <c r="F1350">
        <v>1</v>
      </c>
      <c r="G1350" s="6">
        <v>545</v>
      </c>
      <c r="H1350">
        <f>COUNTBLANK(Sales_Data[[#This Row],[Revenue]])</f>
        <v>0</v>
      </c>
      <c r="I1350">
        <f>COUNTBLANK(Sales_Data[[#This Row],[Quantity]])</f>
        <v>0</v>
      </c>
      <c r="J1350" t="str">
        <f>TEXT(Sales_Data[[#This Row],[Date]],"yyyy-mm")</f>
        <v>2025-03</v>
      </c>
    </row>
    <row r="1351" spans="1:10" x14ac:dyDescent="0.35">
      <c r="A1351" t="s">
        <v>1740</v>
      </c>
      <c r="B1351" s="3">
        <v>45917</v>
      </c>
      <c r="C1351" t="s">
        <v>25</v>
      </c>
      <c r="D1351" t="s">
        <v>349</v>
      </c>
      <c r="E1351" t="s">
        <v>389</v>
      </c>
      <c r="F1351">
        <v>2</v>
      </c>
      <c r="G1351" s="6">
        <v>36486</v>
      </c>
      <c r="H1351">
        <f>COUNTBLANK(Sales_Data[[#This Row],[Revenue]])</f>
        <v>0</v>
      </c>
      <c r="I1351">
        <f>COUNTBLANK(Sales_Data[[#This Row],[Quantity]])</f>
        <v>0</v>
      </c>
      <c r="J1351" t="str">
        <f>TEXT(Sales_Data[[#This Row],[Date]],"yyyy-mm")</f>
        <v>2025-09</v>
      </c>
    </row>
    <row r="1352" spans="1:10" x14ac:dyDescent="0.35">
      <c r="A1352" t="s">
        <v>1741</v>
      </c>
      <c r="B1352" s="3">
        <v>45954</v>
      </c>
      <c r="C1352" t="s">
        <v>61</v>
      </c>
      <c r="D1352" t="s">
        <v>307</v>
      </c>
      <c r="E1352" t="s">
        <v>391</v>
      </c>
      <c r="F1352">
        <v>10</v>
      </c>
      <c r="G1352" s="6">
        <v>250160</v>
      </c>
      <c r="H1352">
        <f>COUNTBLANK(Sales_Data[[#This Row],[Revenue]])</f>
        <v>0</v>
      </c>
      <c r="I1352">
        <f>COUNTBLANK(Sales_Data[[#This Row],[Quantity]])</f>
        <v>0</v>
      </c>
      <c r="J1352" t="str">
        <f>TEXT(Sales_Data[[#This Row],[Date]],"yyyy-mm")</f>
        <v>2025-10</v>
      </c>
    </row>
    <row r="1353" spans="1:10" x14ac:dyDescent="0.35">
      <c r="A1353" t="s">
        <v>1742</v>
      </c>
      <c r="B1353" s="3">
        <v>45707</v>
      </c>
      <c r="C1353" t="s">
        <v>37</v>
      </c>
      <c r="D1353" t="s">
        <v>373</v>
      </c>
      <c r="E1353" t="s">
        <v>394</v>
      </c>
      <c r="F1353">
        <v>4</v>
      </c>
      <c r="G1353" s="6">
        <v>7812</v>
      </c>
      <c r="H1353">
        <f>COUNTBLANK(Sales_Data[[#This Row],[Revenue]])</f>
        <v>0</v>
      </c>
      <c r="I1353">
        <f>COUNTBLANK(Sales_Data[[#This Row],[Quantity]])</f>
        <v>0</v>
      </c>
      <c r="J1353" t="str">
        <f>TEXT(Sales_Data[[#This Row],[Date]],"yyyy-mm")</f>
        <v>2025-02</v>
      </c>
    </row>
    <row r="1354" spans="1:10" x14ac:dyDescent="0.35">
      <c r="A1354" t="s">
        <v>1743</v>
      </c>
      <c r="B1354" s="3">
        <v>45733</v>
      </c>
      <c r="C1354" t="s">
        <v>23</v>
      </c>
      <c r="D1354" t="s">
        <v>333</v>
      </c>
      <c r="E1354" t="s">
        <v>403</v>
      </c>
      <c r="F1354">
        <v>5</v>
      </c>
      <c r="G1354" s="6">
        <v>30345</v>
      </c>
      <c r="H1354">
        <f>COUNTBLANK(Sales_Data[[#This Row],[Revenue]])</f>
        <v>0</v>
      </c>
      <c r="I1354">
        <f>COUNTBLANK(Sales_Data[[#This Row],[Quantity]])</f>
        <v>0</v>
      </c>
      <c r="J1354" t="str">
        <f>TEXT(Sales_Data[[#This Row],[Date]],"yyyy-mm")</f>
        <v>2025-03</v>
      </c>
    </row>
    <row r="1355" spans="1:10" x14ac:dyDescent="0.35">
      <c r="A1355" t="s">
        <v>1744</v>
      </c>
      <c r="B1355" s="3">
        <v>45903</v>
      </c>
      <c r="C1355" t="s">
        <v>33</v>
      </c>
      <c r="D1355" t="s">
        <v>313</v>
      </c>
      <c r="E1355" t="s">
        <v>391</v>
      </c>
      <c r="F1355">
        <v>8</v>
      </c>
      <c r="G1355" s="6">
        <v>290024</v>
      </c>
      <c r="H1355">
        <f>COUNTBLANK(Sales_Data[[#This Row],[Revenue]])</f>
        <v>0</v>
      </c>
      <c r="I1355">
        <f>COUNTBLANK(Sales_Data[[#This Row],[Quantity]])</f>
        <v>0</v>
      </c>
      <c r="J1355" t="str">
        <f>TEXT(Sales_Data[[#This Row],[Date]],"yyyy-mm")</f>
        <v>2025-09</v>
      </c>
    </row>
    <row r="1356" spans="1:10" x14ac:dyDescent="0.35">
      <c r="A1356" t="s">
        <v>1745</v>
      </c>
      <c r="B1356" s="3">
        <v>45958</v>
      </c>
      <c r="C1356" t="s">
        <v>39</v>
      </c>
      <c r="D1356" t="s">
        <v>283</v>
      </c>
      <c r="E1356" t="s">
        <v>391</v>
      </c>
      <c r="F1356">
        <v>6</v>
      </c>
      <c r="G1356" s="6">
        <v>289728</v>
      </c>
      <c r="H1356">
        <f>COUNTBLANK(Sales_Data[[#This Row],[Revenue]])</f>
        <v>0</v>
      </c>
      <c r="I1356">
        <f>COUNTBLANK(Sales_Data[[#This Row],[Quantity]])</f>
        <v>0</v>
      </c>
      <c r="J1356" t="str">
        <f>TEXT(Sales_Data[[#This Row],[Date]],"yyyy-mm")</f>
        <v>2025-10</v>
      </c>
    </row>
    <row r="1357" spans="1:10" x14ac:dyDescent="0.35">
      <c r="A1357" t="s">
        <v>1746</v>
      </c>
      <c r="B1357" s="3">
        <v>45854</v>
      </c>
      <c r="C1357" t="s">
        <v>25</v>
      </c>
      <c r="D1357" t="s">
        <v>171</v>
      </c>
      <c r="E1357" t="s">
        <v>391</v>
      </c>
      <c r="F1357">
        <v>1</v>
      </c>
      <c r="G1357" s="6">
        <v>18243</v>
      </c>
      <c r="H1357">
        <f>COUNTBLANK(Sales_Data[[#This Row],[Revenue]])</f>
        <v>0</v>
      </c>
      <c r="I1357">
        <f>COUNTBLANK(Sales_Data[[#This Row],[Quantity]])</f>
        <v>0</v>
      </c>
      <c r="J1357" t="str">
        <f>TEXT(Sales_Data[[#This Row],[Date]],"yyyy-mm")</f>
        <v>2025-07</v>
      </c>
    </row>
    <row r="1358" spans="1:10" x14ac:dyDescent="0.35">
      <c r="A1358" t="s">
        <v>1747</v>
      </c>
      <c r="B1358" s="3">
        <v>45688</v>
      </c>
      <c r="C1358" t="s">
        <v>55</v>
      </c>
      <c r="D1358" t="s">
        <v>315</v>
      </c>
      <c r="E1358" t="s">
        <v>391</v>
      </c>
      <c r="F1358">
        <v>8</v>
      </c>
      <c r="G1358" s="6">
        <v>91320</v>
      </c>
      <c r="H1358">
        <f>COUNTBLANK(Sales_Data[[#This Row],[Revenue]])</f>
        <v>0</v>
      </c>
      <c r="I1358">
        <f>COUNTBLANK(Sales_Data[[#This Row],[Quantity]])</f>
        <v>0</v>
      </c>
      <c r="J1358" t="str">
        <f>TEXT(Sales_Data[[#This Row],[Date]],"yyyy-mm")</f>
        <v>2025-01</v>
      </c>
    </row>
    <row r="1359" spans="1:10" x14ac:dyDescent="0.35">
      <c r="A1359" t="s">
        <v>1748</v>
      </c>
      <c r="B1359" s="3">
        <v>45744</v>
      </c>
      <c r="C1359" t="s">
        <v>67</v>
      </c>
      <c r="D1359" t="s">
        <v>225</v>
      </c>
      <c r="E1359" t="s">
        <v>391</v>
      </c>
      <c r="F1359">
        <v>1</v>
      </c>
      <c r="G1359" s="6">
        <v>21616</v>
      </c>
      <c r="H1359">
        <f>COUNTBLANK(Sales_Data[[#This Row],[Revenue]])</f>
        <v>0</v>
      </c>
      <c r="I1359">
        <f>COUNTBLANK(Sales_Data[[#This Row],[Quantity]])</f>
        <v>0</v>
      </c>
      <c r="J1359" t="str">
        <f>TEXT(Sales_Data[[#This Row],[Date]],"yyyy-mm")</f>
        <v>2025-03</v>
      </c>
    </row>
    <row r="1360" spans="1:10" x14ac:dyDescent="0.35">
      <c r="A1360" t="s">
        <v>1749</v>
      </c>
      <c r="B1360" s="3">
        <v>45873</v>
      </c>
      <c r="C1360" t="s">
        <v>7</v>
      </c>
      <c r="D1360" t="s">
        <v>209</v>
      </c>
      <c r="E1360" t="s">
        <v>389</v>
      </c>
      <c r="F1360">
        <v>5</v>
      </c>
      <c r="G1360" s="6">
        <v>130665</v>
      </c>
      <c r="H1360">
        <f>COUNTBLANK(Sales_Data[[#This Row],[Revenue]])</f>
        <v>0</v>
      </c>
      <c r="I1360">
        <f>COUNTBLANK(Sales_Data[[#This Row],[Quantity]])</f>
        <v>0</v>
      </c>
      <c r="J1360" t="str">
        <f>TEXT(Sales_Data[[#This Row],[Date]],"yyyy-mm")</f>
        <v>2025-08</v>
      </c>
    </row>
    <row r="1361" spans="1:10" x14ac:dyDescent="0.35">
      <c r="A1361" t="s">
        <v>1750</v>
      </c>
      <c r="B1361" s="3">
        <v>45901</v>
      </c>
      <c r="C1361" t="s">
        <v>63</v>
      </c>
      <c r="D1361" t="s">
        <v>375</v>
      </c>
      <c r="E1361" t="s">
        <v>389</v>
      </c>
      <c r="F1361">
        <v>3</v>
      </c>
      <c r="G1361" s="6">
        <v>26304</v>
      </c>
      <c r="H1361">
        <f>COUNTBLANK(Sales_Data[[#This Row],[Revenue]])</f>
        <v>0</v>
      </c>
      <c r="I1361">
        <f>COUNTBLANK(Sales_Data[[#This Row],[Quantity]])</f>
        <v>0</v>
      </c>
      <c r="J1361" t="str">
        <f>TEXT(Sales_Data[[#This Row],[Date]],"yyyy-mm")</f>
        <v>2025-09</v>
      </c>
    </row>
    <row r="1362" spans="1:10" x14ac:dyDescent="0.35">
      <c r="A1362" t="s">
        <v>1751</v>
      </c>
      <c r="B1362" s="3">
        <v>46005</v>
      </c>
      <c r="C1362" t="s">
        <v>13</v>
      </c>
      <c r="D1362" t="s">
        <v>229</v>
      </c>
      <c r="E1362" t="s">
        <v>387</v>
      </c>
      <c r="F1362">
        <v>2</v>
      </c>
      <c r="G1362" s="6">
        <v>60354</v>
      </c>
      <c r="H1362">
        <f>COUNTBLANK(Sales_Data[[#This Row],[Revenue]])</f>
        <v>0</v>
      </c>
      <c r="I1362">
        <f>COUNTBLANK(Sales_Data[[#This Row],[Quantity]])</f>
        <v>0</v>
      </c>
      <c r="J1362" t="str">
        <f>TEXT(Sales_Data[[#This Row],[Date]],"yyyy-mm")</f>
        <v>2025-12</v>
      </c>
    </row>
    <row r="1363" spans="1:10" x14ac:dyDescent="0.35">
      <c r="A1363" t="s">
        <v>1752</v>
      </c>
      <c r="B1363" s="3">
        <v>45928</v>
      </c>
      <c r="C1363" t="s">
        <v>16</v>
      </c>
      <c r="D1363" t="s">
        <v>115</v>
      </c>
      <c r="E1363" t="s">
        <v>389</v>
      </c>
      <c r="F1363">
        <v>4</v>
      </c>
      <c r="G1363" s="6">
        <v>127848</v>
      </c>
      <c r="H1363">
        <f>COUNTBLANK(Sales_Data[[#This Row],[Revenue]])</f>
        <v>0</v>
      </c>
      <c r="I1363">
        <f>COUNTBLANK(Sales_Data[[#This Row],[Quantity]])</f>
        <v>0</v>
      </c>
      <c r="J1363" t="str">
        <f>TEXT(Sales_Data[[#This Row],[Date]],"yyyy-mm")</f>
        <v>2025-09</v>
      </c>
    </row>
    <row r="1364" spans="1:10" x14ac:dyDescent="0.35">
      <c r="A1364" t="s">
        <v>1753</v>
      </c>
      <c r="B1364" s="3">
        <v>45874</v>
      </c>
      <c r="C1364" t="s">
        <v>55</v>
      </c>
      <c r="D1364" t="s">
        <v>367</v>
      </c>
      <c r="E1364" t="s">
        <v>387</v>
      </c>
      <c r="F1364">
        <v>1</v>
      </c>
      <c r="G1364" s="6">
        <v>11415</v>
      </c>
      <c r="H1364">
        <f>COUNTBLANK(Sales_Data[[#This Row],[Revenue]])</f>
        <v>0</v>
      </c>
      <c r="I1364">
        <f>COUNTBLANK(Sales_Data[[#This Row],[Quantity]])</f>
        <v>0</v>
      </c>
      <c r="J1364" t="str">
        <f>TEXT(Sales_Data[[#This Row],[Date]],"yyyy-mm")</f>
        <v>2025-08</v>
      </c>
    </row>
    <row r="1365" spans="1:10" x14ac:dyDescent="0.35">
      <c r="A1365" t="s">
        <v>1754</v>
      </c>
      <c r="B1365" s="3">
        <v>45974</v>
      </c>
      <c r="C1365" t="s">
        <v>4</v>
      </c>
      <c r="D1365" t="s">
        <v>271</v>
      </c>
      <c r="E1365" t="s">
        <v>389</v>
      </c>
      <c r="F1365">
        <v>3</v>
      </c>
      <c r="G1365" s="6">
        <v>35445</v>
      </c>
      <c r="H1365">
        <f>COUNTBLANK(Sales_Data[[#This Row],[Revenue]])</f>
        <v>0</v>
      </c>
      <c r="I1365">
        <f>COUNTBLANK(Sales_Data[[#This Row],[Quantity]])</f>
        <v>0</v>
      </c>
      <c r="J1365" t="str">
        <f>TEXT(Sales_Data[[#This Row],[Date]],"yyyy-mm")</f>
        <v>2025-11</v>
      </c>
    </row>
    <row r="1366" spans="1:10" x14ac:dyDescent="0.35">
      <c r="A1366" t="s">
        <v>1755</v>
      </c>
      <c r="B1366" s="3">
        <v>45831</v>
      </c>
      <c r="C1366" t="s">
        <v>7</v>
      </c>
      <c r="D1366" t="s">
        <v>181</v>
      </c>
      <c r="E1366" t="s">
        <v>403</v>
      </c>
      <c r="F1366">
        <v>2</v>
      </c>
      <c r="G1366" s="6">
        <v>52266</v>
      </c>
      <c r="H1366">
        <f>COUNTBLANK(Sales_Data[[#This Row],[Revenue]])</f>
        <v>0</v>
      </c>
      <c r="I1366">
        <f>COUNTBLANK(Sales_Data[[#This Row],[Quantity]])</f>
        <v>0</v>
      </c>
      <c r="J1366" t="str">
        <f>TEXT(Sales_Data[[#This Row],[Date]],"yyyy-mm")</f>
        <v>2025-06</v>
      </c>
    </row>
    <row r="1367" spans="1:10" x14ac:dyDescent="0.35">
      <c r="A1367" t="s">
        <v>1756</v>
      </c>
      <c r="B1367" s="3">
        <v>45978</v>
      </c>
      <c r="C1367" t="s">
        <v>61</v>
      </c>
      <c r="D1367" t="s">
        <v>273</v>
      </c>
      <c r="E1367" t="s">
        <v>403</v>
      </c>
      <c r="F1367">
        <v>4</v>
      </c>
      <c r="G1367" s="6">
        <v>100064</v>
      </c>
      <c r="H1367">
        <f>COUNTBLANK(Sales_Data[[#This Row],[Revenue]])</f>
        <v>0</v>
      </c>
      <c r="I1367">
        <f>COUNTBLANK(Sales_Data[[#This Row],[Quantity]])</f>
        <v>0</v>
      </c>
      <c r="J1367" t="str">
        <f>TEXT(Sales_Data[[#This Row],[Date]],"yyyy-mm")</f>
        <v>2025-11</v>
      </c>
    </row>
    <row r="1368" spans="1:10" x14ac:dyDescent="0.35">
      <c r="A1368" t="s">
        <v>1757</v>
      </c>
      <c r="B1368" s="3">
        <v>45804</v>
      </c>
      <c r="C1368" t="s">
        <v>4</v>
      </c>
      <c r="D1368" t="s">
        <v>347</v>
      </c>
      <c r="E1368" t="s">
        <v>387</v>
      </c>
      <c r="F1368">
        <v>2</v>
      </c>
      <c r="G1368" s="6">
        <v>23630</v>
      </c>
      <c r="H1368">
        <f>COUNTBLANK(Sales_Data[[#This Row],[Revenue]])</f>
        <v>0</v>
      </c>
      <c r="I1368">
        <f>COUNTBLANK(Sales_Data[[#This Row],[Quantity]])</f>
        <v>0</v>
      </c>
      <c r="J1368" t="str">
        <f>TEXT(Sales_Data[[#This Row],[Date]],"yyyy-mm")</f>
        <v>2025-05</v>
      </c>
    </row>
    <row r="1369" spans="1:10" x14ac:dyDescent="0.35">
      <c r="A1369" t="s">
        <v>1758</v>
      </c>
      <c r="B1369" s="3">
        <v>45843</v>
      </c>
      <c r="C1369" t="s">
        <v>4</v>
      </c>
      <c r="D1369" t="s">
        <v>323</v>
      </c>
      <c r="E1369" t="s">
        <v>389</v>
      </c>
      <c r="F1369">
        <v>10</v>
      </c>
      <c r="G1369" s="6">
        <v>118150</v>
      </c>
      <c r="H1369">
        <f>COUNTBLANK(Sales_Data[[#This Row],[Revenue]])</f>
        <v>0</v>
      </c>
      <c r="I1369">
        <f>COUNTBLANK(Sales_Data[[#This Row],[Quantity]])</f>
        <v>0</v>
      </c>
      <c r="J1369" t="str">
        <f>TEXT(Sales_Data[[#This Row],[Date]],"yyyy-mm")</f>
        <v>2025-07</v>
      </c>
    </row>
    <row r="1370" spans="1:10" x14ac:dyDescent="0.35">
      <c r="A1370" t="s">
        <v>1759</v>
      </c>
      <c r="B1370" s="3">
        <v>45663</v>
      </c>
      <c r="C1370" t="s">
        <v>49</v>
      </c>
      <c r="D1370" t="s">
        <v>267</v>
      </c>
      <c r="E1370" t="s">
        <v>394</v>
      </c>
      <c r="F1370">
        <v>3</v>
      </c>
      <c r="G1370" s="6">
        <v>136542</v>
      </c>
      <c r="H1370">
        <f>COUNTBLANK(Sales_Data[[#This Row],[Revenue]])</f>
        <v>0</v>
      </c>
      <c r="I1370">
        <f>COUNTBLANK(Sales_Data[[#This Row],[Quantity]])</f>
        <v>0</v>
      </c>
      <c r="J1370" t="str">
        <f>TEXT(Sales_Data[[#This Row],[Date]],"yyyy-mm")</f>
        <v>2025-01</v>
      </c>
    </row>
    <row r="1371" spans="1:10" x14ac:dyDescent="0.35">
      <c r="A1371" t="s">
        <v>1760</v>
      </c>
      <c r="B1371" s="3">
        <v>45749</v>
      </c>
      <c r="C1371" t="s">
        <v>27</v>
      </c>
      <c r="D1371" t="s">
        <v>151</v>
      </c>
      <c r="E1371" t="s">
        <v>389</v>
      </c>
      <c r="F1371">
        <v>2</v>
      </c>
      <c r="G1371" s="6">
        <v>75368</v>
      </c>
      <c r="H1371">
        <f>COUNTBLANK(Sales_Data[[#This Row],[Revenue]])</f>
        <v>0</v>
      </c>
      <c r="I1371">
        <f>COUNTBLANK(Sales_Data[[#This Row],[Quantity]])</f>
        <v>0</v>
      </c>
      <c r="J1371" t="str">
        <f>TEXT(Sales_Data[[#This Row],[Date]],"yyyy-mm")</f>
        <v>2025-04</v>
      </c>
    </row>
    <row r="1372" spans="1:10" x14ac:dyDescent="0.35">
      <c r="A1372" t="s">
        <v>1761</v>
      </c>
      <c r="B1372" s="3">
        <v>45672</v>
      </c>
      <c r="C1372" t="s">
        <v>10</v>
      </c>
      <c r="D1372" t="s">
        <v>291</v>
      </c>
      <c r="E1372" t="s">
        <v>387</v>
      </c>
      <c r="F1372">
        <v>10</v>
      </c>
      <c r="G1372" s="6">
        <v>45160</v>
      </c>
      <c r="H1372">
        <f>COUNTBLANK(Sales_Data[[#This Row],[Revenue]])</f>
        <v>0</v>
      </c>
      <c r="I1372">
        <f>COUNTBLANK(Sales_Data[[#This Row],[Quantity]])</f>
        <v>0</v>
      </c>
      <c r="J1372" t="str">
        <f>TEXT(Sales_Data[[#This Row],[Date]],"yyyy-mm")</f>
        <v>2025-01</v>
      </c>
    </row>
    <row r="1373" spans="1:10" x14ac:dyDescent="0.35">
      <c r="A1373" t="s">
        <v>1762</v>
      </c>
      <c r="B1373" s="3">
        <v>45831</v>
      </c>
      <c r="C1373" t="s">
        <v>55</v>
      </c>
      <c r="D1373" t="s">
        <v>189</v>
      </c>
      <c r="E1373" t="s">
        <v>391</v>
      </c>
      <c r="F1373">
        <v>6</v>
      </c>
      <c r="G1373" s="6">
        <v>68490</v>
      </c>
      <c r="H1373">
        <f>COUNTBLANK(Sales_Data[[#This Row],[Revenue]])</f>
        <v>0</v>
      </c>
      <c r="I1373">
        <f>COUNTBLANK(Sales_Data[[#This Row],[Quantity]])</f>
        <v>0</v>
      </c>
      <c r="J1373" t="str">
        <f>TEXT(Sales_Data[[#This Row],[Date]],"yyyy-mm")</f>
        <v>2025-06</v>
      </c>
    </row>
    <row r="1374" spans="1:10" x14ac:dyDescent="0.35">
      <c r="A1374" t="s">
        <v>1763</v>
      </c>
      <c r="B1374" s="3">
        <v>45755</v>
      </c>
      <c r="C1374" t="s">
        <v>55</v>
      </c>
      <c r="D1374" t="s">
        <v>139</v>
      </c>
      <c r="E1374" t="s">
        <v>391</v>
      </c>
      <c r="F1374">
        <v>1</v>
      </c>
      <c r="G1374" s="6">
        <v>11415</v>
      </c>
      <c r="H1374">
        <f>COUNTBLANK(Sales_Data[[#This Row],[Revenue]])</f>
        <v>0</v>
      </c>
      <c r="I1374">
        <f>COUNTBLANK(Sales_Data[[#This Row],[Quantity]])</f>
        <v>0</v>
      </c>
      <c r="J1374" t="str">
        <f>TEXT(Sales_Data[[#This Row],[Date]],"yyyy-mm")</f>
        <v>2025-04</v>
      </c>
    </row>
    <row r="1375" spans="1:10" x14ac:dyDescent="0.35">
      <c r="A1375" t="s">
        <v>1764</v>
      </c>
      <c r="B1375" s="3">
        <v>45835</v>
      </c>
      <c r="C1375" t="s">
        <v>33</v>
      </c>
      <c r="D1375" t="s">
        <v>331</v>
      </c>
      <c r="E1375" t="s">
        <v>387</v>
      </c>
      <c r="F1375">
        <v>1</v>
      </c>
      <c r="G1375" s="6">
        <v>36253</v>
      </c>
      <c r="H1375">
        <f>COUNTBLANK(Sales_Data[[#This Row],[Revenue]])</f>
        <v>0</v>
      </c>
      <c r="I1375">
        <f>COUNTBLANK(Sales_Data[[#This Row],[Quantity]])</f>
        <v>0</v>
      </c>
      <c r="J1375" t="str">
        <f>TEXT(Sales_Data[[#This Row],[Date]],"yyyy-mm")</f>
        <v>2025-06</v>
      </c>
    </row>
    <row r="1376" spans="1:10" x14ac:dyDescent="0.35">
      <c r="A1376" t="s">
        <v>1765</v>
      </c>
      <c r="B1376" s="3">
        <v>45868</v>
      </c>
      <c r="C1376" t="s">
        <v>23</v>
      </c>
      <c r="D1376" t="s">
        <v>359</v>
      </c>
      <c r="E1376" t="s">
        <v>387</v>
      </c>
      <c r="F1376">
        <v>7</v>
      </c>
      <c r="G1376" s="6">
        <v>42483</v>
      </c>
      <c r="H1376">
        <f>COUNTBLANK(Sales_Data[[#This Row],[Revenue]])</f>
        <v>0</v>
      </c>
      <c r="I1376">
        <f>COUNTBLANK(Sales_Data[[#This Row],[Quantity]])</f>
        <v>0</v>
      </c>
      <c r="J1376" t="str">
        <f>TEXT(Sales_Data[[#This Row],[Date]],"yyyy-mm")</f>
        <v>2025-07</v>
      </c>
    </row>
    <row r="1377" spans="1:10" x14ac:dyDescent="0.35">
      <c r="A1377" t="s">
        <v>1766</v>
      </c>
      <c r="B1377" s="3">
        <v>45855</v>
      </c>
      <c r="C1377" t="s">
        <v>4</v>
      </c>
      <c r="D1377" t="s">
        <v>101</v>
      </c>
      <c r="E1377" t="s">
        <v>403</v>
      </c>
      <c r="F1377">
        <v>7</v>
      </c>
      <c r="G1377" s="6">
        <v>82705</v>
      </c>
      <c r="H1377">
        <f>COUNTBLANK(Sales_Data[[#This Row],[Revenue]])</f>
        <v>0</v>
      </c>
      <c r="I1377">
        <f>COUNTBLANK(Sales_Data[[#This Row],[Quantity]])</f>
        <v>0</v>
      </c>
      <c r="J1377" t="str">
        <f>TEXT(Sales_Data[[#This Row],[Date]],"yyyy-mm")</f>
        <v>2025-07</v>
      </c>
    </row>
    <row r="1378" spans="1:10" x14ac:dyDescent="0.35">
      <c r="A1378" t="s">
        <v>1767</v>
      </c>
      <c r="B1378" s="3">
        <v>45922</v>
      </c>
      <c r="C1378" t="s">
        <v>13</v>
      </c>
      <c r="D1378" t="s">
        <v>367</v>
      </c>
      <c r="E1378" t="s">
        <v>389</v>
      </c>
      <c r="F1378">
        <v>7</v>
      </c>
      <c r="G1378" s="6">
        <v>211239</v>
      </c>
      <c r="H1378">
        <f>COUNTBLANK(Sales_Data[[#This Row],[Revenue]])</f>
        <v>0</v>
      </c>
      <c r="I1378">
        <f>COUNTBLANK(Sales_Data[[#This Row],[Quantity]])</f>
        <v>0</v>
      </c>
      <c r="J1378" t="str">
        <f>TEXT(Sales_Data[[#This Row],[Date]],"yyyy-mm")</f>
        <v>2025-09</v>
      </c>
    </row>
    <row r="1379" spans="1:10" x14ac:dyDescent="0.35">
      <c r="A1379" t="s">
        <v>1768</v>
      </c>
      <c r="B1379" s="3">
        <v>45800</v>
      </c>
      <c r="C1379" t="s">
        <v>35</v>
      </c>
      <c r="D1379" t="s">
        <v>169</v>
      </c>
      <c r="E1379" t="s">
        <v>394</v>
      </c>
      <c r="F1379">
        <v>10</v>
      </c>
      <c r="G1379" s="6">
        <v>494600</v>
      </c>
      <c r="H1379">
        <f>COUNTBLANK(Sales_Data[[#This Row],[Revenue]])</f>
        <v>0</v>
      </c>
      <c r="I1379">
        <f>COUNTBLANK(Sales_Data[[#This Row],[Quantity]])</f>
        <v>0</v>
      </c>
      <c r="J1379" t="str">
        <f>TEXT(Sales_Data[[#This Row],[Date]],"yyyy-mm")</f>
        <v>2025-05</v>
      </c>
    </row>
    <row r="1380" spans="1:10" x14ac:dyDescent="0.35">
      <c r="A1380" t="s">
        <v>1769</v>
      </c>
      <c r="B1380" s="3">
        <v>45930</v>
      </c>
      <c r="C1380" t="s">
        <v>53</v>
      </c>
      <c r="D1380" t="s">
        <v>183</v>
      </c>
      <c r="E1380" t="s">
        <v>389</v>
      </c>
      <c r="F1380">
        <v>10</v>
      </c>
      <c r="G1380" s="6">
        <v>42080</v>
      </c>
      <c r="H1380">
        <f>COUNTBLANK(Sales_Data[[#This Row],[Revenue]])</f>
        <v>0</v>
      </c>
      <c r="I1380">
        <f>COUNTBLANK(Sales_Data[[#This Row],[Quantity]])</f>
        <v>0</v>
      </c>
      <c r="J1380" t="str">
        <f>TEXT(Sales_Data[[#This Row],[Date]],"yyyy-mm")</f>
        <v>2025-09</v>
      </c>
    </row>
    <row r="1381" spans="1:10" x14ac:dyDescent="0.35">
      <c r="A1381" t="s">
        <v>1770</v>
      </c>
      <c r="B1381" s="3">
        <v>45854</v>
      </c>
      <c r="C1381" t="s">
        <v>4</v>
      </c>
      <c r="D1381" t="s">
        <v>239</v>
      </c>
      <c r="E1381" t="s">
        <v>394</v>
      </c>
      <c r="F1381">
        <v>6</v>
      </c>
      <c r="G1381" s="6">
        <v>70890</v>
      </c>
      <c r="H1381">
        <f>COUNTBLANK(Sales_Data[[#This Row],[Revenue]])</f>
        <v>0</v>
      </c>
      <c r="I1381">
        <f>COUNTBLANK(Sales_Data[[#This Row],[Quantity]])</f>
        <v>0</v>
      </c>
      <c r="J1381" t="str">
        <f>TEXT(Sales_Data[[#This Row],[Date]],"yyyy-mm")</f>
        <v>2025-07</v>
      </c>
    </row>
    <row r="1382" spans="1:10" x14ac:dyDescent="0.35">
      <c r="A1382" t="s">
        <v>1771</v>
      </c>
      <c r="B1382" s="3">
        <v>45702</v>
      </c>
      <c r="C1382" t="s">
        <v>45</v>
      </c>
      <c r="D1382" t="s">
        <v>365</v>
      </c>
      <c r="E1382" t="s">
        <v>391</v>
      </c>
      <c r="F1382">
        <v>9</v>
      </c>
      <c r="G1382" s="6">
        <v>70434</v>
      </c>
      <c r="H1382">
        <f>COUNTBLANK(Sales_Data[[#This Row],[Revenue]])</f>
        <v>0</v>
      </c>
      <c r="I1382">
        <f>COUNTBLANK(Sales_Data[[#This Row],[Quantity]])</f>
        <v>0</v>
      </c>
      <c r="J1382" t="str">
        <f>TEXT(Sales_Data[[#This Row],[Date]],"yyyy-mm")</f>
        <v>2025-02</v>
      </c>
    </row>
    <row r="1383" spans="1:10" x14ac:dyDescent="0.35">
      <c r="A1383" t="s">
        <v>1772</v>
      </c>
      <c r="B1383" s="3">
        <v>45884</v>
      </c>
      <c r="C1383" t="s">
        <v>55</v>
      </c>
      <c r="D1383" t="s">
        <v>249</v>
      </c>
      <c r="E1383" t="s">
        <v>389</v>
      </c>
      <c r="F1383">
        <v>7</v>
      </c>
      <c r="G1383" s="6">
        <v>79905</v>
      </c>
      <c r="H1383">
        <f>COUNTBLANK(Sales_Data[[#This Row],[Revenue]])</f>
        <v>0</v>
      </c>
      <c r="I1383">
        <f>COUNTBLANK(Sales_Data[[#This Row],[Quantity]])</f>
        <v>0</v>
      </c>
      <c r="J1383" t="str">
        <f>TEXT(Sales_Data[[#This Row],[Date]],"yyyy-mm")</f>
        <v>2025-08</v>
      </c>
    </row>
    <row r="1384" spans="1:10" x14ac:dyDescent="0.35">
      <c r="A1384" t="s">
        <v>1773</v>
      </c>
      <c r="B1384" s="3">
        <v>45877</v>
      </c>
      <c r="C1384" t="s">
        <v>27</v>
      </c>
      <c r="D1384" t="s">
        <v>285</v>
      </c>
      <c r="E1384" t="s">
        <v>403</v>
      </c>
      <c r="F1384">
        <v>2</v>
      </c>
      <c r="G1384" s="6">
        <v>75368</v>
      </c>
      <c r="H1384">
        <f>COUNTBLANK(Sales_Data[[#This Row],[Revenue]])</f>
        <v>0</v>
      </c>
      <c r="I1384">
        <f>COUNTBLANK(Sales_Data[[#This Row],[Quantity]])</f>
        <v>0</v>
      </c>
      <c r="J1384" t="str">
        <f>TEXT(Sales_Data[[#This Row],[Date]],"yyyy-mm")</f>
        <v>2025-08</v>
      </c>
    </row>
    <row r="1385" spans="1:10" x14ac:dyDescent="0.35">
      <c r="A1385" t="s">
        <v>1774</v>
      </c>
      <c r="B1385" s="3">
        <v>45660</v>
      </c>
      <c r="C1385" t="s">
        <v>7</v>
      </c>
      <c r="D1385" t="s">
        <v>223</v>
      </c>
      <c r="E1385" t="s">
        <v>394</v>
      </c>
      <c r="F1385">
        <v>2</v>
      </c>
      <c r="G1385" s="6">
        <v>52266</v>
      </c>
      <c r="H1385">
        <f>COUNTBLANK(Sales_Data[[#This Row],[Revenue]])</f>
        <v>0</v>
      </c>
      <c r="I1385">
        <f>COUNTBLANK(Sales_Data[[#This Row],[Quantity]])</f>
        <v>0</v>
      </c>
      <c r="J1385" t="str">
        <f>TEXT(Sales_Data[[#This Row],[Date]],"yyyy-mm")</f>
        <v>2025-01</v>
      </c>
    </row>
    <row r="1386" spans="1:10" x14ac:dyDescent="0.35">
      <c r="A1386" t="s">
        <v>1775</v>
      </c>
      <c r="B1386" s="3">
        <v>45930</v>
      </c>
      <c r="C1386" t="s">
        <v>43</v>
      </c>
      <c r="D1386" t="s">
        <v>225</v>
      </c>
      <c r="E1386" t="s">
        <v>389</v>
      </c>
      <c r="F1386">
        <v>3</v>
      </c>
      <c r="G1386" s="6">
        <v>113475</v>
      </c>
      <c r="H1386">
        <f>COUNTBLANK(Sales_Data[[#This Row],[Revenue]])</f>
        <v>0</v>
      </c>
      <c r="I1386">
        <f>COUNTBLANK(Sales_Data[[#This Row],[Quantity]])</f>
        <v>0</v>
      </c>
      <c r="J1386" t="str">
        <f>TEXT(Sales_Data[[#This Row],[Date]],"yyyy-mm")</f>
        <v>2025-09</v>
      </c>
    </row>
    <row r="1387" spans="1:10" x14ac:dyDescent="0.35">
      <c r="A1387" t="s">
        <v>1776</v>
      </c>
      <c r="B1387" s="3">
        <v>46006</v>
      </c>
      <c r="C1387" t="s">
        <v>13</v>
      </c>
      <c r="D1387" t="s">
        <v>219</v>
      </c>
      <c r="E1387" t="s">
        <v>403</v>
      </c>
      <c r="F1387">
        <v>6</v>
      </c>
      <c r="G1387" s="6">
        <v>181062</v>
      </c>
      <c r="H1387">
        <f>COUNTBLANK(Sales_Data[[#This Row],[Revenue]])</f>
        <v>0</v>
      </c>
      <c r="I1387">
        <f>COUNTBLANK(Sales_Data[[#This Row],[Quantity]])</f>
        <v>0</v>
      </c>
      <c r="J1387" t="str">
        <f>TEXT(Sales_Data[[#This Row],[Date]],"yyyy-mm")</f>
        <v>2025-12</v>
      </c>
    </row>
    <row r="1388" spans="1:10" x14ac:dyDescent="0.35">
      <c r="A1388" t="s">
        <v>1777</v>
      </c>
      <c r="B1388" s="3">
        <v>45852</v>
      </c>
      <c r="C1388" t="s">
        <v>13</v>
      </c>
      <c r="D1388" t="s">
        <v>335</v>
      </c>
      <c r="E1388" t="s">
        <v>387</v>
      </c>
      <c r="F1388">
        <v>6</v>
      </c>
      <c r="G1388" s="6">
        <v>181062</v>
      </c>
      <c r="H1388">
        <f>COUNTBLANK(Sales_Data[[#This Row],[Revenue]])</f>
        <v>0</v>
      </c>
      <c r="I1388">
        <f>COUNTBLANK(Sales_Data[[#This Row],[Quantity]])</f>
        <v>0</v>
      </c>
      <c r="J1388" t="str">
        <f>TEXT(Sales_Data[[#This Row],[Date]],"yyyy-mm")</f>
        <v>2025-07</v>
      </c>
    </row>
    <row r="1389" spans="1:10" x14ac:dyDescent="0.35">
      <c r="A1389" t="s">
        <v>1778</v>
      </c>
      <c r="B1389" s="3">
        <v>46021</v>
      </c>
      <c r="C1389" t="s">
        <v>31</v>
      </c>
      <c r="D1389" t="s">
        <v>231</v>
      </c>
      <c r="E1389" t="s">
        <v>391</v>
      </c>
      <c r="F1389">
        <v>9</v>
      </c>
      <c r="G1389" s="6">
        <v>269694</v>
      </c>
      <c r="H1389">
        <f>COUNTBLANK(Sales_Data[[#This Row],[Revenue]])</f>
        <v>0</v>
      </c>
      <c r="I1389">
        <f>COUNTBLANK(Sales_Data[[#This Row],[Quantity]])</f>
        <v>0</v>
      </c>
      <c r="J1389" t="str">
        <f>TEXT(Sales_Data[[#This Row],[Date]],"yyyy-mm")</f>
        <v>2025-12</v>
      </c>
    </row>
    <row r="1390" spans="1:10" x14ac:dyDescent="0.35">
      <c r="A1390" t="s">
        <v>1779</v>
      </c>
      <c r="B1390" s="3">
        <v>45983</v>
      </c>
      <c r="C1390" t="s">
        <v>41</v>
      </c>
      <c r="D1390" t="s">
        <v>359</v>
      </c>
      <c r="E1390" t="s">
        <v>391</v>
      </c>
      <c r="F1390">
        <v>8</v>
      </c>
      <c r="G1390" s="6">
        <v>170096</v>
      </c>
      <c r="H1390">
        <f>COUNTBLANK(Sales_Data[[#This Row],[Revenue]])</f>
        <v>0</v>
      </c>
      <c r="I1390">
        <f>COUNTBLANK(Sales_Data[[#This Row],[Quantity]])</f>
        <v>0</v>
      </c>
      <c r="J1390" t="str">
        <f>TEXT(Sales_Data[[#This Row],[Date]],"yyyy-mm")</f>
        <v>2025-11</v>
      </c>
    </row>
    <row r="1391" spans="1:10" x14ac:dyDescent="0.35">
      <c r="A1391" t="s">
        <v>1780</v>
      </c>
      <c r="B1391" s="3">
        <v>45739</v>
      </c>
      <c r="C1391" t="s">
        <v>67</v>
      </c>
      <c r="D1391" t="s">
        <v>347</v>
      </c>
      <c r="E1391" t="s">
        <v>403</v>
      </c>
      <c r="F1391">
        <v>7</v>
      </c>
      <c r="G1391" s="6">
        <v>151312</v>
      </c>
      <c r="H1391">
        <f>COUNTBLANK(Sales_Data[[#This Row],[Revenue]])</f>
        <v>0</v>
      </c>
      <c r="I1391">
        <f>COUNTBLANK(Sales_Data[[#This Row],[Quantity]])</f>
        <v>0</v>
      </c>
      <c r="J1391" t="str">
        <f>TEXT(Sales_Data[[#This Row],[Date]],"yyyy-mm")</f>
        <v>2025-03</v>
      </c>
    </row>
    <row r="1392" spans="1:10" x14ac:dyDescent="0.35">
      <c r="A1392" t="s">
        <v>1781</v>
      </c>
      <c r="B1392" s="3">
        <v>45733</v>
      </c>
      <c r="C1392" t="s">
        <v>4</v>
      </c>
      <c r="D1392" t="s">
        <v>95</v>
      </c>
      <c r="E1392" t="s">
        <v>391</v>
      </c>
      <c r="F1392">
        <v>8</v>
      </c>
      <c r="G1392" s="6">
        <v>94520</v>
      </c>
      <c r="H1392">
        <f>COUNTBLANK(Sales_Data[[#This Row],[Revenue]])</f>
        <v>0</v>
      </c>
      <c r="I1392">
        <f>COUNTBLANK(Sales_Data[[#This Row],[Quantity]])</f>
        <v>0</v>
      </c>
      <c r="J1392" t="str">
        <f>TEXT(Sales_Data[[#This Row],[Date]],"yyyy-mm")</f>
        <v>2025-03</v>
      </c>
    </row>
    <row r="1393" spans="1:10" x14ac:dyDescent="0.35">
      <c r="A1393" t="s">
        <v>1782</v>
      </c>
      <c r="B1393" s="3">
        <v>45999</v>
      </c>
      <c r="C1393" t="s">
        <v>19</v>
      </c>
      <c r="D1393" t="s">
        <v>279</v>
      </c>
      <c r="E1393" t="s">
        <v>394</v>
      </c>
      <c r="F1393">
        <v>3</v>
      </c>
      <c r="G1393" s="6">
        <v>126477</v>
      </c>
      <c r="H1393">
        <f>COUNTBLANK(Sales_Data[[#This Row],[Revenue]])</f>
        <v>0</v>
      </c>
      <c r="I1393">
        <f>COUNTBLANK(Sales_Data[[#This Row],[Quantity]])</f>
        <v>0</v>
      </c>
      <c r="J1393" t="str">
        <f>TEXT(Sales_Data[[#This Row],[Date]],"yyyy-mm")</f>
        <v>2025-12</v>
      </c>
    </row>
    <row r="1394" spans="1:10" x14ac:dyDescent="0.35">
      <c r="A1394" t="s">
        <v>1783</v>
      </c>
      <c r="B1394" s="3">
        <v>45676</v>
      </c>
      <c r="C1394" t="s">
        <v>39</v>
      </c>
      <c r="D1394" t="s">
        <v>135</v>
      </c>
      <c r="E1394" t="s">
        <v>387</v>
      </c>
      <c r="F1394">
        <v>6</v>
      </c>
      <c r="G1394" s="6">
        <v>289728</v>
      </c>
      <c r="H1394">
        <f>COUNTBLANK(Sales_Data[[#This Row],[Revenue]])</f>
        <v>0</v>
      </c>
      <c r="I1394">
        <f>COUNTBLANK(Sales_Data[[#This Row],[Quantity]])</f>
        <v>0</v>
      </c>
      <c r="J1394" t="str">
        <f>TEXT(Sales_Data[[#This Row],[Date]],"yyyy-mm")</f>
        <v>2025-01</v>
      </c>
    </row>
    <row r="1395" spans="1:10" x14ac:dyDescent="0.35">
      <c r="A1395" t="s">
        <v>1784</v>
      </c>
      <c r="B1395" s="3">
        <v>46000</v>
      </c>
      <c r="C1395" t="s">
        <v>53</v>
      </c>
      <c r="D1395" t="s">
        <v>203</v>
      </c>
      <c r="E1395" t="s">
        <v>394</v>
      </c>
      <c r="F1395">
        <v>9</v>
      </c>
      <c r="G1395" s="6">
        <v>37872</v>
      </c>
      <c r="H1395">
        <f>COUNTBLANK(Sales_Data[[#This Row],[Revenue]])</f>
        <v>0</v>
      </c>
      <c r="I1395">
        <f>COUNTBLANK(Sales_Data[[#This Row],[Quantity]])</f>
        <v>0</v>
      </c>
      <c r="J1395" t="str">
        <f>TEXT(Sales_Data[[#This Row],[Date]],"yyyy-mm")</f>
        <v>2025-12</v>
      </c>
    </row>
    <row r="1396" spans="1:10" x14ac:dyDescent="0.35">
      <c r="A1396" t="s">
        <v>1785</v>
      </c>
      <c r="B1396" s="3">
        <v>45914</v>
      </c>
      <c r="C1396" t="s">
        <v>10</v>
      </c>
      <c r="D1396" t="s">
        <v>201</v>
      </c>
      <c r="E1396" t="s">
        <v>394</v>
      </c>
      <c r="F1396">
        <v>4</v>
      </c>
      <c r="G1396" s="6">
        <v>18064</v>
      </c>
      <c r="H1396">
        <f>COUNTBLANK(Sales_Data[[#This Row],[Revenue]])</f>
        <v>0</v>
      </c>
      <c r="I1396">
        <f>COUNTBLANK(Sales_Data[[#This Row],[Quantity]])</f>
        <v>0</v>
      </c>
      <c r="J1396" t="str">
        <f>TEXT(Sales_Data[[#This Row],[Date]],"yyyy-mm")</f>
        <v>2025-09</v>
      </c>
    </row>
    <row r="1397" spans="1:10" x14ac:dyDescent="0.35">
      <c r="A1397" t="s">
        <v>1786</v>
      </c>
      <c r="B1397" s="3">
        <v>45921</v>
      </c>
      <c r="C1397" t="s">
        <v>61</v>
      </c>
      <c r="D1397" t="s">
        <v>257</v>
      </c>
      <c r="E1397" t="s">
        <v>389</v>
      </c>
      <c r="F1397">
        <v>10</v>
      </c>
      <c r="G1397" s="6">
        <v>250160</v>
      </c>
      <c r="H1397">
        <f>COUNTBLANK(Sales_Data[[#This Row],[Revenue]])</f>
        <v>0</v>
      </c>
      <c r="I1397">
        <f>COUNTBLANK(Sales_Data[[#This Row],[Quantity]])</f>
        <v>0</v>
      </c>
      <c r="J1397" t="str">
        <f>TEXT(Sales_Data[[#This Row],[Date]],"yyyy-mm")</f>
        <v>2025-09</v>
      </c>
    </row>
    <row r="1398" spans="1:10" x14ac:dyDescent="0.35">
      <c r="A1398" t="s">
        <v>1787</v>
      </c>
      <c r="B1398" s="3">
        <v>45834</v>
      </c>
      <c r="C1398" t="s">
        <v>63</v>
      </c>
      <c r="D1398" t="s">
        <v>137</v>
      </c>
      <c r="E1398" t="s">
        <v>387</v>
      </c>
      <c r="F1398">
        <v>2</v>
      </c>
      <c r="G1398" s="6">
        <v>17536</v>
      </c>
      <c r="H1398">
        <f>COUNTBLANK(Sales_Data[[#This Row],[Revenue]])</f>
        <v>0</v>
      </c>
      <c r="I1398">
        <f>COUNTBLANK(Sales_Data[[#This Row],[Quantity]])</f>
        <v>0</v>
      </c>
      <c r="J1398" t="str">
        <f>TEXT(Sales_Data[[#This Row],[Date]],"yyyy-mm")</f>
        <v>2025-06</v>
      </c>
    </row>
    <row r="1399" spans="1:10" x14ac:dyDescent="0.35">
      <c r="A1399" t="s">
        <v>1788</v>
      </c>
      <c r="B1399" s="3">
        <v>46004</v>
      </c>
      <c r="C1399" t="s">
        <v>65</v>
      </c>
      <c r="D1399" t="s">
        <v>179</v>
      </c>
      <c r="E1399" t="s">
        <v>394</v>
      </c>
      <c r="F1399">
        <v>10</v>
      </c>
      <c r="G1399" s="6">
        <v>5450</v>
      </c>
      <c r="H1399">
        <f>COUNTBLANK(Sales_Data[[#This Row],[Revenue]])</f>
        <v>0</v>
      </c>
      <c r="I1399">
        <f>COUNTBLANK(Sales_Data[[#This Row],[Quantity]])</f>
        <v>0</v>
      </c>
      <c r="J1399" t="str">
        <f>TEXT(Sales_Data[[#This Row],[Date]],"yyyy-mm")</f>
        <v>2025-12</v>
      </c>
    </row>
    <row r="1400" spans="1:10" x14ac:dyDescent="0.35">
      <c r="A1400" t="s">
        <v>1789</v>
      </c>
      <c r="B1400" s="3">
        <v>45996</v>
      </c>
      <c r="C1400" t="s">
        <v>51</v>
      </c>
      <c r="D1400" t="s">
        <v>237</v>
      </c>
      <c r="E1400" t="s">
        <v>394</v>
      </c>
      <c r="F1400">
        <v>2</v>
      </c>
      <c r="G1400" s="6">
        <v>62878</v>
      </c>
      <c r="H1400">
        <f>COUNTBLANK(Sales_Data[[#This Row],[Revenue]])</f>
        <v>0</v>
      </c>
      <c r="I1400">
        <f>COUNTBLANK(Sales_Data[[#This Row],[Quantity]])</f>
        <v>0</v>
      </c>
      <c r="J1400" t="str">
        <f>TEXT(Sales_Data[[#This Row],[Date]],"yyyy-mm")</f>
        <v>2025-12</v>
      </c>
    </row>
    <row r="1401" spans="1:10" x14ac:dyDescent="0.35">
      <c r="A1401" t="s">
        <v>1790</v>
      </c>
      <c r="B1401" s="3">
        <v>45969</v>
      </c>
      <c r="C1401" t="s">
        <v>37</v>
      </c>
      <c r="D1401" t="s">
        <v>111</v>
      </c>
      <c r="E1401" t="s">
        <v>387</v>
      </c>
      <c r="F1401">
        <v>4</v>
      </c>
      <c r="G1401" s="6">
        <v>7812</v>
      </c>
      <c r="H1401">
        <f>COUNTBLANK(Sales_Data[[#This Row],[Revenue]])</f>
        <v>0</v>
      </c>
      <c r="I1401">
        <f>COUNTBLANK(Sales_Data[[#This Row],[Quantity]])</f>
        <v>0</v>
      </c>
      <c r="J1401" t="str">
        <f>TEXT(Sales_Data[[#This Row],[Date]],"yyyy-mm")</f>
        <v>2025-11</v>
      </c>
    </row>
    <row r="1402" spans="1:10" x14ac:dyDescent="0.35">
      <c r="A1402" t="s">
        <v>1791</v>
      </c>
      <c r="B1402" s="3">
        <v>45762</v>
      </c>
      <c r="C1402" t="s">
        <v>43</v>
      </c>
      <c r="D1402" t="s">
        <v>191</v>
      </c>
      <c r="E1402" t="s">
        <v>389</v>
      </c>
      <c r="F1402">
        <v>4</v>
      </c>
      <c r="G1402" s="6">
        <v>151300</v>
      </c>
      <c r="H1402">
        <f>COUNTBLANK(Sales_Data[[#This Row],[Revenue]])</f>
        <v>0</v>
      </c>
      <c r="I1402">
        <f>COUNTBLANK(Sales_Data[[#This Row],[Quantity]])</f>
        <v>0</v>
      </c>
      <c r="J1402" t="str">
        <f>TEXT(Sales_Data[[#This Row],[Date]],"yyyy-mm")</f>
        <v>2025-04</v>
      </c>
    </row>
    <row r="1403" spans="1:10" x14ac:dyDescent="0.35">
      <c r="A1403" t="s">
        <v>1792</v>
      </c>
      <c r="B1403" s="3">
        <v>45961</v>
      </c>
      <c r="C1403" t="s">
        <v>7</v>
      </c>
      <c r="D1403" t="s">
        <v>287</v>
      </c>
      <c r="E1403" t="s">
        <v>389</v>
      </c>
      <c r="F1403">
        <v>5</v>
      </c>
      <c r="G1403" s="6">
        <v>130665</v>
      </c>
      <c r="H1403">
        <f>COUNTBLANK(Sales_Data[[#This Row],[Revenue]])</f>
        <v>0</v>
      </c>
      <c r="I1403">
        <f>COUNTBLANK(Sales_Data[[#This Row],[Quantity]])</f>
        <v>0</v>
      </c>
      <c r="J1403" t="str">
        <f>TEXT(Sales_Data[[#This Row],[Date]],"yyyy-mm")</f>
        <v>2025-10</v>
      </c>
    </row>
    <row r="1404" spans="1:10" x14ac:dyDescent="0.35">
      <c r="A1404" t="s">
        <v>1793</v>
      </c>
      <c r="B1404" s="3">
        <v>46020</v>
      </c>
      <c r="C1404" t="s">
        <v>61</v>
      </c>
      <c r="D1404" t="s">
        <v>363</v>
      </c>
      <c r="E1404" t="s">
        <v>403</v>
      </c>
      <c r="F1404">
        <v>4</v>
      </c>
      <c r="G1404" s="6">
        <v>100064</v>
      </c>
      <c r="H1404">
        <f>COUNTBLANK(Sales_Data[[#This Row],[Revenue]])</f>
        <v>0</v>
      </c>
      <c r="I1404">
        <f>COUNTBLANK(Sales_Data[[#This Row],[Quantity]])</f>
        <v>0</v>
      </c>
      <c r="J1404" t="str">
        <f>TEXT(Sales_Data[[#This Row],[Date]],"yyyy-mm")</f>
        <v>2025-12</v>
      </c>
    </row>
    <row r="1405" spans="1:10" x14ac:dyDescent="0.35">
      <c r="A1405" t="s">
        <v>1794</v>
      </c>
      <c r="B1405" s="3">
        <v>45981</v>
      </c>
      <c r="C1405" t="s">
        <v>67</v>
      </c>
      <c r="D1405" t="s">
        <v>193</v>
      </c>
      <c r="E1405" t="s">
        <v>403</v>
      </c>
      <c r="F1405">
        <v>7</v>
      </c>
      <c r="G1405" s="6">
        <v>151312</v>
      </c>
      <c r="H1405">
        <f>COUNTBLANK(Sales_Data[[#This Row],[Revenue]])</f>
        <v>0</v>
      </c>
      <c r="I1405">
        <f>COUNTBLANK(Sales_Data[[#This Row],[Quantity]])</f>
        <v>0</v>
      </c>
      <c r="J1405" t="str">
        <f>TEXT(Sales_Data[[#This Row],[Date]],"yyyy-mm")</f>
        <v>2025-11</v>
      </c>
    </row>
    <row r="1406" spans="1:10" x14ac:dyDescent="0.35">
      <c r="A1406" t="s">
        <v>1795</v>
      </c>
      <c r="B1406" s="3">
        <v>45665</v>
      </c>
      <c r="C1406" t="s">
        <v>35</v>
      </c>
      <c r="D1406" t="s">
        <v>199</v>
      </c>
      <c r="E1406" t="s">
        <v>389</v>
      </c>
      <c r="F1406">
        <v>9</v>
      </c>
      <c r="G1406" s="6">
        <v>445140</v>
      </c>
      <c r="H1406">
        <f>COUNTBLANK(Sales_Data[[#This Row],[Revenue]])</f>
        <v>0</v>
      </c>
      <c r="I1406">
        <f>COUNTBLANK(Sales_Data[[#This Row],[Quantity]])</f>
        <v>0</v>
      </c>
      <c r="J1406" t="str">
        <f>TEXT(Sales_Data[[#This Row],[Date]],"yyyy-mm")</f>
        <v>2025-01</v>
      </c>
    </row>
    <row r="1407" spans="1:10" x14ac:dyDescent="0.35">
      <c r="A1407" t="s">
        <v>1796</v>
      </c>
      <c r="B1407" s="3">
        <v>46001</v>
      </c>
      <c r="C1407" t="s">
        <v>23</v>
      </c>
      <c r="D1407" t="s">
        <v>379</v>
      </c>
      <c r="E1407" t="s">
        <v>389</v>
      </c>
      <c r="F1407">
        <v>6</v>
      </c>
      <c r="G1407" s="6">
        <v>36414</v>
      </c>
      <c r="H1407">
        <f>COUNTBLANK(Sales_Data[[#This Row],[Revenue]])</f>
        <v>0</v>
      </c>
      <c r="I1407">
        <f>COUNTBLANK(Sales_Data[[#This Row],[Quantity]])</f>
        <v>0</v>
      </c>
      <c r="J1407" t="str">
        <f>TEXT(Sales_Data[[#This Row],[Date]],"yyyy-mm")</f>
        <v>2025-12</v>
      </c>
    </row>
    <row r="1408" spans="1:10" x14ac:dyDescent="0.35">
      <c r="A1408" t="s">
        <v>1797</v>
      </c>
      <c r="B1408" s="3">
        <v>45693</v>
      </c>
      <c r="C1408" t="s">
        <v>59</v>
      </c>
      <c r="D1408" t="s">
        <v>227</v>
      </c>
      <c r="E1408" t="s">
        <v>389</v>
      </c>
      <c r="F1408">
        <v>10</v>
      </c>
      <c r="G1408" s="6">
        <v>481060</v>
      </c>
      <c r="H1408">
        <f>COUNTBLANK(Sales_Data[[#This Row],[Revenue]])</f>
        <v>0</v>
      </c>
      <c r="I1408">
        <f>COUNTBLANK(Sales_Data[[#This Row],[Quantity]])</f>
        <v>0</v>
      </c>
      <c r="J1408" t="str">
        <f>TEXT(Sales_Data[[#This Row],[Date]],"yyyy-mm")</f>
        <v>2025-02</v>
      </c>
    </row>
    <row r="1409" spans="1:10" x14ac:dyDescent="0.35">
      <c r="A1409" t="s">
        <v>1798</v>
      </c>
      <c r="B1409" s="3">
        <v>46012</v>
      </c>
      <c r="C1409" t="s">
        <v>63</v>
      </c>
      <c r="D1409" t="s">
        <v>253</v>
      </c>
      <c r="E1409" t="s">
        <v>394</v>
      </c>
      <c r="F1409">
        <v>2</v>
      </c>
      <c r="G1409" s="6">
        <v>17536</v>
      </c>
      <c r="H1409">
        <f>COUNTBLANK(Sales_Data[[#This Row],[Revenue]])</f>
        <v>0</v>
      </c>
      <c r="I1409">
        <f>COUNTBLANK(Sales_Data[[#This Row],[Quantity]])</f>
        <v>0</v>
      </c>
      <c r="J1409" t="str">
        <f>TEXT(Sales_Data[[#This Row],[Date]],"yyyy-mm")</f>
        <v>2025-12</v>
      </c>
    </row>
    <row r="1410" spans="1:10" x14ac:dyDescent="0.35">
      <c r="A1410" t="s">
        <v>1799</v>
      </c>
      <c r="B1410" s="3">
        <v>45747</v>
      </c>
      <c r="C1410" t="s">
        <v>55</v>
      </c>
      <c r="D1410" t="s">
        <v>137</v>
      </c>
      <c r="E1410" t="s">
        <v>389</v>
      </c>
      <c r="F1410">
        <v>9</v>
      </c>
      <c r="G1410" s="6">
        <v>102735</v>
      </c>
      <c r="H1410">
        <f>COUNTBLANK(Sales_Data[[#This Row],[Revenue]])</f>
        <v>0</v>
      </c>
      <c r="I1410">
        <f>COUNTBLANK(Sales_Data[[#This Row],[Quantity]])</f>
        <v>0</v>
      </c>
      <c r="J1410" t="str">
        <f>TEXT(Sales_Data[[#This Row],[Date]],"yyyy-mm")</f>
        <v>2025-03</v>
      </c>
    </row>
    <row r="1411" spans="1:10" x14ac:dyDescent="0.35">
      <c r="A1411" t="s">
        <v>1800</v>
      </c>
      <c r="B1411" s="3">
        <v>46013</v>
      </c>
      <c r="C1411" t="s">
        <v>21</v>
      </c>
      <c r="D1411" t="s">
        <v>329</v>
      </c>
      <c r="E1411" t="s">
        <v>389</v>
      </c>
      <c r="F1411">
        <v>5</v>
      </c>
      <c r="G1411" s="6">
        <v>76045</v>
      </c>
      <c r="H1411">
        <f>COUNTBLANK(Sales_Data[[#This Row],[Revenue]])</f>
        <v>0</v>
      </c>
      <c r="I1411">
        <f>COUNTBLANK(Sales_Data[[#This Row],[Quantity]])</f>
        <v>0</v>
      </c>
      <c r="J1411" t="str">
        <f>TEXT(Sales_Data[[#This Row],[Date]],"yyyy-mm")</f>
        <v>2025-12</v>
      </c>
    </row>
    <row r="1412" spans="1:10" x14ac:dyDescent="0.35">
      <c r="A1412" t="s">
        <v>1801</v>
      </c>
      <c r="B1412" s="3">
        <v>45676</v>
      </c>
      <c r="C1412" t="s">
        <v>49</v>
      </c>
      <c r="D1412" t="s">
        <v>121</v>
      </c>
      <c r="E1412" t="s">
        <v>387</v>
      </c>
      <c r="F1412">
        <v>6</v>
      </c>
      <c r="G1412" s="6">
        <v>273084</v>
      </c>
      <c r="H1412">
        <f>COUNTBLANK(Sales_Data[[#This Row],[Revenue]])</f>
        <v>0</v>
      </c>
      <c r="I1412">
        <f>COUNTBLANK(Sales_Data[[#This Row],[Quantity]])</f>
        <v>0</v>
      </c>
      <c r="J1412" t="str">
        <f>TEXT(Sales_Data[[#This Row],[Date]],"yyyy-mm")</f>
        <v>2025-01</v>
      </c>
    </row>
    <row r="1413" spans="1:10" x14ac:dyDescent="0.35">
      <c r="A1413" t="s">
        <v>1802</v>
      </c>
      <c r="B1413" s="3">
        <v>45913</v>
      </c>
      <c r="C1413" t="s">
        <v>67</v>
      </c>
      <c r="D1413" t="s">
        <v>279</v>
      </c>
      <c r="E1413" t="s">
        <v>403</v>
      </c>
      <c r="F1413">
        <v>6</v>
      </c>
      <c r="G1413" s="6">
        <v>129696</v>
      </c>
      <c r="H1413">
        <f>COUNTBLANK(Sales_Data[[#This Row],[Revenue]])</f>
        <v>0</v>
      </c>
      <c r="I1413">
        <f>COUNTBLANK(Sales_Data[[#This Row],[Quantity]])</f>
        <v>0</v>
      </c>
      <c r="J1413" t="str">
        <f>TEXT(Sales_Data[[#This Row],[Date]],"yyyy-mm")</f>
        <v>2025-09</v>
      </c>
    </row>
    <row r="1414" spans="1:10" x14ac:dyDescent="0.35">
      <c r="A1414" t="s">
        <v>1803</v>
      </c>
      <c r="B1414" s="3">
        <v>45769</v>
      </c>
      <c r="C1414" t="s">
        <v>33</v>
      </c>
      <c r="D1414" t="s">
        <v>319</v>
      </c>
      <c r="E1414" t="s">
        <v>394</v>
      </c>
      <c r="F1414">
        <v>3</v>
      </c>
      <c r="G1414" s="6">
        <v>108759</v>
      </c>
      <c r="H1414">
        <f>COUNTBLANK(Sales_Data[[#This Row],[Revenue]])</f>
        <v>0</v>
      </c>
      <c r="I1414">
        <f>COUNTBLANK(Sales_Data[[#This Row],[Quantity]])</f>
        <v>0</v>
      </c>
      <c r="J1414" t="str">
        <f>TEXT(Sales_Data[[#This Row],[Date]],"yyyy-mm")</f>
        <v>2025-04</v>
      </c>
    </row>
    <row r="1415" spans="1:10" x14ac:dyDescent="0.35">
      <c r="A1415" t="s">
        <v>1804</v>
      </c>
      <c r="B1415" s="3">
        <v>45731</v>
      </c>
      <c r="C1415" t="s">
        <v>37</v>
      </c>
      <c r="D1415" t="s">
        <v>353</v>
      </c>
      <c r="E1415" t="s">
        <v>391</v>
      </c>
      <c r="F1415">
        <v>8</v>
      </c>
      <c r="G1415" s="6">
        <v>15624</v>
      </c>
      <c r="H1415">
        <f>COUNTBLANK(Sales_Data[[#This Row],[Revenue]])</f>
        <v>0</v>
      </c>
      <c r="I1415">
        <f>COUNTBLANK(Sales_Data[[#This Row],[Quantity]])</f>
        <v>0</v>
      </c>
      <c r="J1415" t="str">
        <f>TEXT(Sales_Data[[#This Row],[Date]],"yyyy-mm")</f>
        <v>2025-03</v>
      </c>
    </row>
    <row r="1416" spans="1:10" x14ac:dyDescent="0.35">
      <c r="A1416" t="s">
        <v>1805</v>
      </c>
      <c r="B1416" s="3">
        <v>45906</v>
      </c>
      <c r="C1416" t="s">
        <v>47</v>
      </c>
      <c r="D1416" t="s">
        <v>207</v>
      </c>
      <c r="E1416" t="s">
        <v>394</v>
      </c>
      <c r="F1416">
        <v>2</v>
      </c>
      <c r="G1416" s="6">
        <v>44124</v>
      </c>
      <c r="H1416">
        <f>COUNTBLANK(Sales_Data[[#This Row],[Revenue]])</f>
        <v>0</v>
      </c>
      <c r="I1416">
        <f>COUNTBLANK(Sales_Data[[#This Row],[Quantity]])</f>
        <v>0</v>
      </c>
      <c r="J1416" t="str">
        <f>TEXT(Sales_Data[[#This Row],[Date]],"yyyy-mm")</f>
        <v>2025-09</v>
      </c>
    </row>
    <row r="1417" spans="1:10" x14ac:dyDescent="0.35">
      <c r="A1417" t="s">
        <v>1806</v>
      </c>
      <c r="B1417" s="3">
        <v>45764</v>
      </c>
      <c r="C1417" t="s">
        <v>51</v>
      </c>
      <c r="D1417" t="s">
        <v>201</v>
      </c>
      <c r="E1417" t="s">
        <v>394</v>
      </c>
      <c r="F1417">
        <v>3</v>
      </c>
      <c r="G1417" s="6">
        <v>94317</v>
      </c>
      <c r="H1417">
        <f>COUNTBLANK(Sales_Data[[#This Row],[Revenue]])</f>
        <v>0</v>
      </c>
      <c r="I1417">
        <f>COUNTBLANK(Sales_Data[[#This Row],[Quantity]])</f>
        <v>0</v>
      </c>
      <c r="J1417" t="str">
        <f>TEXT(Sales_Data[[#This Row],[Date]],"yyyy-mm")</f>
        <v>2025-04</v>
      </c>
    </row>
    <row r="1418" spans="1:10" x14ac:dyDescent="0.35">
      <c r="A1418" t="s">
        <v>1807</v>
      </c>
      <c r="B1418" s="3">
        <v>45818</v>
      </c>
      <c r="C1418" t="s">
        <v>45</v>
      </c>
      <c r="D1418" t="s">
        <v>191</v>
      </c>
      <c r="E1418" t="s">
        <v>389</v>
      </c>
      <c r="F1418">
        <v>8</v>
      </c>
      <c r="G1418" s="6">
        <v>62608</v>
      </c>
      <c r="H1418">
        <f>COUNTBLANK(Sales_Data[[#This Row],[Revenue]])</f>
        <v>0</v>
      </c>
      <c r="I1418">
        <f>COUNTBLANK(Sales_Data[[#This Row],[Quantity]])</f>
        <v>0</v>
      </c>
      <c r="J1418" t="str">
        <f>TEXT(Sales_Data[[#This Row],[Date]],"yyyy-mm")</f>
        <v>2025-06</v>
      </c>
    </row>
    <row r="1419" spans="1:10" x14ac:dyDescent="0.35">
      <c r="A1419" t="s">
        <v>1808</v>
      </c>
      <c r="B1419" s="3">
        <v>45658</v>
      </c>
      <c r="C1419" t="s">
        <v>37</v>
      </c>
      <c r="D1419" t="s">
        <v>167</v>
      </c>
      <c r="E1419" t="s">
        <v>403</v>
      </c>
      <c r="F1419">
        <v>6</v>
      </c>
      <c r="G1419" s="6">
        <v>11718</v>
      </c>
      <c r="H1419">
        <f>COUNTBLANK(Sales_Data[[#This Row],[Revenue]])</f>
        <v>0</v>
      </c>
      <c r="I1419">
        <f>COUNTBLANK(Sales_Data[[#This Row],[Quantity]])</f>
        <v>0</v>
      </c>
      <c r="J1419" t="str">
        <f>TEXT(Sales_Data[[#This Row],[Date]],"yyyy-mm")</f>
        <v>2025-01</v>
      </c>
    </row>
    <row r="1420" spans="1:10" x14ac:dyDescent="0.35">
      <c r="A1420" t="s">
        <v>1809</v>
      </c>
      <c r="B1420" s="3">
        <v>45878</v>
      </c>
      <c r="C1420" t="s">
        <v>31</v>
      </c>
      <c r="D1420" t="s">
        <v>311</v>
      </c>
      <c r="E1420" t="s">
        <v>389</v>
      </c>
      <c r="F1420">
        <v>9</v>
      </c>
      <c r="G1420" s="6">
        <v>269694</v>
      </c>
      <c r="H1420">
        <f>COUNTBLANK(Sales_Data[[#This Row],[Revenue]])</f>
        <v>0</v>
      </c>
      <c r="I1420">
        <f>COUNTBLANK(Sales_Data[[#This Row],[Quantity]])</f>
        <v>0</v>
      </c>
      <c r="J1420" t="str">
        <f>TEXT(Sales_Data[[#This Row],[Date]],"yyyy-mm")</f>
        <v>2025-08</v>
      </c>
    </row>
    <row r="1421" spans="1:10" x14ac:dyDescent="0.35">
      <c r="A1421" t="s">
        <v>1810</v>
      </c>
      <c r="B1421" s="3">
        <v>45973</v>
      </c>
      <c r="C1421" t="s">
        <v>57</v>
      </c>
      <c r="D1421" t="s">
        <v>349</v>
      </c>
      <c r="E1421" t="s">
        <v>391</v>
      </c>
      <c r="F1421">
        <v>1</v>
      </c>
      <c r="G1421" s="6">
        <v>48789</v>
      </c>
      <c r="H1421">
        <f>COUNTBLANK(Sales_Data[[#This Row],[Revenue]])</f>
        <v>0</v>
      </c>
      <c r="I1421">
        <f>COUNTBLANK(Sales_Data[[#This Row],[Quantity]])</f>
        <v>0</v>
      </c>
      <c r="J1421" t="str">
        <f>TEXT(Sales_Data[[#This Row],[Date]],"yyyy-mm")</f>
        <v>2025-11</v>
      </c>
    </row>
    <row r="1422" spans="1:10" x14ac:dyDescent="0.35">
      <c r="A1422" t="s">
        <v>1811</v>
      </c>
      <c r="B1422" s="3">
        <v>45770</v>
      </c>
      <c r="C1422" t="s">
        <v>16</v>
      </c>
      <c r="D1422" t="s">
        <v>275</v>
      </c>
      <c r="E1422" t="s">
        <v>387</v>
      </c>
      <c r="F1422">
        <v>8</v>
      </c>
      <c r="G1422" s="6">
        <v>255696</v>
      </c>
      <c r="H1422">
        <f>COUNTBLANK(Sales_Data[[#This Row],[Revenue]])</f>
        <v>0</v>
      </c>
      <c r="I1422">
        <f>COUNTBLANK(Sales_Data[[#This Row],[Quantity]])</f>
        <v>0</v>
      </c>
      <c r="J1422" t="str">
        <f>TEXT(Sales_Data[[#This Row],[Date]],"yyyy-mm")</f>
        <v>2025-04</v>
      </c>
    </row>
    <row r="1423" spans="1:10" x14ac:dyDescent="0.35">
      <c r="A1423" t="s">
        <v>1812</v>
      </c>
      <c r="B1423" s="3">
        <v>45990</v>
      </c>
      <c r="C1423" t="s">
        <v>61</v>
      </c>
      <c r="D1423" t="s">
        <v>321</v>
      </c>
      <c r="E1423" t="s">
        <v>389</v>
      </c>
      <c r="F1423">
        <v>2</v>
      </c>
      <c r="G1423" s="6">
        <v>50032</v>
      </c>
      <c r="H1423">
        <f>COUNTBLANK(Sales_Data[[#This Row],[Revenue]])</f>
        <v>0</v>
      </c>
      <c r="I1423">
        <f>COUNTBLANK(Sales_Data[[#This Row],[Quantity]])</f>
        <v>0</v>
      </c>
      <c r="J1423" t="str">
        <f>TEXT(Sales_Data[[#This Row],[Date]],"yyyy-mm")</f>
        <v>2025-11</v>
      </c>
    </row>
    <row r="1424" spans="1:10" x14ac:dyDescent="0.35">
      <c r="A1424" t="s">
        <v>1813</v>
      </c>
      <c r="B1424" s="3">
        <v>45962</v>
      </c>
      <c r="C1424" t="s">
        <v>45</v>
      </c>
      <c r="D1424" t="s">
        <v>259</v>
      </c>
      <c r="E1424" t="s">
        <v>403</v>
      </c>
      <c r="F1424">
        <v>2</v>
      </c>
      <c r="G1424" s="6">
        <v>15652</v>
      </c>
      <c r="H1424">
        <f>COUNTBLANK(Sales_Data[[#This Row],[Revenue]])</f>
        <v>0</v>
      </c>
      <c r="I1424">
        <f>COUNTBLANK(Sales_Data[[#This Row],[Quantity]])</f>
        <v>0</v>
      </c>
      <c r="J1424" t="str">
        <f>TEXT(Sales_Data[[#This Row],[Date]],"yyyy-mm")</f>
        <v>2025-11</v>
      </c>
    </row>
    <row r="1425" spans="1:10" x14ac:dyDescent="0.35">
      <c r="A1425" t="s">
        <v>1814</v>
      </c>
      <c r="B1425" s="3">
        <v>45753</v>
      </c>
      <c r="C1425" t="s">
        <v>39</v>
      </c>
      <c r="D1425" t="s">
        <v>195</v>
      </c>
      <c r="E1425" t="s">
        <v>389</v>
      </c>
      <c r="F1425">
        <v>4</v>
      </c>
      <c r="G1425" s="6">
        <v>193152</v>
      </c>
      <c r="H1425">
        <f>COUNTBLANK(Sales_Data[[#This Row],[Revenue]])</f>
        <v>0</v>
      </c>
      <c r="I1425">
        <f>COUNTBLANK(Sales_Data[[#This Row],[Quantity]])</f>
        <v>0</v>
      </c>
      <c r="J1425" t="str">
        <f>TEXT(Sales_Data[[#This Row],[Date]],"yyyy-mm")</f>
        <v>2025-04</v>
      </c>
    </row>
    <row r="1426" spans="1:10" x14ac:dyDescent="0.35">
      <c r="A1426" t="s">
        <v>1815</v>
      </c>
      <c r="B1426" s="3">
        <v>45838</v>
      </c>
      <c r="C1426" t="s">
        <v>39</v>
      </c>
      <c r="D1426" t="s">
        <v>293</v>
      </c>
      <c r="E1426" t="s">
        <v>394</v>
      </c>
      <c r="F1426">
        <v>9</v>
      </c>
      <c r="G1426" s="6">
        <v>434592</v>
      </c>
      <c r="H1426">
        <f>COUNTBLANK(Sales_Data[[#This Row],[Revenue]])</f>
        <v>0</v>
      </c>
      <c r="I1426">
        <f>COUNTBLANK(Sales_Data[[#This Row],[Quantity]])</f>
        <v>0</v>
      </c>
      <c r="J1426" t="str">
        <f>TEXT(Sales_Data[[#This Row],[Date]],"yyyy-mm")</f>
        <v>2025-06</v>
      </c>
    </row>
    <row r="1427" spans="1:10" x14ac:dyDescent="0.35">
      <c r="A1427" t="s">
        <v>1816</v>
      </c>
      <c r="B1427" s="3">
        <v>45878</v>
      </c>
      <c r="C1427" t="s">
        <v>25</v>
      </c>
      <c r="D1427" t="s">
        <v>175</v>
      </c>
      <c r="E1427" t="s">
        <v>389</v>
      </c>
      <c r="F1427">
        <v>1</v>
      </c>
      <c r="G1427" s="6">
        <v>18243</v>
      </c>
      <c r="H1427">
        <f>COUNTBLANK(Sales_Data[[#This Row],[Revenue]])</f>
        <v>0</v>
      </c>
      <c r="I1427">
        <f>COUNTBLANK(Sales_Data[[#This Row],[Quantity]])</f>
        <v>0</v>
      </c>
      <c r="J1427" t="str">
        <f>TEXT(Sales_Data[[#This Row],[Date]],"yyyy-mm")</f>
        <v>2025-08</v>
      </c>
    </row>
    <row r="1428" spans="1:10" x14ac:dyDescent="0.35">
      <c r="A1428" t="s">
        <v>1817</v>
      </c>
      <c r="B1428" s="3">
        <v>45775</v>
      </c>
      <c r="C1428" t="s">
        <v>16</v>
      </c>
      <c r="D1428" t="s">
        <v>191</v>
      </c>
      <c r="E1428" t="s">
        <v>403</v>
      </c>
      <c r="F1428">
        <v>9</v>
      </c>
      <c r="G1428" s="6">
        <v>287658</v>
      </c>
      <c r="H1428">
        <f>COUNTBLANK(Sales_Data[[#This Row],[Revenue]])</f>
        <v>0</v>
      </c>
      <c r="I1428">
        <f>COUNTBLANK(Sales_Data[[#This Row],[Quantity]])</f>
        <v>0</v>
      </c>
      <c r="J1428" t="str">
        <f>TEXT(Sales_Data[[#This Row],[Date]],"yyyy-mm")</f>
        <v>2025-04</v>
      </c>
    </row>
    <row r="1429" spans="1:10" x14ac:dyDescent="0.35">
      <c r="A1429" t="s">
        <v>1818</v>
      </c>
      <c r="B1429" s="3">
        <v>45699</v>
      </c>
      <c r="C1429" t="s">
        <v>43</v>
      </c>
      <c r="D1429" t="s">
        <v>211</v>
      </c>
      <c r="E1429" t="s">
        <v>387</v>
      </c>
      <c r="F1429">
        <v>2</v>
      </c>
      <c r="G1429" s="6">
        <v>75650</v>
      </c>
      <c r="H1429">
        <f>COUNTBLANK(Sales_Data[[#This Row],[Revenue]])</f>
        <v>0</v>
      </c>
      <c r="I1429">
        <f>COUNTBLANK(Sales_Data[[#This Row],[Quantity]])</f>
        <v>0</v>
      </c>
      <c r="J1429" t="str">
        <f>TEXT(Sales_Data[[#This Row],[Date]],"yyyy-mm")</f>
        <v>2025-02</v>
      </c>
    </row>
    <row r="1430" spans="1:10" x14ac:dyDescent="0.35">
      <c r="A1430" t="s">
        <v>1819</v>
      </c>
      <c r="B1430" s="3">
        <v>45783</v>
      </c>
      <c r="C1430" t="s">
        <v>57</v>
      </c>
      <c r="D1430" t="s">
        <v>221</v>
      </c>
      <c r="E1430" t="s">
        <v>394</v>
      </c>
      <c r="F1430">
        <v>7</v>
      </c>
      <c r="G1430" s="6">
        <v>341523</v>
      </c>
      <c r="H1430">
        <f>COUNTBLANK(Sales_Data[[#This Row],[Revenue]])</f>
        <v>0</v>
      </c>
      <c r="I1430">
        <f>COUNTBLANK(Sales_Data[[#This Row],[Quantity]])</f>
        <v>0</v>
      </c>
      <c r="J1430" t="str">
        <f>TEXT(Sales_Data[[#This Row],[Date]],"yyyy-mm")</f>
        <v>2025-05</v>
      </c>
    </row>
    <row r="1431" spans="1:10" x14ac:dyDescent="0.35">
      <c r="A1431" t="s">
        <v>1820</v>
      </c>
      <c r="B1431" s="3">
        <v>45886</v>
      </c>
      <c r="C1431" t="s">
        <v>51</v>
      </c>
      <c r="D1431" t="s">
        <v>189</v>
      </c>
      <c r="E1431" t="s">
        <v>394</v>
      </c>
      <c r="F1431">
        <v>1</v>
      </c>
      <c r="G1431" s="6">
        <v>31439</v>
      </c>
      <c r="H1431">
        <f>COUNTBLANK(Sales_Data[[#This Row],[Revenue]])</f>
        <v>0</v>
      </c>
      <c r="I1431">
        <f>COUNTBLANK(Sales_Data[[#This Row],[Quantity]])</f>
        <v>0</v>
      </c>
      <c r="J1431" t="str">
        <f>TEXT(Sales_Data[[#This Row],[Date]],"yyyy-mm")</f>
        <v>2025-08</v>
      </c>
    </row>
    <row r="1432" spans="1:10" x14ac:dyDescent="0.35">
      <c r="A1432" t="s">
        <v>1821</v>
      </c>
      <c r="B1432" s="3">
        <v>45995</v>
      </c>
      <c r="C1432" t="s">
        <v>43</v>
      </c>
      <c r="D1432" t="s">
        <v>363</v>
      </c>
      <c r="E1432" t="s">
        <v>389</v>
      </c>
      <c r="F1432">
        <v>1</v>
      </c>
      <c r="G1432" s="6">
        <v>37825</v>
      </c>
      <c r="H1432">
        <f>COUNTBLANK(Sales_Data[[#This Row],[Revenue]])</f>
        <v>0</v>
      </c>
      <c r="I1432">
        <f>COUNTBLANK(Sales_Data[[#This Row],[Quantity]])</f>
        <v>0</v>
      </c>
      <c r="J1432" t="str">
        <f>TEXT(Sales_Data[[#This Row],[Date]],"yyyy-mm")</f>
        <v>2025-12</v>
      </c>
    </row>
    <row r="1433" spans="1:10" x14ac:dyDescent="0.35">
      <c r="A1433" t="s">
        <v>1822</v>
      </c>
      <c r="B1433" s="3">
        <v>45867</v>
      </c>
      <c r="C1433" t="s">
        <v>29</v>
      </c>
      <c r="D1433" t="s">
        <v>225</v>
      </c>
      <c r="E1433" t="s">
        <v>391</v>
      </c>
      <c r="F1433">
        <v>8</v>
      </c>
      <c r="G1433" s="6">
        <v>341152</v>
      </c>
      <c r="H1433">
        <f>COUNTBLANK(Sales_Data[[#This Row],[Revenue]])</f>
        <v>0</v>
      </c>
      <c r="I1433">
        <f>COUNTBLANK(Sales_Data[[#This Row],[Quantity]])</f>
        <v>0</v>
      </c>
      <c r="J1433" t="str">
        <f>TEXT(Sales_Data[[#This Row],[Date]],"yyyy-mm")</f>
        <v>2025-07</v>
      </c>
    </row>
    <row r="1434" spans="1:10" x14ac:dyDescent="0.35">
      <c r="A1434" t="s">
        <v>1823</v>
      </c>
      <c r="B1434" s="3">
        <v>45662</v>
      </c>
      <c r="C1434" t="s">
        <v>16</v>
      </c>
      <c r="D1434" t="s">
        <v>74</v>
      </c>
      <c r="E1434" t="s">
        <v>403</v>
      </c>
      <c r="F1434">
        <v>5</v>
      </c>
      <c r="G1434" s="6">
        <v>159810</v>
      </c>
      <c r="H1434">
        <f>COUNTBLANK(Sales_Data[[#This Row],[Revenue]])</f>
        <v>0</v>
      </c>
      <c r="I1434">
        <f>COUNTBLANK(Sales_Data[[#This Row],[Quantity]])</f>
        <v>0</v>
      </c>
      <c r="J1434" t="str">
        <f>TEXT(Sales_Data[[#This Row],[Date]],"yyyy-mm")</f>
        <v>2025-01</v>
      </c>
    </row>
    <row r="1435" spans="1:10" x14ac:dyDescent="0.35">
      <c r="A1435" t="s">
        <v>1824</v>
      </c>
      <c r="B1435" s="3">
        <v>45937</v>
      </c>
      <c r="C1435" t="s">
        <v>13</v>
      </c>
      <c r="D1435" t="s">
        <v>81</v>
      </c>
      <c r="E1435" t="s">
        <v>394</v>
      </c>
      <c r="F1435">
        <v>1</v>
      </c>
      <c r="G1435" s="6">
        <v>30177</v>
      </c>
      <c r="H1435">
        <f>COUNTBLANK(Sales_Data[[#This Row],[Revenue]])</f>
        <v>0</v>
      </c>
      <c r="I1435">
        <f>COUNTBLANK(Sales_Data[[#This Row],[Quantity]])</f>
        <v>0</v>
      </c>
      <c r="J1435" t="str">
        <f>TEXT(Sales_Data[[#This Row],[Date]],"yyyy-mm")</f>
        <v>2025-10</v>
      </c>
    </row>
    <row r="1436" spans="1:10" x14ac:dyDescent="0.35">
      <c r="A1436" t="s">
        <v>1825</v>
      </c>
      <c r="B1436" s="3">
        <v>45951</v>
      </c>
      <c r="C1436" t="s">
        <v>45</v>
      </c>
      <c r="D1436" t="s">
        <v>377</v>
      </c>
      <c r="E1436" t="s">
        <v>387</v>
      </c>
      <c r="F1436">
        <v>5</v>
      </c>
      <c r="G1436" s="6">
        <v>39130</v>
      </c>
      <c r="H1436">
        <f>COUNTBLANK(Sales_Data[[#This Row],[Revenue]])</f>
        <v>0</v>
      </c>
      <c r="I1436">
        <f>COUNTBLANK(Sales_Data[[#This Row],[Quantity]])</f>
        <v>0</v>
      </c>
      <c r="J1436" t="str">
        <f>TEXT(Sales_Data[[#This Row],[Date]],"yyyy-mm")</f>
        <v>2025-10</v>
      </c>
    </row>
    <row r="1437" spans="1:10" x14ac:dyDescent="0.35">
      <c r="A1437" t="s">
        <v>1826</v>
      </c>
      <c r="B1437" s="3">
        <v>45947</v>
      </c>
      <c r="C1437" t="s">
        <v>65</v>
      </c>
      <c r="D1437" t="s">
        <v>207</v>
      </c>
      <c r="E1437" t="s">
        <v>387</v>
      </c>
      <c r="F1437">
        <v>10</v>
      </c>
      <c r="G1437" s="6">
        <v>5450</v>
      </c>
      <c r="H1437">
        <f>COUNTBLANK(Sales_Data[[#This Row],[Revenue]])</f>
        <v>0</v>
      </c>
      <c r="I1437">
        <f>COUNTBLANK(Sales_Data[[#This Row],[Quantity]])</f>
        <v>0</v>
      </c>
      <c r="J1437" t="str">
        <f>TEXT(Sales_Data[[#This Row],[Date]],"yyyy-mm")</f>
        <v>2025-10</v>
      </c>
    </row>
    <row r="1438" spans="1:10" x14ac:dyDescent="0.35">
      <c r="A1438" t="s">
        <v>1827</v>
      </c>
      <c r="B1438" s="3">
        <v>45762</v>
      </c>
      <c r="C1438" t="s">
        <v>67</v>
      </c>
      <c r="D1438" t="s">
        <v>211</v>
      </c>
      <c r="E1438" t="s">
        <v>391</v>
      </c>
      <c r="F1438">
        <v>3</v>
      </c>
      <c r="G1438" s="6">
        <v>64848</v>
      </c>
      <c r="H1438">
        <f>COUNTBLANK(Sales_Data[[#This Row],[Revenue]])</f>
        <v>0</v>
      </c>
      <c r="I1438">
        <f>COUNTBLANK(Sales_Data[[#This Row],[Quantity]])</f>
        <v>0</v>
      </c>
      <c r="J1438" t="str">
        <f>TEXT(Sales_Data[[#This Row],[Date]],"yyyy-mm")</f>
        <v>2025-04</v>
      </c>
    </row>
    <row r="1439" spans="1:10" x14ac:dyDescent="0.35">
      <c r="A1439" t="s">
        <v>1828</v>
      </c>
      <c r="B1439" s="3">
        <v>45801</v>
      </c>
      <c r="C1439" t="s">
        <v>41</v>
      </c>
      <c r="D1439" t="s">
        <v>117</v>
      </c>
      <c r="E1439" t="s">
        <v>387</v>
      </c>
      <c r="F1439">
        <v>7</v>
      </c>
      <c r="G1439" s="6">
        <v>148834</v>
      </c>
      <c r="H1439">
        <f>COUNTBLANK(Sales_Data[[#This Row],[Revenue]])</f>
        <v>0</v>
      </c>
      <c r="I1439">
        <f>COUNTBLANK(Sales_Data[[#This Row],[Quantity]])</f>
        <v>0</v>
      </c>
      <c r="J1439" t="str">
        <f>TEXT(Sales_Data[[#This Row],[Date]],"yyyy-mm")</f>
        <v>2025-05</v>
      </c>
    </row>
    <row r="1440" spans="1:10" x14ac:dyDescent="0.35">
      <c r="A1440" t="s">
        <v>1829</v>
      </c>
      <c r="B1440" s="3">
        <v>45966</v>
      </c>
      <c r="C1440" t="s">
        <v>61</v>
      </c>
      <c r="D1440" t="s">
        <v>257</v>
      </c>
      <c r="E1440" t="s">
        <v>387</v>
      </c>
      <c r="F1440">
        <v>10</v>
      </c>
      <c r="G1440" s="6">
        <v>250160</v>
      </c>
      <c r="H1440">
        <f>COUNTBLANK(Sales_Data[[#This Row],[Revenue]])</f>
        <v>0</v>
      </c>
      <c r="I1440">
        <f>COUNTBLANK(Sales_Data[[#This Row],[Quantity]])</f>
        <v>0</v>
      </c>
      <c r="J1440" t="str">
        <f>TEXT(Sales_Data[[#This Row],[Date]],"yyyy-mm")</f>
        <v>2025-11</v>
      </c>
    </row>
    <row r="1441" spans="1:10" x14ac:dyDescent="0.35">
      <c r="A1441" t="s">
        <v>1830</v>
      </c>
      <c r="B1441" s="3">
        <v>45751</v>
      </c>
      <c r="C1441" t="s">
        <v>21</v>
      </c>
      <c r="D1441" t="s">
        <v>201</v>
      </c>
      <c r="E1441" t="s">
        <v>389</v>
      </c>
      <c r="F1441">
        <v>8</v>
      </c>
      <c r="G1441" s="6">
        <v>121672</v>
      </c>
      <c r="H1441">
        <f>COUNTBLANK(Sales_Data[[#This Row],[Revenue]])</f>
        <v>0</v>
      </c>
      <c r="I1441">
        <f>COUNTBLANK(Sales_Data[[#This Row],[Quantity]])</f>
        <v>0</v>
      </c>
      <c r="J1441" t="str">
        <f>TEXT(Sales_Data[[#This Row],[Date]],"yyyy-mm")</f>
        <v>2025-04</v>
      </c>
    </row>
    <row r="1442" spans="1:10" x14ac:dyDescent="0.35">
      <c r="A1442" t="s">
        <v>1831</v>
      </c>
      <c r="B1442" s="3">
        <v>45746</v>
      </c>
      <c r="C1442" t="s">
        <v>49</v>
      </c>
      <c r="D1442" t="s">
        <v>293</v>
      </c>
      <c r="E1442" t="s">
        <v>389</v>
      </c>
      <c r="F1442">
        <v>10</v>
      </c>
      <c r="G1442" s="6">
        <v>455140</v>
      </c>
      <c r="H1442">
        <f>COUNTBLANK(Sales_Data[[#This Row],[Revenue]])</f>
        <v>0</v>
      </c>
      <c r="I1442">
        <f>COUNTBLANK(Sales_Data[[#This Row],[Quantity]])</f>
        <v>0</v>
      </c>
      <c r="J1442" t="str">
        <f>TEXT(Sales_Data[[#This Row],[Date]],"yyyy-mm")</f>
        <v>2025-03</v>
      </c>
    </row>
    <row r="1443" spans="1:10" x14ac:dyDescent="0.35">
      <c r="A1443" t="s">
        <v>1832</v>
      </c>
      <c r="B1443" s="3">
        <v>45719</v>
      </c>
      <c r="C1443" t="s">
        <v>55</v>
      </c>
      <c r="D1443" t="s">
        <v>165</v>
      </c>
      <c r="E1443" t="s">
        <v>403</v>
      </c>
      <c r="F1443">
        <v>8</v>
      </c>
      <c r="G1443" s="6">
        <v>91320</v>
      </c>
      <c r="H1443">
        <f>COUNTBLANK(Sales_Data[[#This Row],[Revenue]])</f>
        <v>0</v>
      </c>
      <c r="I1443">
        <f>COUNTBLANK(Sales_Data[[#This Row],[Quantity]])</f>
        <v>0</v>
      </c>
      <c r="J1443" t="str">
        <f>TEXT(Sales_Data[[#This Row],[Date]],"yyyy-mm")</f>
        <v>2025-03</v>
      </c>
    </row>
    <row r="1444" spans="1:10" x14ac:dyDescent="0.35">
      <c r="A1444" t="s">
        <v>1833</v>
      </c>
      <c r="B1444" s="3">
        <v>45907</v>
      </c>
      <c r="C1444" t="s">
        <v>23</v>
      </c>
      <c r="D1444" t="s">
        <v>259</v>
      </c>
      <c r="E1444" t="s">
        <v>389</v>
      </c>
      <c r="F1444">
        <v>3</v>
      </c>
      <c r="G1444" s="6">
        <v>18207</v>
      </c>
      <c r="H1444">
        <f>COUNTBLANK(Sales_Data[[#This Row],[Revenue]])</f>
        <v>0</v>
      </c>
      <c r="I1444">
        <f>COUNTBLANK(Sales_Data[[#This Row],[Quantity]])</f>
        <v>0</v>
      </c>
      <c r="J1444" t="str">
        <f>TEXT(Sales_Data[[#This Row],[Date]],"yyyy-mm")</f>
        <v>2025-09</v>
      </c>
    </row>
    <row r="1445" spans="1:10" x14ac:dyDescent="0.35">
      <c r="A1445" t="s">
        <v>1834</v>
      </c>
      <c r="B1445" s="3">
        <v>45983</v>
      </c>
      <c r="C1445" t="s">
        <v>10</v>
      </c>
      <c r="D1445" t="s">
        <v>285</v>
      </c>
      <c r="E1445" t="s">
        <v>387</v>
      </c>
      <c r="F1445">
        <v>2</v>
      </c>
      <c r="G1445" s="6">
        <v>9032</v>
      </c>
      <c r="H1445">
        <f>COUNTBLANK(Sales_Data[[#This Row],[Revenue]])</f>
        <v>0</v>
      </c>
      <c r="I1445">
        <f>COUNTBLANK(Sales_Data[[#This Row],[Quantity]])</f>
        <v>0</v>
      </c>
      <c r="J1445" t="str">
        <f>TEXT(Sales_Data[[#This Row],[Date]],"yyyy-mm")</f>
        <v>2025-11</v>
      </c>
    </row>
    <row r="1446" spans="1:10" x14ac:dyDescent="0.35">
      <c r="A1446" t="s">
        <v>1835</v>
      </c>
      <c r="B1446" s="3">
        <v>45750</v>
      </c>
      <c r="C1446" t="s">
        <v>21</v>
      </c>
      <c r="D1446" t="s">
        <v>315</v>
      </c>
      <c r="E1446" t="s">
        <v>391</v>
      </c>
      <c r="F1446">
        <v>4</v>
      </c>
      <c r="G1446" s="6">
        <v>60836</v>
      </c>
      <c r="H1446">
        <f>COUNTBLANK(Sales_Data[[#This Row],[Revenue]])</f>
        <v>0</v>
      </c>
      <c r="I1446">
        <f>COUNTBLANK(Sales_Data[[#This Row],[Quantity]])</f>
        <v>0</v>
      </c>
      <c r="J1446" t="str">
        <f>TEXT(Sales_Data[[#This Row],[Date]],"yyyy-mm")</f>
        <v>2025-04</v>
      </c>
    </row>
    <row r="1447" spans="1:10" x14ac:dyDescent="0.35">
      <c r="A1447" t="s">
        <v>1836</v>
      </c>
      <c r="B1447" s="3">
        <v>45847</v>
      </c>
      <c r="C1447" t="s">
        <v>37</v>
      </c>
      <c r="D1447" t="s">
        <v>88</v>
      </c>
      <c r="E1447" t="s">
        <v>387</v>
      </c>
      <c r="F1447">
        <v>8</v>
      </c>
      <c r="G1447" s="6">
        <v>15624</v>
      </c>
      <c r="H1447">
        <f>COUNTBLANK(Sales_Data[[#This Row],[Revenue]])</f>
        <v>0</v>
      </c>
      <c r="I1447">
        <f>COUNTBLANK(Sales_Data[[#This Row],[Quantity]])</f>
        <v>0</v>
      </c>
      <c r="J1447" t="str">
        <f>TEXT(Sales_Data[[#This Row],[Date]],"yyyy-mm")</f>
        <v>2025-07</v>
      </c>
    </row>
    <row r="1448" spans="1:10" x14ac:dyDescent="0.35">
      <c r="A1448" t="s">
        <v>1837</v>
      </c>
      <c r="B1448" s="3">
        <v>45850</v>
      </c>
      <c r="C1448" t="s">
        <v>57</v>
      </c>
      <c r="D1448" t="s">
        <v>369</v>
      </c>
      <c r="E1448" t="s">
        <v>403</v>
      </c>
      <c r="F1448">
        <v>5</v>
      </c>
      <c r="G1448" s="6">
        <v>243945</v>
      </c>
      <c r="H1448">
        <f>COUNTBLANK(Sales_Data[[#This Row],[Revenue]])</f>
        <v>0</v>
      </c>
      <c r="I1448">
        <f>COUNTBLANK(Sales_Data[[#This Row],[Quantity]])</f>
        <v>0</v>
      </c>
      <c r="J1448" t="str">
        <f>TEXT(Sales_Data[[#This Row],[Date]],"yyyy-mm")</f>
        <v>2025-07</v>
      </c>
    </row>
    <row r="1449" spans="1:10" x14ac:dyDescent="0.35">
      <c r="A1449" t="s">
        <v>1838</v>
      </c>
      <c r="B1449" s="3">
        <v>45777</v>
      </c>
      <c r="C1449" t="s">
        <v>45</v>
      </c>
      <c r="D1449" t="s">
        <v>137</v>
      </c>
      <c r="E1449" t="s">
        <v>389</v>
      </c>
      <c r="F1449">
        <v>3</v>
      </c>
      <c r="G1449" s="6">
        <v>23478</v>
      </c>
      <c r="H1449">
        <f>COUNTBLANK(Sales_Data[[#This Row],[Revenue]])</f>
        <v>0</v>
      </c>
      <c r="I1449">
        <f>COUNTBLANK(Sales_Data[[#This Row],[Quantity]])</f>
        <v>0</v>
      </c>
      <c r="J1449" t="str">
        <f>TEXT(Sales_Data[[#This Row],[Date]],"yyyy-mm")</f>
        <v>2025-04</v>
      </c>
    </row>
    <row r="1450" spans="1:10" x14ac:dyDescent="0.35">
      <c r="A1450" t="s">
        <v>1839</v>
      </c>
      <c r="B1450" s="3">
        <v>45960</v>
      </c>
      <c r="C1450" t="s">
        <v>16</v>
      </c>
      <c r="D1450" t="s">
        <v>365</v>
      </c>
      <c r="E1450" t="s">
        <v>403</v>
      </c>
      <c r="F1450">
        <v>3</v>
      </c>
      <c r="G1450" s="6">
        <v>95886</v>
      </c>
      <c r="H1450">
        <f>COUNTBLANK(Sales_Data[[#This Row],[Revenue]])</f>
        <v>0</v>
      </c>
      <c r="I1450">
        <f>COUNTBLANK(Sales_Data[[#This Row],[Quantity]])</f>
        <v>0</v>
      </c>
      <c r="J1450" t="str">
        <f>TEXT(Sales_Data[[#This Row],[Date]],"yyyy-mm")</f>
        <v>2025-10</v>
      </c>
    </row>
    <row r="1451" spans="1:10" x14ac:dyDescent="0.35">
      <c r="A1451" t="s">
        <v>1840</v>
      </c>
      <c r="B1451" s="3">
        <v>45777</v>
      </c>
      <c r="C1451" t="s">
        <v>10</v>
      </c>
      <c r="D1451" t="s">
        <v>329</v>
      </c>
      <c r="E1451" t="s">
        <v>387</v>
      </c>
      <c r="F1451">
        <v>3</v>
      </c>
      <c r="G1451" s="6">
        <v>13548</v>
      </c>
      <c r="H1451">
        <f>COUNTBLANK(Sales_Data[[#This Row],[Revenue]])</f>
        <v>0</v>
      </c>
      <c r="I1451">
        <f>COUNTBLANK(Sales_Data[[#This Row],[Quantity]])</f>
        <v>0</v>
      </c>
      <c r="J1451" t="str">
        <f>TEXT(Sales_Data[[#This Row],[Date]],"yyyy-mm")</f>
        <v>2025-04</v>
      </c>
    </row>
    <row r="1452" spans="1:10" x14ac:dyDescent="0.35">
      <c r="A1452" t="s">
        <v>1841</v>
      </c>
      <c r="B1452" s="3">
        <v>45809</v>
      </c>
      <c r="C1452" t="s">
        <v>19</v>
      </c>
      <c r="D1452" t="s">
        <v>299</v>
      </c>
      <c r="E1452" t="s">
        <v>394</v>
      </c>
      <c r="F1452">
        <v>9</v>
      </c>
      <c r="G1452" s="6">
        <v>379431</v>
      </c>
      <c r="H1452">
        <f>COUNTBLANK(Sales_Data[[#This Row],[Revenue]])</f>
        <v>0</v>
      </c>
      <c r="I1452">
        <f>COUNTBLANK(Sales_Data[[#This Row],[Quantity]])</f>
        <v>0</v>
      </c>
      <c r="J1452" t="str">
        <f>TEXT(Sales_Data[[#This Row],[Date]],"yyyy-mm")</f>
        <v>2025-06</v>
      </c>
    </row>
    <row r="1453" spans="1:10" x14ac:dyDescent="0.35">
      <c r="A1453" t="s">
        <v>1842</v>
      </c>
      <c r="B1453" s="3">
        <v>45931</v>
      </c>
      <c r="C1453" t="s">
        <v>21</v>
      </c>
      <c r="D1453" t="s">
        <v>149</v>
      </c>
      <c r="E1453" t="s">
        <v>403</v>
      </c>
      <c r="F1453">
        <v>1</v>
      </c>
      <c r="G1453" s="6">
        <v>15209</v>
      </c>
      <c r="H1453">
        <f>COUNTBLANK(Sales_Data[[#This Row],[Revenue]])</f>
        <v>0</v>
      </c>
      <c r="I1453">
        <f>COUNTBLANK(Sales_Data[[#This Row],[Quantity]])</f>
        <v>0</v>
      </c>
      <c r="J1453" t="str">
        <f>TEXT(Sales_Data[[#This Row],[Date]],"yyyy-mm")</f>
        <v>2025-10</v>
      </c>
    </row>
    <row r="1454" spans="1:10" x14ac:dyDescent="0.35">
      <c r="A1454" t="s">
        <v>1843</v>
      </c>
      <c r="B1454" s="3">
        <v>45694</v>
      </c>
      <c r="C1454" t="s">
        <v>13</v>
      </c>
      <c r="D1454" t="s">
        <v>81</v>
      </c>
      <c r="E1454" t="s">
        <v>403</v>
      </c>
      <c r="F1454">
        <v>6</v>
      </c>
      <c r="G1454" s="6">
        <v>181062</v>
      </c>
      <c r="H1454">
        <f>COUNTBLANK(Sales_Data[[#This Row],[Revenue]])</f>
        <v>0</v>
      </c>
      <c r="I1454">
        <f>COUNTBLANK(Sales_Data[[#This Row],[Quantity]])</f>
        <v>0</v>
      </c>
      <c r="J1454" t="str">
        <f>TEXT(Sales_Data[[#This Row],[Date]],"yyyy-mm")</f>
        <v>2025-02</v>
      </c>
    </row>
    <row r="1455" spans="1:10" x14ac:dyDescent="0.35">
      <c r="A1455" t="s">
        <v>1844</v>
      </c>
      <c r="B1455" s="3">
        <v>45969</v>
      </c>
      <c r="C1455" t="s">
        <v>39</v>
      </c>
      <c r="D1455" t="s">
        <v>367</v>
      </c>
      <c r="E1455" t="s">
        <v>389</v>
      </c>
      <c r="F1455">
        <v>9</v>
      </c>
      <c r="G1455" s="6">
        <v>434592</v>
      </c>
      <c r="H1455">
        <f>COUNTBLANK(Sales_Data[[#This Row],[Revenue]])</f>
        <v>0</v>
      </c>
      <c r="I1455">
        <f>COUNTBLANK(Sales_Data[[#This Row],[Quantity]])</f>
        <v>0</v>
      </c>
      <c r="J1455" t="str">
        <f>TEXT(Sales_Data[[#This Row],[Date]],"yyyy-mm")</f>
        <v>2025-11</v>
      </c>
    </row>
    <row r="1456" spans="1:10" x14ac:dyDescent="0.35">
      <c r="A1456" t="s">
        <v>1845</v>
      </c>
      <c r="B1456" s="3">
        <v>45755</v>
      </c>
      <c r="C1456" t="s">
        <v>33</v>
      </c>
      <c r="D1456" t="s">
        <v>287</v>
      </c>
      <c r="E1456" t="s">
        <v>387</v>
      </c>
      <c r="F1456">
        <v>8</v>
      </c>
      <c r="G1456" s="6">
        <v>290024</v>
      </c>
      <c r="H1456">
        <f>COUNTBLANK(Sales_Data[[#This Row],[Revenue]])</f>
        <v>0</v>
      </c>
      <c r="I1456">
        <f>COUNTBLANK(Sales_Data[[#This Row],[Quantity]])</f>
        <v>0</v>
      </c>
      <c r="J1456" t="str">
        <f>TEXT(Sales_Data[[#This Row],[Date]],"yyyy-mm")</f>
        <v>2025-04</v>
      </c>
    </row>
    <row r="1457" spans="1:10" x14ac:dyDescent="0.35">
      <c r="A1457" t="s">
        <v>1846</v>
      </c>
      <c r="B1457" s="3">
        <v>45891</v>
      </c>
      <c r="C1457" t="s">
        <v>57</v>
      </c>
      <c r="D1457" t="s">
        <v>375</v>
      </c>
      <c r="E1457" t="s">
        <v>391</v>
      </c>
      <c r="F1457">
        <v>5</v>
      </c>
      <c r="G1457" s="6">
        <v>243945</v>
      </c>
      <c r="H1457">
        <f>COUNTBLANK(Sales_Data[[#This Row],[Revenue]])</f>
        <v>0</v>
      </c>
      <c r="I1457">
        <f>COUNTBLANK(Sales_Data[[#This Row],[Quantity]])</f>
        <v>0</v>
      </c>
      <c r="J1457" t="str">
        <f>TEXT(Sales_Data[[#This Row],[Date]],"yyyy-mm")</f>
        <v>2025-08</v>
      </c>
    </row>
    <row r="1458" spans="1:10" x14ac:dyDescent="0.35">
      <c r="A1458" t="s">
        <v>1847</v>
      </c>
      <c r="B1458" s="3">
        <v>46012</v>
      </c>
      <c r="C1458" t="s">
        <v>65</v>
      </c>
      <c r="D1458" t="s">
        <v>245</v>
      </c>
      <c r="E1458" t="s">
        <v>391</v>
      </c>
      <c r="F1458">
        <v>10</v>
      </c>
      <c r="G1458" s="6">
        <v>5450</v>
      </c>
      <c r="H1458">
        <f>COUNTBLANK(Sales_Data[[#This Row],[Revenue]])</f>
        <v>0</v>
      </c>
      <c r="I1458">
        <f>COUNTBLANK(Sales_Data[[#This Row],[Quantity]])</f>
        <v>0</v>
      </c>
      <c r="J1458" t="str">
        <f>TEXT(Sales_Data[[#This Row],[Date]],"yyyy-mm")</f>
        <v>2025-12</v>
      </c>
    </row>
    <row r="1459" spans="1:10" x14ac:dyDescent="0.35">
      <c r="A1459" t="s">
        <v>1848</v>
      </c>
      <c r="B1459" s="3">
        <v>45949</v>
      </c>
      <c r="C1459" t="s">
        <v>27</v>
      </c>
      <c r="D1459" t="s">
        <v>189</v>
      </c>
      <c r="E1459" t="s">
        <v>389</v>
      </c>
      <c r="F1459">
        <v>8</v>
      </c>
      <c r="G1459" s="6">
        <v>301472</v>
      </c>
      <c r="H1459">
        <f>COUNTBLANK(Sales_Data[[#This Row],[Revenue]])</f>
        <v>0</v>
      </c>
      <c r="I1459">
        <f>COUNTBLANK(Sales_Data[[#This Row],[Quantity]])</f>
        <v>0</v>
      </c>
      <c r="J1459" t="str">
        <f>TEXT(Sales_Data[[#This Row],[Date]],"yyyy-mm")</f>
        <v>2025-10</v>
      </c>
    </row>
    <row r="1460" spans="1:10" x14ac:dyDescent="0.35">
      <c r="A1460" t="s">
        <v>1849</v>
      </c>
      <c r="B1460" s="3">
        <v>46007</v>
      </c>
      <c r="C1460" t="s">
        <v>21</v>
      </c>
      <c r="D1460" t="s">
        <v>181</v>
      </c>
      <c r="E1460" t="s">
        <v>403</v>
      </c>
      <c r="F1460">
        <v>4</v>
      </c>
      <c r="G1460" s="6">
        <v>60836</v>
      </c>
      <c r="H1460">
        <f>COUNTBLANK(Sales_Data[[#This Row],[Revenue]])</f>
        <v>0</v>
      </c>
      <c r="I1460">
        <f>COUNTBLANK(Sales_Data[[#This Row],[Quantity]])</f>
        <v>0</v>
      </c>
      <c r="J1460" t="str">
        <f>TEXT(Sales_Data[[#This Row],[Date]],"yyyy-mm")</f>
        <v>2025-12</v>
      </c>
    </row>
    <row r="1461" spans="1:10" x14ac:dyDescent="0.35">
      <c r="A1461" t="s">
        <v>1850</v>
      </c>
      <c r="B1461" s="3">
        <v>46011</v>
      </c>
      <c r="C1461" t="s">
        <v>49</v>
      </c>
      <c r="D1461" t="s">
        <v>251</v>
      </c>
      <c r="E1461" t="s">
        <v>387</v>
      </c>
      <c r="F1461">
        <v>6</v>
      </c>
      <c r="G1461" s="6">
        <v>273084</v>
      </c>
      <c r="H1461">
        <f>COUNTBLANK(Sales_Data[[#This Row],[Revenue]])</f>
        <v>0</v>
      </c>
      <c r="I1461">
        <f>COUNTBLANK(Sales_Data[[#This Row],[Quantity]])</f>
        <v>0</v>
      </c>
      <c r="J1461" t="str">
        <f>TEXT(Sales_Data[[#This Row],[Date]],"yyyy-mm")</f>
        <v>2025-12</v>
      </c>
    </row>
    <row r="1462" spans="1:10" x14ac:dyDescent="0.35">
      <c r="A1462" t="s">
        <v>1851</v>
      </c>
      <c r="B1462" s="3">
        <v>46021</v>
      </c>
      <c r="C1462" t="s">
        <v>51</v>
      </c>
      <c r="D1462" t="s">
        <v>81</v>
      </c>
      <c r="E1462" t="s">
        <v>394</v>
      </c>
      <c r="F1462">
        <v>4</v>
      </c>
      <c r="G1462" s="6">
        <v>125756</v>
      </c>
      <c r="H1462">
        <f>COUNTBLANK(Sales_Data[[#This Row],[Revenue]])</f>
        <v>0</v>
      </c>
      <c r="I1462">
        <f>COUNTBLANK(Sales_Data[[#This Row],[Quantity]])</f>
        <v>0</v>
      </c>
      <c r="J1462" t="str">
        <f>TEXT(Sales_Data[[#This Row],[Date]],"yyyy-mm")</f>
        <v>2025-12</v>
      </c>
    </row>
    <row r="1463" spans="1:10" x14ac:dyDescent="0.35">
      <c r="A1463" t="s">
        <v>1852</v>
      </c>
      <c r="B1463" s="3">
        <v>46016</v>
      </c>
      <c r="C1463" t="s">
        <v>16</v>
      </c>
      <c r="D1463" t="s">
        <v>227</v>
      </c>
      <c r="E1463" t="s">
        <v>389</v>
      </c>
      <c r="F1463">
        <v>1</v>
      </c>
      <c r="G1463" s="6">
        <v>31962</v>
      </c>
      <c r="H1463">
        <f>COUNTBLANK(Sales_Data[[#This Row],[Revenue]])</f>
        <v>0</v>
      </c>
      <c r="I1463">
        <f>COUNTBLANK(Sales_Data[[#This Row],[Quantity]])</f>
        <v>0</v>
      </c>
      <c r="J1463" t="str">
        <f>TEXT(Sales_Data[[#This Row],[Date]],"yyyy-mm")</f>
        <v>2025-12</v>
      </c>
    </row>
    <row r="1464" spans="1:10" x14ac:dyDescent="0.35">
      <c r="A1464" t="s">
        <v>1853</v>
      </c>
      <c r="B1464" s="3">
        <v>45861</v>
      </c>
      <c r="C1464" t="s">
        <v>49</v>
      </c>
      <c r="D1464" t="s">
        <v>181</v>
      </c>
      <c r="E1464" t="s">
        <v>387</v>
      </c>
      <c r="F1464">
        <v>4</v>
      </c>
      <c r="G1464" s="6">
        <v>182056</v>
      </c>
      <c r="H1464">
        <f>COUNTBLANK(Sales_Data[[#This Row],[Revenue]])</f>
        <v>0</v>
      </c>
      <c r="I1464">
        <f>COUNTBLANK(Sales_Data[[#This Row],[Quantity]])</f>
        <v>0</v>
      </c>
      <c r="J1464" t="str">
        <f>TEXT(Sales_Data[[#This Row],[Date]],"yyyy-mm")</f>
        <v>2025-07</v>
      </c>
    </row>
    <row r="1465" spans="1:10" x14ac:dyDescent="0.35">
      <c r="A1465" t="s">
        <v>1854</v>
      </c>
      <c r="B1465" s="3">
        <v>45917</v>
      </c>
      <c r="C1465" t="s">
        <v>13</v>
      </c>
      <c r="D1465" t="s">
        <v>78</v>
      </c>
      <c r="E1465" t="s">
        <v>403</v>
      </c>
      <c r="F1465">
        <v>1</v>
      </c>
      <c r="G1465" s="6">
        <v>30177</v>
      </c>
      <c r="H1465">
        <f>COUNTBLANK(Sales_Data[[#This Row],[Revenue]])</f>
        <v>0</v>
      </c>
      <c r="I1465">
        <f>COUNTBLANK(Sales_Data[[#This Row],[Quantity]])</f>
        <v>0</v>
      </c>
      <c r="J1465" t="str">
        <f>TEXT(Sales_Data[[#This Row],[Date]],"yyyy-mm")</f>
        <v>2025-09</v>
      </c>
    </row>
    <row r="1466" spans="1:10" x14ac:dyDescent="0.35">
      <c r="A1466" t="s">
        <v>1855</v>
      </c>
      <c r="B1466" s="3">
        <v>45693</v>
      </c>
      <c r="C1466" t="s">
        <v>49</v>
      </c>
      <c r="D1466" t="s">
        <v>355</v>
      </c>
      <c r="E1466" t="s">
        <v>391</v>
      </c>
      <c r="F1466">
        <v>4</v>
      </c>
      <c r="G1466" s="6">
        <v>182056</v>
      </c>
      <c r="H1466">
        <f>COUNTBLANK(Sales_Data[[#This Row],[Revenue]])</f>
        <v>0</v>
      </c>
      <c r="I1466">
        <f>COUNTBLANK(Sales_Data[[#This Row],[Quantity]])</f>
        <v>0</v>
      </c>
      <c r="J1466" t="str">
        <f>TEXT(Sales_Data[[#This Row],[Date]],"yyyy-mm")</f>
        <v>2025-02</v>
      </c>
    </row>
    <row r="1467" spans="1:10" x14ac:dyDescent="0.35">
      <c r="A1467" t="s">
        <v>1856</v>
      </c>
      <c r="B1467" s="3">
        <v>45867</v>
      </c>
      <c r="C1467" t="s">
        <v>13</v>
      </c>
      <c r="D1467" t="s">
        <v>327</v>
      </c>
      <c r="E1467" t="s">
        <v>394</v>
      </c>
      <c r="F1467">
        <v>1</v>
      </c>
      <c r="G1467" s="6">
        <v>30177</v>
      </c>
      <c r="H1467">
        <f>COUNTBLANK(Sales_Data[[#This Row],[Revenue]])</f>
        <v>0</v>
      </c>
      <c r="I1467">
        <f>COUNTBLANK(Sales_Data[[#This Row],[Quantity]])</f>
        <v>0</v>
      </c>
      <c r="J1467" t="str">
        <f>TEXT(Sales_Data[[#This Row],[Date]],"yyyy-mm")</f>
        <v>2025-07</v>
      </c>
    </row>
    <row r="1468" spans="1:10" x14ac:dyDescent="0.35">
      <c r="A1468" t="s">
        <v>1857</v>
      </c>
      <c r="B1468" s="3">
        <v>45691</v>
      </c>
      <c r="C1468" t="s">
        <v>21</v>
      </c>
      <c r="D1468" t="s">
        <v>175</v>
      </c>
      <c r="E1468" t="s">
        <v>403</v>
      </c>
      <c r="F1468">
        <v>8</v>
      </c>
      <c r="G1468" s="6">
        <v>121672</v>
      </c>
      <c r="H1468">
        <f>COUNTBLANK(Sales_Data[[#This Row],[Revenue]])</f>
        <v>0</v>
      </c>
      <c r="I1468">
        <f>COUNTBLANK(Sales_Data[[#This Row],[Quantity]])</f>
        <v>0</v>
      </c>
      <c r="J1468" t="str">
        <f>TEXT(Sales_Data[[#This Row],[Date]],"yyyy-mm")</f>
        <v>2025-02</v>
      </c>
    </row>
    <row r="1469" spans="1:10" x14ac:dyDescent="0.35">
      <c r="A1469" t="s">
        <v>1858</v>
      </c>
      <c r="B1469" s="3">
        <v>45894</v>
      </c>
      <c r="C1469" t="s">
        <v>67</v>
      </c>
      <c r="D1469" t="s">
        <v>211</v>
      </c>
      <c r="E1469" t="s">
        <v>387</v>
      </c>
      <c r="F1469">
        <v>8</v>
      </c>
      <c r="G1469" s="6">
        <v>172928</v>
      </c>
      <c r="H1469">
        <f>COUNTBLANK(Sales_Data[[#This Row],[Revenue]])</f>
        <v>0</v>
      </c>
      <c r="I1469">
        <f>COUNTBLANK(Sales_Data[[#This Row],[Quantity]])</f>
        <v>0</v>
      </c>
      <c r="J1469" t="str">
        <f>TEXT(Sales_Data[[#This Row],[Date]],"yyyy-mm")</f>
        <v>2025-08</v>
      </c>
    </row>
    <row r="1470" spans="1:10" x14ac:dyDescent="0.35">
      <c r="A1470" t="s">
        <v>1859</v>
      </c>
      <c r="B1470" s="3">
        <v>45981</v>
      </c>
      <c r="C1470" t="s">
        <v>51</v>
      </c>
      <c r="D1470" t="s">
        <v>291</v>
      </c>
      <c r="E1470" t="s">
        <v>387</v>
      </c>
      <c r="F1470">
        <v>3</v>
      </c>
      <c r="G1470" s="6">
        <v>94317</v>
      </c>
      <c r="H1470">
        <f>COUNTBLANK(Sales_Data[[#This Row],[Revenue]])</f>
        <v>0</v>
      </c>
      <c r="I1470">
        <f>COUNTBLANK(Sales_Data[[#This Row],[Quantity]])</f>
        <v>0</v>
      </c>
      <c r="J1470" t="str">
        <f>TEXT(Sales_Data[[#This Row],[Date]],"yyyy-mm")</f>
        <v>2025-11</v>
      </c>
    </row>
    <row r="1471" spans="1:10" x14ac:dyDescent="0.35">
      <c r="A1471" t="s">
        <v>1860</v>
      </c>
      <c r="B1471" s="3">
        <v>45806</v>
      </c>
      <c r="C1471" t="s">
        <v>13</v>
      </c>
      <c r="D1471" t="s">
        <v>227</v>
      </c>
      <c r="E1471" t="s">
        <v>391</v>
      </c>
      <c r="F1471">
        <v>2</v>
      </c>
      <c r="G1471" s="6">
        <v>60354</v>
      </c>
      <c r="H1471">
        <f>COUNTBLANK(Sales_Data[[#This Row],[Revenue]])</f>
        <v>0</v>
      </c>
      <c r="I1471">
        <f>COUNTBLANK(Sales_Data[[#This Row],[Quantity]])</f>
        <v>0</v>
      </c>
      <c r="J1471" t="str">
        <f>TEXT(Sales_Data[[#This Row],[Date]],"yyyy-mm")</f>
        <v>2025-05</v>
      </c>
    </row>
    <row r="1472" spans="1:10" x14ac:dyDescent="0.35">
      <c r="A1472" t="s">
        <v>1861</v>
      </c>
      <c r="B1472" s="3">
        <v>45685</v>
      </c>
      <c r="C1472" t="s">
        <v>10</v>
      </c>
      <c r="D1472" t="s">
        <v>88</v>
      </c>
      <c r="E1472" t="s">
        <v>389</v>
      </c>
      <c r="F1472">
        <v>4</v>
      </c>
      <c r="G1472" s="6">
        <v>18064</v>
      </c>
      <c r="H1472">
        <f>COUNTBLANK(Sales_Data[[#This Row],[Revenue]])</f>
        <v>0</v>
      </c>
      <c r="I1472">
        <f>COUNTBLANK(Sales_Data[[#This Row],[Quantity]])</f>
        <v>0</v>
      </c>
      <c r="J1472" t="str">
        <f>TEXT(Sales_Data[[#This Row],[Date]],"yyyy-mm")</f>
        <v>2025-01</v>
      </c>
    </row>
    <row r="1473" spans="1:10" x14ac:dyDescent="0.35">
      <c r="A1473" t="s">
        <v>1862</v>
      </c>
      <c r="B1473" s="3">
        <v>46019</v>
      </c>
      <c r="C1473" t="s">
        <v>13</v>
      </c>
      <c r="D1473" t="s">
        <v>163</v>
      </c>
      <c r="E1473" t="s">
        <v>387</v>
      </c>
      <c r="F1473">
        <v>5</v>
      </c>
      <c r="G1473" s="6">
        <v>150885</v>
      </c>
      <c r="H1473">
        <f>COUNTBLANK(Sales_Data[[#This Row],[Revenue]])</f>
        <v>0</v>
      </c>
      <c r="I1473">
        <f>COUNTBLANK(Sales_Data[[#This Row],[Quantity]])</f>
        <v>0</v>
      </c>
      <c r="J1473" t="str">
        <f>TEXT(Sales_Data[[#This Row],[Date]],"yyyy-mm")</f>
        <v>2025-12</v>
      </c>
    </row>
    <row r="1474" spans="1:10" x14ac:dyDescent="0.35">
      <c r="A1474" t="s">
        <v>1863</v>
      </c>
      <c r="B1474" s="3">
        <v>45877</v>
      </c>
      <c r="C1474" t="s">
        <v>27</v>
      </c>
      <c r="D1474" t="s">
        <v>379</v>
      </c>
      <c r="E1474" t="s">
        <v>394</v>
      </c>
      <c r="F1474">
        <v>10</v>
      </c>
      <c r="G1474" s="6">
        <v>376840</v>
      </c>
      <c r="H1474">
        <f>COUNTBLANK(Sales_Data[[#This Row],[Revenue]])</f>
        <v>0</v>
      </c>
      <c r="I1474">
        <f>COUNTBLANK(Sales_Data[[#This Row],[Quantity]])</f>
        <v>0</v>
      </c>
      <c r="J1474" t="str">
        <f>TEXT(Sales_Data[[#This Row],[Date]],"yyyy-mm")</f>
        <v>2025-08</v>
      </c>
    </row>
    <row r="1475" spans="1:10" x14ac:dyDescent="0.35">
      <c r="A1475" t="s">
        <v>1864</v>
      </c>
      <c r="B1475" s="3">
        <v>45923</v>
      </c>
      <c r="C1475" t="s">
        <v>19</v>
      </c>
      <c r="D1475" t="s">
        <v>131</v>
      </c>
      <c r="E1475" t="s">
        <v>389</v>
      </c>
      <c r="F1475">
        <v>9</v>
      </c>
      <c r="G1475" s="6">
        <v>379431</v>
      </c>
      <c r="H1475">
        <f>COUNTBLANK(Sales_Data[[#This Row],[Revenue]])</f>
        <v>0</v>
      </c>
      <c r="I1475">
        <f>COUNTBLANK(Sales_Data[[#This Row],[Quantity]])</f>
        <v>0</v>
      </c>
      <c r="J1475" t="str">
        <f>TEXT(Sales_Data[[#This Row],[Date]],"yyyy-mm")</f>
        <v>2025-09</v>
      </c>
    </row>
    <row r="1476" spans="1:10" x14ac:dyDescent="0.35">
      <c r="A1476" t="s">
        <v>1865</v>
      </c>
      <c r="B1476" s="3">
        <v>45891</v>
      </c>
      <c r="C1476" t="s">
        <v>21</v>
      </c>
      <c r="D1476" t="s">
        <v>295</v>
      </c>
      <c r="E1476" t="s">
        <v>394</v>
      </c>
      <c r="F1476">
        <v>5</v>
      </c>
      <c r="G1476" s="6">
        <v>76045</v>
      </c>
      <c r="H1476">
        <f>COUNTBLANK(Sales_Data[[#This Row],[Revenue]])</f>
        <v>0</v>
      </c>
      <c r="I1476">
        <f>COUNTBLANK(Sales_Data[[#This Row],[Quantity]])</f>
        <v>0</v>
      </c>
      <c r="J1476" t="str">
        <f>TEXT(Sales_Data[[#This Row],[Date]],"yyyy-mm")</f>
        <v>2025-08</v>
      </c>
    </row>
    <row r="1477" spans="1:10" x14ac:dyDescent="0.35">
      <c r="A1477" t="s">
        <v>1866</v>
      </c>
      <c r="B1477" s="3">
        <v>45761</v>
      </c>
      <c r="C1477" t="s">
        <v>37</v>
      </c>
      <c r="D1477" t="s">
        <v>91</v>
      </c>
      <c r="E1477" t="s">
        <v>403</v>
      </c>
      <c r="F1477">
        <v>9</v>
      </c>
      <c r="G1477" s="6">
        <v>17577</v>
      </c>
      <c r="H1477">
        <f>COUNTBLANK(Sales_Data[[#This Row],[Revenue]])</f>
        <v>0</v>
      </c>
      <c r="I1477">
        <f>COUNTBLANK(Sales_Data[[#This Row],[Quantity]])</f>
        <v>0</v>
      </c>
      <c r="J1477" t="str">
        <f>TEXT(Sales_Data[[#This Row],[Date]],"yyyy-mm")</f>
        <v>2025-04</v>
      </c>
    </row>
    <row r="1478" spans="1:10" x14ac:dyDescent="0.35">
      <c r="A1478" t="s">
        <v>1867</v>
      </c>
      <c r="B1478" s="3">
        <v>45923</v>
      </c>
      <c r="C1478" t="s">
        <v>37</v>
      </c>
      <c r="D1478" t="s">
        <v>151</v>
      </c>
      <c r="E1478" t="s">
        <v>391</v>
      </c>
      <c r="F1478">
        <v>2</v>
      </c>
      <c r="G1478" s="6">
        <v>3906</v>
      </c>
      <c r="H1478">
        <f>COUNTBLANK(Sales_Data[[#This Row],[Revenue]])</f>
        <v>0</v>
      </c>
      <c r="I1478">
        <f>COUNTBLANK(Sales_Data[[#This Row],[Quantity]])</f>
        <v>0</v>
      </c>
      <c r="J1478" t="str">
        <f>TEXT(Sales_Data[[#This Row],[Date]],"yyyy-mm")</f>
        <v>2025-09</v>
      </c>
    </row>
    <row r="1479" spans="1:10" x14ac:dyDescent="0.35">
      <c r="A1479" t="s">
        <v>1868</v>
      </c>
      <c r="B1479" s="3">
        <v>45762</v>
      </c>
      <c r="C1479" t="s">
        <v>7</v>
      </c>
      <c r="D1479" t="s">
        <v>221</v>
      </c>
      <c r="E1479" t="s">
        <v>387</v>
      </c>
      <c r="F1479">
        <v>5</v>
      </c>
      <c r="G1479" s="6">
        <v>130665</v>
      </c>
      <c r="H1479">
        <f>COUNTBLANK(Sales_Data[[#This Row],[Revenue]])</f>
        <v>0</v>
      </c>
      <c r="I1479">
        <f>COUNTBLANK(Sales_Data[[#This Row],[Quantity]])</f>
        <v>0</v>
      </c>
      <c r="J1479" t="str">
        <f>TEXT(Sales_Data[[#This Row],[Date]],"yyyy-mm")</f>
        <v>2025-04</v>
      </c>
    </row>
    <row r="1480" spans="1:10" x14ac:dyDescent="0.35">
      <c r="A1480" t="s">
        <v>1869</v>
      </c>
      <c r="B1480" s="3">
        <v>45994</v>
      </c>
      <c r="C1480" t="s">
        <v>47</v>
      </c>
      <c r="D1480" t="s">
        <v>205</v>
      </c>
      <c r="E1480" t="s">
        <v>387</v>
      </c>
      <c r="F1480">
        <v>5</v>
      </c>
      <c r="G1480" s="6">
        <v>110310</v>
      </c>
      <c r="H1480">
        <f>COUNTBLANK(Sales_Data[[#This Row],[Revenue]])</f>
        <v>0</v>
      </c>
      <c r="I1480">
        <f>COUNTBLANK(Sales_Data[[#This Row],[Quantity]])</f>
        <v>0</v>
      </c>
      <c r="J1480" t="str">
        <f>TEXT(Sales_Data[[#This Row],[Date]],"yyyy-mm")</f>
        <v>2025-12</v>
      </c>
    </row>
    <row r="1481" spans="1:10" x14ac:dyDescent="0.35">
      <c r="A1481" t="s">
        <v>1870</v>
      </c>
      <c r="B1481" s="3">
        <v>45851</v>
      </c>
      <c r="C1481" t="s">
        <v>63</v>
      </c>
      <c r="D1481" t="s">
        <v>215</v>
      </c>
      <c r="E1481" t="s">
        <v>387</v>
      </c>
      <c r="F1481">
        <v>8</v>
      </c>
      <c r="G1481" s="6">
        <v>70144</v>
      </c>
      <c r="H1481">
        <f>COUNTBLANK(Sales_Data[[#This Row],[Revenue]])</f>
        <v>0</v>
      </c>
      <c r="I1481">
        <f>COUNTBLANK(Sales_Data[[#This Row],[Quantity]])</f>
        <v>0</v>
      </c>
      <c r="J1481" t="str">
        <f>TEXT(Sales_Data[[#This Row],[Date]],"yyyy-mm")</f>
        <v>2025-07</v>
      </c>
    </row>
    <row r="1482" spans="1:10" x14ac:dyDescent="0.35">
      <c r="A1482" t="s">
        <v>1871</v>
      </c>
      <c r="B1482" s="3">
        <v>45674</v>
      </c>
      <c r="C1482" t="s">
        <v>51</v>
      </c>
      <c r="D1482" t="s">
        <v>361</v>
      </c>
      <c r="E1482" t="s">
        <v>389</v>
      </c>
      <c r="F1482">
        <v>1</v>
      </c>
      <c r="G1482" s="6">
        <v>31439</v>
      </c>
      <c r="H1482">
        <f>COUNTBLANK(Sales_Data[[#This Row],[Revenue]])</f>
        <v>0</v>
      </c>
      <c r="I1482">
        <f>COUNTBLANK(Sales_Data[[#This Row],[Quantity]])</f>
        <v>0</v>
      </c>
      <c r="J1482" t="str">
        <f>TEXT(Sales_Data[[#This Row],[Date]],"yyyy-mm")</f>
        <v>2025-01</v>
      </c>
    </row>
    <row r="1483" spans="1:10" x14ac:dyDescent="0.35">
      <c r="A1483" t="s">
        <v>1872</v>
      </c>
      <c r="B1483" s="3">
        <v>45902</v>
      </c>
      <c r="C1483" t="s">
        <v>37</v>
      </c>
      <c r="D1483" t="s">
        <v>257</v>
      </c>
      <c r="E1483" t="s">
        <v>403</v>
      </c>
      <c r="F1483">
        <v>1</v>
      </c>
      <c r="G1483" s="6">
        <v>1953</v>
      </c>
      <c r="H1483">
        <f>COUNTBLANK(Sales_Data[[#This Row],[Revenue]])</f>
        <v>0</v>
      </c>
      <c r="I1483">
        <f>COUNTBLANK(Sales_Data[[#This Row],[Quantity]])</f>
        <v>0</v>
      </c>
      <c r="J1483" t="str">
        <f>TEXT(Sales_Data[[#This Row],[Date]],"yyyy-mm")</f>
        <v>2025-09</v>
      </c>
    </row>
    <row r="1484" spans="1:10" x14ac:dyDescent="0.35">
      <c r="A1484" t="s">
        <v>1873</v>
      </c>
      <c r="B1484" s="3">
        <v>46016</v>
      </c>
      <c r="C1484" t="s">
        <v>67</v>
      </c>
      <c r="D1484" t="s">
        <v>317</v>
      </c>
      <c r="E1484" t="s">
        <v>391</v>
      </c>
      <c r="F1484">
        <v>7</v>
      </c>
      <c r="G1484" s="6">
        <v>151312</v>
      </c>
      <c r="H1484">
        <f>COUNTBLANK(Sales_Data[[#This Row],[Revenue]])</f>
        <v>0</v>
      </c>
      <c r="I1484">
        <f>COUNTBLANK(Sales_Data[[#This Row],[Quantity]])</f>
        <v>0</v>
      </c>
      <c r="J1484" t="str">
        <f>TEXT(Sales_Data[[#This Row],[Date]],"yyyy-mm")</f>
        <v>2025-12</v>
      </c>
    </row>
    <row r="1485" spans="1:10" x14ac:dyDescent="0.35">
      <c r="A1485" t="s">
        <v>1874</v>
      </c>
      <c r="B1485" s="3">
        <v>45758</v>
      </c>
      <c r="C1485" t="s">
        <v>45</v>
      </c>
      <c r="D1485" t="s">
        <v>125</v>
      </c>
      <c r="E1485" t="s">
        <v>387</v>
      </c>
      <c r="F1485">
        <v>7</v>
      </c>
      <c r="G1485" s="6">
        <v>54782</v>
      </c>
      <c r="H1485">
        <f>COUNTBLANK(Sales_Data[[#This Row],[Revenue]])</f>
        <v>0</v>
      </c>
      <c r="I1485">
        <f>COUNTBLANK(Sales_Data[[#This Row],[Quantity]])</f>
        <v>0</v>
      </c>
      <c r="J1485" t="str">
        <f>TEXT(Sales_Data[[#This Row],[Date]],"yyyy-mm")</f>
        <v>2025-04</v>
      </c>
    </row>
    <row r="1486" spans="1:10" x14ac:dyDescent="0.35">
      <c r="A1486" t="s">
        <v>1875</v>
      </c>
      <c r="B1486" s="3">
        <v>45871</v>
      </c>
      <c r="C1486" t="s">
        <v>55</v>
      </c>
      <c r="D1486" t="s">
        <v>249</v>
      </c>
      <c r="E1486" t="s">
        <v>391</v>
      </c>
      <c r="F1486">
        <v>7</v>
      </c>
      <c r="G1486" s="6">
        <v>79905</v>
      </c>
      <c r="H1486">
        <f>COUNTBLANK(Sales_Data[[#This Row],[Revenue]])</f>
        <v>0</v>
      </c>
      <c r="I1486">
        <f>COUNTBLANK(Sales_Data[[#This Row],[Quantity]])</f>
        <v>0</v>
      </c>
      <c r="J1486" t="str">
        <f>TEXT(Sales_Data[[#This Row],[Date]],"yyyy-mm")</f>
        <v>2025-08</v>
      </c>
    </row>
    <row r="1487" spans="1:10" x14ac:dyDescent="0.35">
      <c r="A1487" t="s">
        <v>1876</v>
      </c>
      <c r="B1487" s="3">
        <v>45757</v>
      </c>
      <c r="C1487" t="s">
        <v>16</v>
      </c>
      <c r="D1487" t="s">
        <v>191</v>
      </c>
      <c r="E1487" t="s">
        <v>389</v>
      </c>
      <c r="F1487">
        <v>4</v>
      </c>
      <c r="G1487" s="6">
        <v>127848</v>
      </c>
      <c r="H1487">
        <f>COUNTBLANK(Sales_Data[[#This Row],[Revenue]])</f>
        <v>0</v>
      </c>
      <c r="I1487">
        <f>COUNTBLANK(Sales_Data[[#This Row],[Quantity]])</f>
        <v>0</v>
      </c>
      <c r="J1487" t="str">
        <f>TEXT(Sales_Data[[#This Row],[Date]],"yyyy-mm")</f>
        <v>2025-04</v>
      </c>
    </row>
    <row r="1488" spans="1:10" x14ac:dyDescent="0.35">
      <c r="A1488" t="s">
        <v>1877</v>
      </c>
      <c r="B1488" s="3">
        <v>45693</v>
      </c>
      <c r="C1488" t="s">
        <v>31</v>
      </c>
      <c r="D1488" t="s">
        <v>253</v>
      </c>
      <c r="E1488" t="s">
        <v>394</v>
      </c>
      <c r="F1488">
        <v>9</v>
      </c>
      <c r="G1488" s="6">
        <v>269694</v>
      </c>
      <c r="H1488">
        <f>COUNTBLANK(Sales_Data[[#This Row],[Revenue]])</f>
        <v>0</v>
      </c>
      <c r="I1488">
        <f>COUNTBLANK(Sales_Data[[#This Row],[Quantity]])</f>
        <v>0</v>
      </c>
      <c r="J1488" t="str">
        <f>TEXT(Sales_Data[[#This Row],[Date]],"yyyy-mm")</f>
        <v>2025-02</v>
      </c>
    </row>
    <row r="1489" spans="1:10" x14ac:dyDescent="0.35">
      <c r="A1489" t="s">
        <v>1878</v>
      </c>
      <c r="B1489" s="3">
        <v>45920</v>
      </c>
      <c r="C1489" t="s">
        <v>57</v>
      </c>
      <c r="D1489" t="s">
        <v>88</v>
      </c>
      <c r="E1489" t="s">
        <v>394</v>
      </c>
      <c r="F1489">
        <v>1</v>
      </c>
      <c r="G1489" s="6">
        <v>48789</v>
      </c>
      <c r="H1489">
        <f>COUNTBLANK(Sales_Data[[#This Row],[Revenue]])</f>
        <v>0</v>
      </c>
      <c r="I1489">
        <f>COUNTBLANK(Sales_Data[[#This Row],[Quantity]])</f>
        <v>0</v>
      </c>
      <c r="J1489" t="str">
        <f>TEXT(Sales_Data[[#This Row],[Date]],"yyyy-mm")</f>
        <v>2025-09</v>
      </c>
    </row>
    <row r="1490" spans="1:10" x14ac:dyDescent="0.35">
      <c r="A1490" t="s">
        <v>1879</v>
      </c>
      <c r="B1490" s="3">
        <v>45711</v>
      </c>
      <c r="C1490" t="s">
        <v>19</v>
      </c>
      <c r="D1490" t="s">
        <v>311</v>
      </c>
      <c r="E1490" t="s">
        <v>391</v>
      </c>
      <c r="F1490">
        <v>10</v>
      </c>
      <c r="G1490" s="6">
        <v>421590</v>
      </c>
      <c r="H1490">
        <f>COUNTBLANK(Sales_Data[[#This Row],[Revenue]])</f>
        <v>0</v>
      </c>
      <c r="I1490">
        <f>COUNTBLANK(Sales_Data[[#This Row],[Quantity]])</f>
        <v>0</v>
      </c>
      <c r="J1490" t="str">
        <f>TEXT(Sales_Data[[#This Row],[Date]],"yyyy-mm")</f>
        <v>2025-02</v>
      </c>
    </row>
    <row r="1491" spans="1:10" x14ac:dyDescent="0.35">
      <c r="A1491" t="s">
        <v>1880</v>
      </c>
      <c r="B1491" s="3">
        <v>45880</v>
      </c>
      <c r="C1491" t="s">
        <v>63</v>
      </c>
      <c r="D1491" t="s">
        <v>95</v>
      </c>
      <c r="E1491" t="s">
        <v>389</v>
      </c>
      <c r="F1491">
        <v>3</v>
      </c>
      <c r="G1491" s="6">
        <v>26304</v>
      </c>
      <c r="H1491">
        <f>COUNTBLANK(Sales_Data[[#This Row],[Revenue]])</f>
        <v>0</v>
      </c>
      <c r="I1491">
        <f>COUNTBLANK(Sales_Data[[#This Row],[Quantity]])</f>
        <v>0</v>
      </c>
      <c r="J1491" t="str">
        <f>TEXT(Sales_Data[[#This Row],[Date]],"yyyy-mm")</f>
        <v>2025-08</v>
      </c>
    </row>
    <row r="1492" spans="1:10" x14ac:dyDescent="0.35">
      <c r="A1492" t="s">
        <v>1881</v>
      </c>
      <c r="B1492" s="3">
        <v>45843</v>
      </c>
      <c r="C1492" t="s">
        <v>10</v>
      </c>
      <c r="D1492" t="s">
        <v>325</v>
      </c>
      <c r="E1492" t="s">
        <v>394</v>
      </c>
      <c r="F1492">
        <v>4</v>
      </c>
      <c r="G1492" s="6">
        <v>18064</v>
      </c>
      <c r="H1492">
        <f>COUNTBLANK(Sales_Data[[#This Row],[Revenue]])</f>
        <v>0</v>
      </c>
      <c r="I1492">
        <f>COUNTBLANK(Sales_Data[[#This Row],[Quantity]])</f>
        <v>0</v>
      </c>
      <c r="J1492" t="str">
        <f>TEXT(Sales_Data[[#This Row],[Date]],"yyyy-mm")</f>
        <v>2025-07</v>
      </c>
    </row>
    <row r="1493" spans="1:10" x14ac:dyDescent="0.35">
      <c r="A1493" t="s">
        <v>1882</v>
      </c>
      <c r="B1493" s="3">
        <v>45760</v>
      </c>
      <c r="C1493" t="s">
        <v>29</v>
      </c>
      <c r="D1493" t="s">
        <v>113</v>
      </c>
      <c r="E1493" t="s">
        <v>394</v>
      </c>
      <c r="F1493">
        <v>3</v>
      </c>
      <c r="G1493" s="6">
        <v>127932</v>
      </c>
      <c r="H1493">
        <f>COUNTBLANK(Sales_Data[[#This Row],[Revenue]])</f>
        <v>0</v>
      </c>
      <c r="I1493">
        <f>COUNTBLANK(Sales_Data[[#This Row],[Quantity]])</f>
        <v>0</v>
      </c>
      <c r="J1493" t="str">
        <f>TEXT(Sales_Data[[#This Row],[Date]],"yyyy-mm")</f>
        <v>2025-04</v>
      </c>
    </row>
    <row r="1494" spans="1:10" x14ac:dyDescent="0.35">
      <c r="A1494" t="s">
        <v>1883</v>
      </c>
      <c r="B1494" s="3">
        <v>45741</v>
      </c>
      <c r="C1494" t="s">
        <v>23</v>
      </c>
      <c r="D1494" t="s">
        <v>243</v>
      </c>
      <c r="E1494" t="s">
        <v>391</v>
      </c>
      <c r="F1494">
        <v>4</v>
      </c>
      <c r="G1494" s="6">
        <v>24276</v>
      </c>
      <c r="H1494">
        <f>COUNTBLANK(Sales_Data[[#This Row],[Revenue]])</f>
        <v>0</v>
      </c>
      <c r="I1494">
        <f>COUNTBLANK(Sales_Data[[#This Row],[Quantity]])</f>
        <v>0</v>
      </c>
      <c r="J1494" t="str">
        <f>TEXT(Sales_Data[[#This Row],[Date]],"yyyy-mm")</f>
        <v>2025-03</v>
      </c>
    </row>
    <row r="1495" spans="1:10" x14ac:dyDescent="0.35">
      <c r="A1495" t="s">
        <v>1884</v>
      </c>
      <c r="B1495" s="3">
        <v>45845</v>
      </c>
      <c r="C1495" t="s">
        <v>10</v>
      </c>
      <c r="D1495" t="s">
        <v>147</v>
      </c>
      <c r="E1495" t="s">
        <v>387</v>
      </c>
      <c r="F1495">
        <v>3</v>
      </c>
      <c r="G1495" s="6">
        <v>13548</v>
      </c>
      <c r="H1495">
        <f>COUNTBLANK(Sales_Data[[#This Row],[Revenue]])</f>
        <v>0</v>
      </c>
      <c r="I1495">
        <f>COUNTBLANK(Sales_Data[[#This Row],[Quantity]])</f>
        <v>0</v>
      </c>
      <c r="J1495" t="str">
        <f>TEXT(Sales_Data[[#This Row],[Date]],"yyyy-mm")</f>
        <v>2025-07</v>
      </c>
    </row>
    <row r="1496" spans="1:10" x14ac:dyDescent="0.35">
      <c r="A1496" t="s">
        <v>1885</v>
      </c>
      <c r="B1496" s="3">
        <v>45834</v>
      </c>
      <c r="C1496" t="s">
        <v>23</v>
      </c>
      <c r="D1496" t="s">
        <v>335</v>
      </c>
      <c r="E1496" t="s">
        <v>394</v>
      </c>
      <c r="F1496">
        <v>5</v>
      </c>
      <c r="G1496" s="6">
        <v>30345</v>
      </c>
      <c r="H1496">
        <f>COUNTBLANK(Sales_Data[[#This Row],[Revenue]])</f>
        <v>0</v>
      </c>
      <c r="I1496">
        <f>COUNTBLANK(Sales_Data[[#This Row],[Quantity]])</f>
        <v>0</v>
      </c>
      <c r="J1496" t="str">
        <f>TEXT(Sales_Data[[#This Row],[Date]],"yyyy-mm")</f>
        <v>2025-06</v>
      </c>
    </row>
    <row r="1497" spans="1:10" x14ac:dyDescent="0.35">
      <c r="A1497" t="s">
        <v>1886</v>
      </c>
      <c r="B1497" s="3">
        <v>45995</v>
      </c>
      <c r="C1497" t="s">
        <v>45</v>
      </c>
      <c r="D1497" t="s">
        <v>161</v>
      </c>
      <c r="E1497" t="s">
        <v>387</v>
      </c>
      <c r="F1497">
        <v>7</v>
      </c>
      <c r="G1497" s="6">
        <v>54782</v>
      </c>
      <c r="H1497">
        <f>COUNTBLANK(Sales_Data[[#This Row],[Revenue]])</f>
        <v>0</v>
      </c>
      <c r="I1497">
        <f>COUNTBLANK(Sales_Data[[#This Row],[Quantity]])</f>
        <v>0</v>
      </c>
      <c r="J1497" t="str">
        <f>TEXT(Sales_Data[[#This Row],[Date]],"yyyy-mm")</f>
        <v>2025-12</v>
      </c>
    </row>
    <row r="1498" spans="1:10" x14ac:dyDescent="0.35">
      <c r="A1498" t="s">
        <v>1887</v>
      </c>
      <c r="B1498" s="3">
        <v>45669</v>
      </c>
      <c r="C1498" t="s">
        <v>65</v>
      </c>
      <c r="D1498" t="s">
        <v>74</v>
      </c>
      <c r="E1498" t="s">
        <v>391</v>
      </c>
      <c r="F1498">
        <v>1</v>
      </c>
      <c r="G1498" s="6">
        <v>545</v>
      </c>
      <c r="H1498">
        <f>COUNTBLANK(Sales_Data[[#This Row],[Revenue]])</f>
        <v>0</v>
      </c>
      <c r="I1498">
        <f>COUNTBLANK(Sales_Data[[#This Row],[Quantity]])</f>
        <v>0</v>
      </c>
      <c r="J1498" t="str">
        <f>TEXT(Sales_Data[[#This Row],[Date]],"yyyy-mm")</f>
        <v>2025-01</v>
      </c>
    </row>
    <row r="1499" spans="1:10" x14ac:dyDescent="0.35">
      <c r="A1499" t="s">
        <v>1888</v>
      </c>
      <c r="B1499" s="3">
        <v>45668</v>
      </c>
      <c r="C1499" t="s">
        <v>23</v>
      </c>
      <c r="D1499" t="s">
        <v>277</v>
      </c>
      <c r="E1499" t="s">
        <v>389</v>
      </c>
      <c r="F1499">
        <v>9</v>
      </c>
      <c r="G1499" s="6">
        <v>54621</v>
      </c>
      <c r="H1499">
        <f>COUNTBLANK(Sales_Data[[#This Row],[Revenue]])</f>
        <v>0</v>
      </c>
      <c r="I1499">
        <f>COUNTBLANK(Sales_Data[[#This Row],[Quantity]])</f>
        <v>0</v>
      </c>
      <c r="J1499" t="str">
        <f>TEXT(Sales_Data[[#This Row],[Date]],"yyyy-mm")</f>
        <v>2025-01</v>
      </c>
    </row>
    <row r="1500" spans="1:10" x14ac:dyDescent="0.35">
      <c r="A1500" t="s">
        <v>1889</v>
      </c>
      <c r="B1500" s="3">
        <v>45970</v>
      </c>
      <c r="C1500" t="s">
        <v>33</v>
      </c>
      <c r="D1500" t="s">
        <v>297</v>
      </c>
      <c r="E1500" t="s">
        <v>389</v>
      </c>
      <c r="F1500">
        <v>10</v>
      </c>
      <c r="G1500" s="6">
        <v>362530</v>
      </c>
      <c r="H1500">
        <f>COUNTBLANK(Sales_Data[[#This Row],[Revenue]])</f>
        <v>0</v>
      </c>
      <c r="I1500">
        <f>COUNTBLANK(Sales_Data[[#This Row],[Quantity]])</f>
        <v>0</v>
      </c>
      <c r="J1500" t="str">
        <f>TEXT(Sales_Data[[#This Row],[Date]],"yyyy-mm")</f>
        <v>2025-11</v>
      </c>
    </row>
    <row r="1501" spans="1:10" x14ac:dyDescent="0.35">
      <c r="A1501" t="s">
        <v>1890</v>
      </c>
      <c r="B1501" s="3">
        <v>46020</v>
      </c>
      <c r="C1501" t="s">
        <v>63</v>
      </c>
      <c r="D1501" t="s">
        <v>123</v>
      </c>
      <c r="E1501" t="s">
        <v>391</v>
      </c>
      <c r="F1501">
        <v>10</v>
      </c>
      <c r="G1501" s="6">
        <v>87680</v>
      </c>
      <c r="H1501">
        <f>COUNTBLANK(Sales_Data[[#This Row],[Revenue]])</f>
        <v>0</v>
      </c>
      <c r="I1501">
        <f>COUNTBLANK(Sales_Data[[#This Row],[Quantity]])</f>
        <v>0</v>
      </c>
      <c r="J1501" t="str">
        <f>TEXT(Sales_Data[[#This Row],[Date]],"yyyy-mm")</f>
        <v>2025-12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3CDA-B2E6-4936-A2F9-17F5C7C35EC8}">
  <dimension ref="A1:F151"/>
  <sheetViews>
    <sheetView workbookViewId="0">
      <selection activeCell="E40" sqref="E40"/>
    </sheetView>
  </sheetViews>
  <sheetFormatPr defaultRowHeight="14.5" x14ac:dyDescent="0.35"/>
  <cols>
    <col min="1" max="1" width="13.08984375" bestFit="1" customWidth="1"/>
    <col min="2" max="2" width="16.26953125" bestFit="1" customWidth="1"/>
    <col min="3" max="3" width="13.36328125" bestFit="1" customWidth="1"/>
    <col min="4" max="4" width="8.36328125" bestFit="1" customWidth="1"/>
    <col min="5" max="5" width="11.1796875" style="6" bestFit="1" customWidth="1"/>
    <col min="6" max="6" width="12.1796875" bestFit="1" customWidth="1"/>
  </cols>
  <sheetData>
    <row r="1" spans="1:6" x14ac:dyDescent="0.35">
      <c r="A1" t="s">
        <v>69</v>
      </c>
      <c r="B1" t="s">
        <v>70</v>
      </c>
      <c r="C1" t="s">
        <v>71</v>
      </c>
      <c r="D1" t="s">
        <v>72</v>
      </c>
      <c r="E1" s="6" t="s">
        <v>73</v>
      </c>
      <c r="F1" t="s">
        <v>1907</v>
      </c>
    </row>
    <row r="2" spans="1:6" x14ac:dyDescent="0.35">
      <c r="A2" t="s">
        <v>74</v>
      </c>
      <c r="B2" t="s">
        <v>75</v>
      </c>
      <c r="C2" t="s">
        <v>76</v>
      </c>
      <c r="D2" t="s">
        <v>77</v>
      </c>
      <c r="E2" s="6">
        <v>37175</v>
      </c>
      <c r="F2">
        <f t="shared" ref="F2:F33" si="0">IF(D3="Active",1,0)</f>
        <v>1</v>
      </c>
    </row>
    <row r="3" spans="1:6" x14ac:dyDescent="0.35">
      <c r="A3" t="s">
        <v>78</v>
      </c>
      <c r="B3" t="s">
        <v>79</v>
      </c>
      <c r="C3" t="s">
        <v>80</v>
      </c>
      <c r="D3" t="s">
        <v>77</v>
      </c>
      <c r="E3" s="6">
        <v>34143</v>
      </c>
      <c r="F3">
        <f t="shared" si="0"/>
        <v>1</v>
      </c>
    </row>
    <row r="4" spans="1:6" x14ac:dyDescent="0.35">
      <c r="A4" t="s">
        <v>81</v>
      </c>
      <c r="B4" t="s">
        <v>82</v>
      </c>
      <c r="C4" t="s">
        <v>83</v>
      </c>
      <c r="D4" t="s">
        <v>77</v>
      </c>
      <c r="E4" s="6">
        <v>28164</v>
      </c>
      <c r="F4">
        <f t="shared" si="0"/>
        <v>0</v>
      </c>
    </row>
    <row r="5" spans="1:6" x14ac:dyDescent="0.35">
      <c r="A5" t="s">
        <v>84</v>
      </c>
      <c r="B5" t="s">
        <v>85</v>
      </c>
      <c r="C5" t="s">
        <v>86</v>
      </c>
      <c r="D5" t="s">
        <v>87</v>
      </c>
      <c r="E5" s="6">
        <v>71374</v>
      </c>
      <c r="F5">
        <f t="shared" si="0"/>
        <v>1</v>
      </c>
    </row>
    <row r="6" spans="1:6" x14ac:dyDescent="0.35">
      <c r="A6" t="s">
        <v>88</v>
      </c>
      <c r="B6" t="s">
        <v>89</v>
      </c>
      <c r="C6" t="s">
        <v>90</v>
      </c>
      <c r="D6" t="s">
        <v>77</v>
      </c>
      <c r="E6" s="6">
        <v>81591</v>
      </c>
      <c r="F6">
        <f t="shared" si="0"/>
        <v>1</v>
      </c>
    </row>
    <row r="7" spans="1:6" x14ac:dyDescent="0.35">
      <c r="A7" t="s">
        <v>91</v>
      </c>
      <c r="B7" t="s">
        <v>92</v>
      </c>
      <c r="C7" t="s">
        <v>76</v>
      </c>
      <c r="D7" t="s">
        <v>77</v>
      </c>
      <c r="E7" s="6">
        <v>81025</v>
      </c>
      <c r="F7">
        <f t="shared" si="0"/>
        <v>0</v>
      </c>
    </row>
    <row r="8" spans="1:6" x14ac:dyDescent="0.35">
      <c r="A8" t="s">
        <v>93</v>
      </c>
      <c r="B8" t="s">
        <v>94</v>
      </c>
      <c r="C8" t="s">
        <v>80</v>
      </c>
      <c r="D8" t="s">
        <v>87</v>
      </c>
      <c r="E8" s="6">
        <v>39481</v>
      </c>
      <c r="F8">
        <f t="shared" si="0"/>
        <v>1</v>
      </c>
    </row>
    <row r="9" spans="1:6" x14ac:dyDescent="0.35">
      <c r="A9" t="s">
        <v>95</v>
      </c>
      <c r="B9" t="s">
        <v>96</v>
      </c>
      <c r="C9" t="s">
        <v>83</v>
      </c>
      <c r="D9" t="s">
        <v>77</v>
      </c>
      <c r="E9" s="6">
        <v>57704</v>
      </c>
      <c r="F9">
        <f t="shared" si="0"/>
        <v>1</v>
      </c>
    </row>
    <row r="10" spans="1:6" x14ac:dyDescent="0.35">
      <c r="A10" t="s">
        <v>97</v>
      </c>
      <c r="B10" t="s">
        <v>98</v>
      </c>
      <c r="C10" t="s">
        <v>86</v>
      </c>
      <c r="D10" t="s">
        <v>77</v>
      </c>
      <c r="E10" s="6">
        <v>50243</v>
      </c>
      <c r="F10">
        <f t="shared" si="0"/>
        <v>1</v>
      </c>
    </row>
    <row r="11" spans="1:6" x14ac:dyDescent="0.35">
      <c r="A11" t="s">
        <v>99</v>
      </c>
      <c r="B11" t="s">
        <v>100</v>
      </c>
      <c r="C11" t="s">
        <v>90</v>
      </c>
      <c r="D11" t="s">
        <v>77</v>
      </c>
      <c r="E11" s="6">
        <v>89405</v>
      </c>
      <c r="F11">
        <f t="shared" si="0"/>
        <v>1</v>
      </c>
    </row>
    <row r="12" spans="1:6" x14ac:dyDescent="0.35">
      <c r="A12" t="s">
        <v>101</v>
      </c>
      <c r="B12" t="s">
        <v>102</v>
      </c>
      <c r="C12" t="s">
        <v>76</v>
      </c>
      <c r="D12" t="s">
        <v>77</v>
      </c>
      <c r="E12" s="6">
        <v>57325</v>
      </c>
      <c r="F12">
        <f t="shared" si="0"/>
        <v>1</v>
      </c>
    </row>
    <row r="13" spans="1:6" x14ac:dyDescent="0.35">
      <c r="A13" t="s">
        <v>103</v>
      </c>
      <c r="B13" t="s">
        <v>104</v>
      </c>
      <c r="C13" t="s">
        <v>80</v>
      </c>
      <c r="D13" t="s">
        <v>77</v>
      </c>
      <c r="E13" s="6">
        <v>52767</v>
      </c>
      <c r="F13">
        <f t="shared" si="0"/>
        <v>1</v>
      </c>
    </row>
    <row r="14" spans="1:6" x14ac:dyDescent="0.35">
      <c r="A14" t="s">
        <v>105</v>
      </c>
      <c r="B14" t="s">
        <v>106</v>
      </c>
      <c r="C14" t="s">
        <v>83</v>
      </c>
      <c r="D14" t="s">
        <v>77</v>
      </c>
      <c r="E14" s="6">
        <v>87605</v>
      </c>
      <c r="F14">
        <f t="shared" si="0"/>
        <v>1</v>
      </c>
    </row>
    <row r="15" spans="1:6" x14ac:dyDescent="0.35">
      <c r="A15" t="s">
        <v>107</v>
      </c>
      <c r="B15" t="s">
        <v>108</v>
      </c>
      <c r="C15" t="s">
        <v>86</v>
      </c>
      <c r="D15" t="s">
        <v>77</v>
      </c>
      <c r="E15" s="6">
        <v>26184</v>
      </c>
      <c r="F15">
        <f t="shared" si="0"/>
        <v>1</v>
      </c>
    </row>
    <row r="16" spans="1:6" x14ac:dyDescent="0.35">
      <c r="A16" t="s">
        <v>109</v>
      </c>
      <c r="B16" t="s">
        <v>110</v>
      </c>
      <c r="C16" t="s">
        <v>90</v>
      </c>
      <c r="D16" t="s">
        <v>77</v>
      </c>
      <c r="E16" s="6">
        <v>44884</v>
      </c>
      <c r="F16">
        <f t="shared" si="0"/>
        <v>1</v>
      </c>
    </row>
    <row r="17" spans="1:6" x14ac:dyDescent="0.35">
      <c r="A17" t="s">
        <v>111</v>
      </c>
      <c r="B17" t="s">
        <v>112</v>
      </c>
      <c r="C17" t="s">
        <v>76</v>
      </c>
      <c r="D17" t="s">
        <v>77</v>
      </c>
      <c r="E17" s="6">
        <v>73122</v>
      </c>
      <c r="F17">
        <f t="shared" si="0"/>
        <v>0</v>
      </c>
    </row>
    <row r="18" spans="1:6" x14ac:dyDescent="0.35">
      <c r="A18" t="s">
        <v>113</v>
      </c>
      <c r="B18" t="s">
        <v>114</v>
      </c>
      <c r="C18" t="s">
        <v>80</v>
      </c>
      <c r="D18" t="s">
        <v>87</v>
      </c>
      <c r="E18" s="6">
        <v>45057</v>
      </c>
      <c r="F18">
        <f t="shared" si="0"/>
        <v>0</v>
      </c>
    </row>
    <row r="19" spans="1:6" x14ac:dyDescent="0.35">
      <c r="A19" t="s">
        <v>115</v>
      </c>
      <c r="B19" t="s">
        <v>116</v>
      </c>
      <c r="C19" t="s">
        <v>83</v>
      </c>
      <c r="D19" t="s">
        <v>87</v>
      </c>
      <c r="E19" s="6">
        <v>43350</v>
      </c>
      <c r="F19">
        <f t="shared" si="0"/>
        <v>1</v>
      </c>
    </row>
    <row r="20" spans="1:6" x14ac:dyDescent="0.35">
      <c r="A20" t="s">
        <v>117</v>
      </c>
      <c r="B20" t="s">
        <v>118</v>
      </c>
      <c r="C20" t="s">
        <v>86</v>
      </c>
      <c r="D20" t="s">
        <v>77</v>
      </c>
      <c r="E20" s="6">
        <v>37216</v>
      </c>
      <c r="F20">
        <f t="shared" si="0"/>
        <v>1</v>
      </c>
    </row>
    <row r="21" spans="1:6" x14ac:dyDescent="0.35">
      <c r="A21" t="s">
        <v>119</v>
      </c>
      <c r="B21" t="s">
        <v>120</v>
      </c>
      <c r="C21" t="s">
        <v>90</v>
      </c>
      <c r="D21" t="s">
        <v>77</v>
      </c>
      <c r="E21" s="6">
        <v>46859</v>
      </c>
      <c r="F21">
        <f t="shared" si="0"/>
        <v>1</v>
      </c>
    </row>
    <row r="22" spans="1:6" x14ac:dyDescent="0.35">
      <c r="A22" t="s">
        <v>121</v>
      </c>
      <c r="B22" t="s">
        <v>122</v>
      </c>
      <c r="C22" t="s">
        <v>76</v>
      </c>
      <c r="D22" t="s">
        <v>77</v>
      </c>
      <c r="E22" s="6">
        <v>82835</v>
      </c>
      <c r="F22">
        <f t="shared" si="0"/>
        <v>1</v>
      </c>
    </row>
    <row r="23" spans="1:6" x14ac:dyDescent="0.35">
      <c r="A23" t="s">
        <v>123</v>
      </c>
      <c r="B23" t="s">
        <v>124</v>
      </c>
      <c r="C23" t="s">
        <v>80</v>
      </c>
      <c r="D23" t="s">
        <v>77</v>
      </c>
      <c r="E23" s="6">
        <v>83547</v>
      </c>
      <c r="F23">
        <f t="shared" si="0"/>
        <v>0</v>
      </c>
    </row>
    <row r="24" spans="1:6" x14ac:dyDescent="0.35">
      <c r="A24" t="s">
        <v>125</v>
      </c>
      <c r="B24" t="s">
        <v>126</v>
      </c>
      <c r="C24" t="s">
        <v>83</v>
      </c>
      <c r="D24" t="s">
        <v>87</v>
      </c>
      <c r="E24" s="6">
        <v>40490</v>
      </c>
      <c r="F24">
        <f t="shared" si="0"/>
        <v>1</v>
      </c>
    </row>
    <row r="25" spans="1:6" x14ac:dyDescent="0.35">
      <c r="A25" t="s">
        <v>127</v>
      </c>
      <c r="B25" t="s">
        <v>128</v>
      </c>
      <c r="C25" t="s">
        <v>86</v>
      </c>
      <c r="D25" t="s">
        <v>77</v>
      </c>
      <c r="E25" s="6">
        <v>51819</v>
      </c>
      <c r="F25">
        <f t="shared" si="0"/>
        <v>1</v>
      </c>
    </row>
    <row r="26" spans="1:6" x14ac:dyDescent="0.35">
      <c r="A26" t="s">
        <v>129</v>
      </c>
      <c r="B26" t="s">
        <v>130</v>
      </c>
      <c r="C26" t="s">
        <v>90</v>
      </c>
      <c r="D26" t="s">
        <v>77</v>
      </c>
      <c r="E26" s="6">
        <v>80858</v>
      </c>
      <c r="F26">
        <f t="shared" si="0"/>
        <v>1</v>
      </c>
    </row>
    <row r="27" spans="1:6" x14ac:dyDescent="0.35">
      <c r="A27" t="s">
        <v>131</v>
      </c>
      <c r="B27" t="s">
        <v>132</v>
      </c>
      <c r="C27" t="s">
        <v>76</v>
      </c>
      <c r="D27" t="s">
        <v>77</v>
      </c>
      <c r="E27" s="6">
        <v>50239</v>
      </c>
      <c r="F27">
        <f t="shared" si="0"/>
        <v>1</v>
      </c>
    </row>
    <row r="28" spans="1:6" x14ac:dyDescent="0.35">
      <c r="A28" t="s">
        <v>133</v>
      </c>
      <c r="B28" t="s">
        <v>134</v>
      </c>
      <c r="C28" t="s">
        <v>80</v>
      </c>
      <c r="D28" t="s">
        <v>77</v>
      </c>
      <c r="E28" s="6">
        <v>51248</v>
      </c>
      <c r="F28">
        <f t="shared" si="0"/>
        <v>1</v>
      </c>
    </row>
    <row r="29" spans="1:6" x14ac:dyDescent="0.35">
      <c r="A29" t="s">
        <v>135</v>
      </c>
      <c r="B29" t="s">
        <v>136</v>
      </c>
      <c r="C29" t="s">
        <v>83</v>
      </c>
      <c r="D29" t="s">
        <v>77</v>
      </c>
      <c r="E29" s="6">
        <v>39608</v>
      </c>
      <c r="F29">
        <f t="shared" si="0"/>
        <v>1</v>
      </c>
    </row>
    <row r="30" spans="1:6" x14ac:dyDescent="0.35">
      <c r="A30" t="s">
        <v>137</v>
      </c>
      <c r="B30" t="s">
        <v>138</v>
      </c>
      <c r="C30" t="s">
        <v>86</v>
      </c>
      <c r="D30" t="s">
        <v>77</v>
      </c>
      <c r="E30" s="6">
        <v>49163</v>
      </c>
      <c r="F30">
        <f t="shared" si="0"/>
        <v>1</v>
      </c>
    </row>
    <row r="31" spans="1:6" x14ac:dyDescent="0.35">
      <c r="A31" t="s">
        <v>139</v>
      </c>
      <c r="B31" t="s">
        <v>140</v>
      </c>
      <c r="C31" t="s">
        <v>90</v>
      </c>
      <c r="D31" t="s">
        <v>77</v>
      </c>
      <c r="E31" s="6">
        <v>46369</v>
      </c>
      <c r="F31">
        <f t="shared" si="0"/>
        <v>0</v>
      </c>
    </row>
    <row r="32" spans="1:6" x14ac:dyDescent="0.35">
      <c r="A32" t="s">
        <v>141</v>
      </c>
      <c r="B32" t="s">
        <v>142</v>
      </c>
      <c r="C32" t="s">
        <v>76</v>
      </c>
      <c r="D32" t="s">
        <v>87</v>
      </c>
      <c r="E32" s="6">
        <v>73388</v>
      </c>
      <c r="F32">
        <f t="shared" si="0"/>
        <v>1</v>
      </c>
    </row>
    <row r="33" spans="1:6" x14ac:dyDescent="0.35">
      <c r="A33" t="s">
        <v>143</v>
      </c>
      <c r="B33" t="s">
        <v>144</v>
      </c>
      <c r="C33" t="s">
        <v>80</v>
      </c>
      <c r="D33" t="s">
        <v>77</v>
      </c>
      <c r="E33" s="6">
        <v>67119</v>
      </c>
      <c r="F33">
        <f t="shared" si="0"/>
        <v>0</v>
      </c>
    </row>
    <row r="34" spans="1:6" x14ac:dyDescent="0.35">
      <c r="A34" t="s">
        <v>145</v>
      </c>
      <c r="B34" t="s">
        <v>146</v>
      </c>
      <c r="C34" t="s">
        <v>83</v>
      </c>
      <c r="D34" t="s">
        <v>87</v>
      </c>
      <c r="E34" s="6">
        <v>29351</v>
      </c>
      <c r="F34">
        <f t="shared" ref="F34:F65" si="1">IF(D35="Active",1,0)</f>
        <v>0</v>
      </c>
    </row>
    <row r="35" spans="1:6" x14ac:dyDescent="0.35">
      <c r="A35" t="s">
        <v>147</v>
      </c>
      <c r="B35" t="s">
        <v>148</v>
      </c>
      <c r="C35" t="s">
        <v>86</v>
      </c>
      <c r="D35" t="s">
        <v>87</v>
      </c>
      <c r="E35" s="6">
        <v>74299</v>
      </c>
      <c r="F35">
        <f t="shared" si="1"/>
        <v>0</v>
      </c>
    </row>
    <row r="36" spans="1:6" x14ac:dyDescent="0.35">
      <c r="A36" t="s">
        <v>149</v>
      </c>
      <c r="B36" t="s">
        <v>150</v>
      </c>
      <c r="C36" t="s">
        <v>90</v>
      </c>
      <c r="D36" t="s">
        <v>87</v>
      </c>
      <c r="E36" s="6">
        <v>44869</v>
      </c>
      <c r="F36">
        <f t="shared" si="1"/>
        <v>1</v>
      </c>
    </row>
    <row r="37" spans="1:6" x14ac:dyDescent="0.35">
      <c r="A37" t="s">
        <v>151</v>
      </c>
      <c r="B37" t="s">
        <v>152</v>
      </c>
      <c r="C37" t="s">
        <v>76</v>
      </c>
      <c r="D37" t="s">
        <v>77</v>
      </c>
      <c r="E37" s="6">
        <v>25348</v>
      </c>
      <c r="F37">
        <f t="shared" si="1"/>
        <v>1</v>
      </c>
    </row>
    <row r="38" spans="1:6" x14ac:dyDescent="0.35">
      <c r="A38" t="s">
        <v>153</v>
      </c>
      <c r="B38" t="s">
        <v>154</v>
      </c>
      <c r="C38" t="s">
        <v>80</v>
      </c>
      <c r="D38" t="s">
        <v>77</v>
      </c>
      <c r="E38" s="6">
        <v>32338</v>
      </c>
      <c r="F38">
        <f t="shared" si="1"/>
        <v>0</v>
      </c>
    </row>
    <row r="39" spans="1:6" x14ac:dyDescent="0.35">
      <c r="A39" t="s">
        <v>155</v>
      </c>
      <c r="B39" t="s">
        <v>156</v>
      </c>
      <c r="C39" t="s">
        <v>83</v>
      </c>
      <c r="D39" t="s">
        <v>87</v>
      </c>
      <c r="E39" s="6">
        <v>59112</v>
      </c>
      <c r="F39">
        <f t="shared" si="1"/>
        <v>0</v>
      </c>
    </row>
    <row r="40" spans="1:6" x14ac:dyDescent="0.35">
      <c r="A40" t="s">
        <v>157</v>
      </c>
      <c r="B40" t="s">
        <v>158</v>
      </c>
      <c r="C40" t="s">
        <v>86</v>
      </c>
      <c r="D40" t="s">
        <v>87</v>
      </c>
      <c r="E40" s="6">
        <v>75570</v>
      </c>
      <c r="F40">
        <f t="shared" si="1"/>
        <v>1</v>
      </c>
    </row>
    <row r="41" spans="1:6" x14ac:dyDescent="0.35">
      <c r="A41" t="s">
        <v>159</v>
      </c>
      <c r="B41" t="s">
        <v>160</v>
      </c>
      <c r="C41" t="s">
        <v>90</v>
      </c>
      <c r="D41" t="s">
        <v>77</v>
      </c>
      <c r="E41" s="6">
        <v>75971</v>
      </c>
      <c r="F41">
        <f t="shared" si="1"/>
        <v>1</v>
      </c>
    </row>
    <row r="42" spans="1:6" x14ac:dyDescent="0.35">
      <c r="A42" t="s">
        <v>161</v>
      </c>
      <c r="B42" t="s">
        <v>162</v>
      </c>
      <c r="C42" t="s">
        <v>76</v>
      </c>
      <c r="D42" t="s">
        <v>77</v>
      </c>
      <c r="E42" s="6">
        <v>66486</v>
      </c>
      <c r="F42">
        <f t="shared" si="1"/>
        <v>1</v>
      </c>
    </row>
    <row r="43" spans="1:6" x14ac:dyDescent="0.35">
      <c r="A43" t="s">
        <v>163</v>
      </c>
      <c r="B43" t="s">
        <v>164</v>
      </c>
      <c r="C43" t="s">
        <v>80</v>
      </c>
      <c r="D43" t="s">
        <v>77</v>
      </c>
      <c r="E43" s="6">
        <v>78437</v>
      </c>
      <c r="F43">
        <f t="shared" si="1"/>
        <v>1</v>
      </c>
    </row>
    <row r="44" spans="1:6" x14ac:dyDescent="0.35">
      <c r="A44" t="s">
        <v>165</v>
      </c>
      <c r="B44" t="s">
        <v>166</v>
      </c>
      <c r="C44" t="s">
        <v>83</v>
      </c>
      <c r="D44" t="s">
        <v>77</v>
      </c>
      <c r="E44" s="6">
        <v>32889</v>
      </c>
      <c r="F44">
        <f t="shared" si="1"/>
        <v>1</v>
      </c>
    </row>
    <row r="45" spans="1:6" x14ac:dyDescent="0.35">
      <c r="A45" t="s">
        <v>167</v>
      </c>
      <c r="B45" t="s">
        <v>168</v>
      </c>
      <c r="C45" t="s">
        <v>86</v>
      </c>
      <c r="D45" t="s">
        <v>77</v>
      </c>
      <c r="E45" s="6">
        <v>52427</v>
      </c>
      <c r="F45">
        <f t="shared" si="1"/>
        <v>1</v>
      </c>
    </row>
    <row r="46" spans="1:6" x14ac:dyDescent="0.35">
      <c r="A46" t="s">
        <v>169</v>
      </c>
      <c r="B46" t="s">
        <v>170</v>
      </c>
      <c r="C46" t="s">
        <v>90</v>
      </c>
      <c r="D46" t="s">
        <v>77</v>
      </c>
      <c r="E46" s="6">
        <v>77628</v>
      </c>
      <c r="F46">
        <f t="shared" si="1"/>
        <v>1</v>
      </c>
    </row>
    <row r="47" spans="1:6" x14ac:dyDescent="0.35">
      <c r="A47" t="s">
        <v>171</v>
      </c>
      <c r="B47" t="s">
        <v>172</v>
      </c>
      <c r="C47" t="s">
        <v>76</v>
      </c>
      <c r="D47" t="s">
        <v>77</v>
      </c>
      <c r="E47" s="6">
        <v>67896</v>
      </c>
      <c r="F47">
        <f t="shared" si="1"/>
        <v>1</v>
      </c>
    </row>
    <row r="48" spans="1:6" x14ac:dyDescent="0.35">
      <c r="A48" t="s">
        <v>173</v>
      </c>
      <c r="B48" t="s">
        <v>174</v>
      </c>
      <c r="C48" t="s">
        <v>80</v>
      </c>
      <c r="D48" t="s">
        <v>77</v>
      </c>
      <c r="E48" s="6">
        <v>89204</v>
      </c>
      <c r="F48">
        <f t="shared" si="1"/>
        <v>1</v>
      </c>
    </row>
    <row r="49" spans="1:6" x14ac:dyDescent="0.35">
      <c r="A49" t="s">
        <v>175</v>
      </c>
      <c r="B49" t="s">
        <v>176</v>
      </c>
      <c r="C49" t="s">
        <v>83</v>
      </c>
      <c r="D49" t="s">
        <v>77</v>
      </c>
      <c r="E49" s="6">
        <v>84176</v>
      </c>
      <c r="F49">
        <f t="shared" si="1"/>
        <v>1</v>
      </c>
    </row>
    <row r="50" spans="1:6" x14ac:dyDescent="0.35">
      <c r="A50" t="s">
        <v>177</v>
      </c>
      <c r="B50" t="s">
        <v>178</v>
      </c>
      <c r="C50" t="s">
        <v>86</v>
      </c>
      <c r="D50" t="s">
        <v>77</v>
      </c>
      <c r="E50" s="6">
        <v>36190</v>
      </c>
      <c r="F50">
        <f t="shared" si="1"/>
        <v>1</v>
      </c>
    </row>
    <row r="51" spans="1:6" x14ac:dyDescent="0.35">
      <c r="A51" t="s">
        <v>179</v>
      </c>
      <c r="B51" t="s">
        <v>180</v>
      </c>
      <c r="C51" t="s">
        <v>90</v>
      </c>
      <c r="D51" t="s">
        <v>77</v>
      </c>
      <c r="E51" s="6">
        <v>41226</v>
      </c>
      <c r="F51">
        <f t="shared" si="1"/>
        <v>1</v>
      </c>
    </row>
    <row r="52" spans="1:6" x14ac:dyDescent="0.35">
      <c r="A52" t="s">
        <v>181</v>
      </c>
      <c r="B52" t="s">
        <v>182</v>
      </c>
      <c r="C52" t="s">
        <v>76</v>
      </c>
      <c r="D52" t="s">
        <v>77</v>
      </c>
      <c r="E52" s="6">
        <v>45421</v>
      </c>
      <c r="F52">
        <f t="shared" si="1"/>
        <v>1</v>
      </c>
    </row>
    <row r="53" spans="1:6" x14ac:dyDescent="0.35">
      <c r="A53" t="s">
        <v>183</v>
      </c>
      <c r="B53" t="s">
        <v>184</v>
      </c>
      <c r="C53" t="s">
        <v>80</v>
      </c>
      <c r="D53" t="s">
        <v>77</v>
      </c>
      <c r="E53" s="6">
        <v>64756</v>
      </c>
      <c r="F53">
        <f t="shared" si="1"/>
        <v>1</v>
      </c>
    </row>
    <row r="54" spans="1:6" x14ac:dyDescent="0.35">
      <c r="A54" t="s">
        <v>185</v>
      </c>
      <c r="B54" t="s">
        <v>186</v>
      </c>
      <c r="C54" t="s">
        <v>83</v>
      </c>
      <c r="D54" t="s">
        <v>77</v>
      </c>
      <c r="E54" s="6">
        <v>27245</v>
      </c>
      <c r="F54">
        <f t="shared" si="1"/>
        <v>1</v>
      </c>
    </row>
    <row r="55" spans="1:6" x14ac:dyDescent="0.35">
      <c r="A55" t="s">
        <v>187</v>
      </c>
      <c r="B55" t="s">
        <v>188</v>
      </c>
      <c r="C55" t="s">
        <v>86</v>
      </c>
      <c r="D55" t="s">
        <v>77</v>
      </c>
      <c r="E55" s="6">
        <v>34817</v>
      </c>
      <c r="F55">
        <f t="shared" si="1"/>
        <v>1</v>
      </c>
    </row>
    <row r="56" spans="1:6" x14ac:dyDescent="0.35">
      <c r="A56" t="s">
        <v>189</v>
      </c>
      <c r="B56" t="s">
        <v>190</v>
      </c>
      <c r="C56" t="s">
        <v>90</v>
      </c>
      <c r="D56" t="s">
        <v>77</v>
      </c>
      <c r="E56" s="6">
        <v>45468</v>
      </c>
      <c r="F56">
        <f t="shared" si="1"/>
        <v>0</v>
      </c>
    </row>
    <row r="57" spans="1:6" x14ac:dyDescent="0.35">
      <c r="A57" t="s">
        <v>191</v>
      </c>
      <c r="B57" t="s">
        <v>192</v>
      </c>
      <c r="C57" t="s">
        <v>76</v>
      </c>
      <c r="D57" t="s">
        <v>87</v>
      </c>
      <c r="E57" s="6">
        <v>62536</v>
      </c>
      <c r="F57">
        <f t="shared" si="1"/>
        <v>1</v>
      </c>
    </row>
    <row r="58" spans="1:6" x14ac:dyDescent="0.35">
      <c r="A58" t="s">
        <v>193</v>
      </c>
      <c r="B58" t="s">
        <v>194</v>
      </c>
      <c r="C58" t="s">
        <v>80</v>
      </c>
      <c r="D58" t="s">
        <v>77</v>
      </c>
      <c r="E58" s="6">
        <v>36195</v>
      </c>
      <c r="F58">
        <f t="shared" si="1"/>
        <v>1</v>
      </c>
    </row>
    <row r="59" spans="1:6" x14ac:dyDescent="0.35">
      <c r="A59" t="s">
        <v>195</v>
      </c>
      <c r="B59" t="s">
        <v>196</v>
      </c>
      <c r="C59" t="s">
        <v>83</v>
      </c>
      <c r="D59" t="s">
        <v>77</v>
      </c>
      <c r="E59" s="6">
        <v>77464</v>
      </c>
      <c r="F59">
        <f t="shared" si="1"/>
        <v>1</v>
      </c>
    </row>
    <row r="60" spans="1:6" x14ac:dyDescent="0.35">
      <c r="A60" t="s">
        <v>197</v>
      </c>
      <c r="B60" t="s">
        <v>198</v>
      </c>
      <c r="C60" t="s">
        <v>86</v>
      </c>
      <c r="D60" t="s">
        <v>77</v>
      </c>
      <c r="E60" s="6">
        <v>41795</v>
      </c>
      <c r="F60">
        <f t="shared" si="1"/>
        <v>0</v>
      </c>
    </row>
    <row r="61" spans="1:6" x14ac:dyDescent="0.35">
      <c r="A61" t="s">
        <v>199</v>
      </c>
      <c r="B61" t="s">
        <v>200</v>
      </c>
      <c r="C61" t="s">
        <v>90</v>
      </c>
      <c r="D61" t="s">
        <v>87</v>
      </c>
      <c r="E61" s="6">
        <v>26571</v>
      </c>
      <c r="F61">
        <f t="shared" si="1"/>
        <v>0</v>
      </c>
    </row>
    <row r="62" spans="1:6" x14ac:dyDescent="0.35">
      <c r="A62" t="s">
        <v>201</v>
      </c>
      <c r="B62" t="s">
        <v>202</v>
      </c>
      <c r="C62" t="s">
        <v>76</v>
      </c>
      <c r="D62" t="s">
        <v>87</v>
      </c>
      <c r="E62" s="6">
        <v>44397</v>
      </c>
      <c r="F62">
        <f t="shared" si="1"/>
        <v>0</v>
      </c>
    </row>
    <row r="63" spans="1:6" x14ac:dyDescent="0.35">
      <c r="A63" t="s">
        <v>203</v>
      </c>
      <c r="B63" t="s">
        <v>204</v>
      </c>
      <c r="C63" t="s">
        <v>80</v>
      </c>
      <c r="D63" t="s">
        <v>87</v>
      </c>
      <c r="E63" s="6">
        <v>49716</v>
      </c>
      <c r="F63">
        <f t="shared" si="1"/>
        <v>1</v>
      </c>
    </row>
    <row r="64" spans="1:6" x14ac:dyDescent="0.35">
      <c r="A64" t="s">
        <v>205</v>
      </c>
      <c r="B64" t="s">
        <v>206</v>
      </c>
      <c r="C64" t="s">
        <v>83</v>
      </c>
      <c r="D64" t="s">
        <v>77</v>
      </c>
      <c r="E64" s="6">
        <v>27964</v>
      </c>
      <c r="F64">
        <f t="shared" si="1"/>
        <v>1</v>
      </c>
    </row>
    <row r="65" spans="1:6" x14ac:dyDescent="0.35">
      <c r="A65" t="s">
        <v>207</v>
      </c>
      <c r="B65" t="s">
        <v>208</v>
      </c>
      <c r="C65" t="s">
        <v>86</v>
      </c>
      <c r="D65" t="s">
        <v>77</v>
      </c>
      <c r="E65" s="6">
        <v>41880</v>
      </c>
      <c r="F65">
        <f t="shared" si="1"/>
        <v>1</v>
      </c>
    </row>
    <row r="66" spans="1:6" x14ac:dyDescent="0.35">
      <c r="A66" t="s">
        <v>209</v>
      </c>
      <c r="B66" t="s">
        <v>210</v>
      </c>
      <c r="C66" t="s">
        <v>90</v>
      </c>
      <c r="D66" t="s">
        <v>77</v>
      </c>
      <c r="E66" s="6">
        <v>48289</v>
      </c>
      <c r="F66">
        <f t="shared" ref="F66:F97" si="2">IF(D67="Active",1,0)</f>
        <v>0</v>
      </c>
    </row>
    <row r="67" spans="1:6" x14ac:dyDescent="0.35">
      <c r="A67" t="s">
        <v>211</v>
      </c>
      <c r="B67" t="s">
        <v>212</v>
      </c>
      <c r="C67" t="s">
        <v>76</v>
      </c>
      <c r="D67" t="s">
        <v>87</v>
      </c>
      <c r="E67" s="6">
        <v>86541</v>
      </c>
      <c r="F67">
        <f t="shared" si="2"/>
        <v>1</v>
      </c>
    </row>
    <row r="68" spans="1:6" x14ac:dyDescent="0.35">
      <c r="A68" t="s">
        <v>213</v>
      </c>
      <c r="B68" t="s">
        <v>214</v>
      </c>
      <c r="C68" t="s">
        <v>80</v>
      </c>
      <c r="D68" t="s">
        <v>77</v>
      </c>
      <c r="E68" s="6">
        <v>45010</v>
      </c>
      <c r="F68">
        <f t="shared" si="2"/>
        <v>1</v>
      </c>
    </row>
    <row r="69" spans="1:6" x14ac:dyDescent="0.35">
      <c r="A69" t="s">
        <v>215</v>
      </c>
      <c r="B69" t="s">
        <v>216</v>
      </c>
      <c r="C69" t="s">
        <v>83</v>
      </c>
      <c r="D69" t="s">
        <v>77</v>
      </c>
      <c r="E69" s="6">
        <v>44548</v>
      </c>
      <c r="F69">
        <f t="shared" si="2"/>
        <v>1</v>
      </c>
    </row>
    <row r="70" spans="1:6" x14ac:dyDescent="0.35">
      <c r="A70" t="s">
        <v>217</v>
      </c>
      <c r="B70" t="s">
        <v>218</v>
      </c>
      <c r="C70" t="s">
        <v>86</v>
      </c>
      <c r="D70" t="s">
        <v>77</v>
      </c>
      <c r="E70" s="6">
        <v>48844</v>
      </c>
      <c r="F70">
        <f t="shared" si="2"/>
        <v>0</v>
      </c>
    </row>
    <row r="71" spans="1:6" x14ac:dyDescent="0.35">
      <c r="A71" t="s">
        <v>219</v>
      </c>
      <c r="B71" t="s">
        <v>220</v>
      </c>
      <c r="C71" t="s">
        <v>90</v>
      </c>
      <c r="D71" t="s">
        <v>87</v>
      </c>
      <c r="E71" s="6">
        <v>81762</v>
      </c>
      <c r="F71">
        <f t="shared" si="2"/>
        <v>0</v>
      </c>
    </row>
    <row r="72" spans="1:6" x14ac:dyDescent="0.35">
      <c r="A72" t="s">
        <v>221</v>
      </c>
      <c r="B72" t="s">
        <v>222</v>
      </c>
      <c r="C72" t="s">
        <v>76</v>
      </c>
      <c r="D72" t="s">
        <v>87</v>
      </c>
      <c r="E72" s="6">
        <v>28507</v>
      </c>
      <c r="F72">
        <f t="shared" si="2"/>
        <v>1</v>
      </c>
    </row>
    <row r="73" spans="1:6" x14ac:dyDescent="0.35">
      <c r="A73" t="s">
        <v>223</v>
      </c>
      <c r="B73" t="s">
        <v>224</v>
      </c>
      <c r="C73" t="s">
        <v>80</v>
      </c>
      <c r="D73" t="s">
        <v>77</v>
      </c>
      <c r="E73" s="6">
        <v>62118</v>
      </c>
      <c r="F73">
        <f t="shared" si="2"/>
        <v>1</v>
      </c>
    </row>
    <row r="74" spans="1:6" x14ac:dyDescent="0.35">
      <c r="A74" t="s">
        <v>225</v>
      </c>
      <c r="B74" t="s">
        <v>226</v>
      </c>
      <c r="C74" t="s">
        <v>83</v>
      </c>
      <c r="D74" t="s">
        <v>77</v>
      </c>
      <c r="E74" s="6">
        <v>28105</v>
      </c>
      <c r="F74">
        <f t="shared" si="2"/>
        <v>0</v>
      </c>
    </row>
    <row r="75" spans="1:6" x14ac:dyDescent="0.35">
      <c r="A75" t="s">
        <v>227</v>
      </c>
      <c r="B75" t="s">
        <v>228</v>
      </c>
      <c r="C75" t="s">
        <v>86</v>
      </c>
      <c r="D75" t="s">
        <v>87</v>
      </c>
      <c r="E75" s="6">
        <v>72164</v>
      </c>
      <c r="F75">
        <f t="shared" si="2"/>
        <v>1</v>
      </c>
    </row>
    <row r="76" spans="1:6" x14ac:dyDescent="0.35">
      <c r="A76" t="s">
        <v>229</v>
      </c>
      <c r="B76" t="s">
        <v>230</v>
      </c>
      <c r="C76" t="s">
        <v>90</v>
      </c>
      <c r="D76" t="s">
        <v>77</v>
      </c>
      <c r="E76" s="6">
        <v>71184</v>
      </c>
      <c r="F76">
        <f t="shared" si="2"/>
        <v>1</v>
      </c>
    </row>
    <row r="77" spans="1:6" x14ac:dyDescent="0.35">
      <c r="A77" t="s">
        <v>231</v>
      </c>
      <c r="B77" t="s">
        <v>232</v>
      </c>
      <c r="C77" t="s">
        <v>76</v>
      </c>
      <c r="D77" t="s">
        <v>77</v>
      </c>
      <c r="E77" s="6">
        <v>65021</v>
      </c>
      <c r="F77">
        <f t="shared" si="2"/>
        <v>1</v>
      </c>
    </row>
    <row r="78" spans="1:6" x14ac:dyDescent="0.35">
      <c r="A78" t="s">
        <v>233</v>
      </c>
      <c r="B78" t="s">
        <v>234</v>
      </c>
      <c r="C78" t="s">
        <v>80</v>
      </c>
      <c r="D78" t="s">
        <v>77</v>
      </c>
      <c r="E78" s="6">
        <v>68764</v>
      </c>
      <c r="F78">
        <f t="shared" si="2"/>
        <v>1</v>
      </c>
    </row>
    <row r="79" spans="1:6" x14ac:dyDescent="0.35">
      <c r="A79" t="s">
        <v>235</v>
      </c>
      <c r="B79" t="s">
        <v>236</v>
      </c>
      <c r="C79" t="s">
        <v>83</v>
      </c>
      <c r="D79" t="s">
        <v>77</v>
      </c>
      <c r="E79" s="6">
        <v>81683</v>
      </c>
      <c r="F79">
        <f t="shared" si="2"/>
        <v>1</v>
      </c>
    </row>
    <row r="80" spans="1:6" x14ac:dyDescent="0.35">
      <c r="A80" t="s">
        <v>237</v>
      </c>
      <c r="B80" t="s">
        <v>238</v>
      </c>
      <c r="C80" t="s">
        <v>86</v>
      </c>
      <c r="D80" t="s">
        <v>77</v>
      </c>
      <c r="E80" s="6">
        <v>43969</v>
      </c>
      <c r="F80">
        <f t="shared" si="2"/>
        <v>1</v>
      </c>
    </row>
    <row r="81" spans="1:6" x14ac:dyDescent="0.35">
      <c r="A81" t="s">
        <v>239</v>
      </c>
      <c r="B81" t="s">
        <v>240</v>
      </c>
      <c r="C81" t="s">
        <v>90</v>
      </c>
      <c r="D81" t="s">
        <v>77</v>
      </c>
      <c r="E81" s="6">
        <v>54401</v>
      </c>
      <c r="F81">
        <f t="shared" si="2"/>
        <v>0</v>
      </c>
    </row>
    <row r="82" spans="1:6" x14ac:dyDescent="0.35">
      <c r="A82" t="s">
        <v>241</v>
      </c>
      <c r="B82" t="s">
        <v>242</v>
      </c>
      <c r="C82" t="s">
        <v>76</v>
      </c>
      <c r="D82" t="s">
        <v>87</v>
      </c>
      <c r="E82" s="6">
        <v>27872</v>
      </c>
      <c r="F82">
        <f t="shared" si="2"/>
        <v>0</v>
      </c>
    </row>
    <row r="83" spans="1:6" x14ac:dyDescent="0.35">
      <c r="A83" t="s">
        <v>243</v>
      </c>
      <c r="B83" t="s">
        <v>244</v>
      </c>
      <c r="C83" t="s">
        <v>80</v>
      </c>
      <c r="D83" t="s">
        <v>87</v>
      </c>
      <c r="E83" s="6">
        <v>53126</v>
      </c>
      <c r="F83">
        <f t="shared" si="2"/>
        <v>0</v>
      </c>
    </row>
    <row r="84" spans="1:6" x14ac:dyDescent="0.35">
      <c r="A84" t="s">
        <v>245</v>
      </c>
      <c r="B84" t="s">
        <v>246</v>
      </c>
      <c r="C84" t="s">
        <v>83</v>
      </c>
      <c r="D84" t="s">
        <v>87</v>
      </c>
      <c r="E84" s="6">
        <v>82460</v>
      </c>
      <c r="F84">
        <f t="shared" si="2"/>
        <v>1</v>
      </c>
    </row>
    <row r="85" spans="1:6" x14ac:dyDescent="0.35">
      <c r="A85" t="s">
        <v>247</v>
      </c>
      <c r="B85" t="s">
        <v>248</v>
      </c>
      <c r="C85" t="s">
        <v>86</v>
      </c>
      <c r="D85" t="s">
        <v>77</v>
      </c>
      <c r="E85" s="6">
        <v>43136</v>
      </c>
      <c r="F85">
        <f t="shared" si="2"/>
        <v>0</v>
      </c>
    </row>
    <row r="86" spans="1:6" x14ac:dyDescent="0.35">
      <c r="A86" t="s">
        <v>249</v>
      </c>
      <c r="B86" t="s">
        <v>250</v>
      </c>
      <c r="C86" t="s">
        <v>90</v>
      </c>
      <c r="D86" t="s">
        <v>87</v>
      </c>
      <c r="E86" s="6">
        <v>53658</v>
      </c>
      <c r="F86">
        <f t="shared" si="2"/>
        <v>1</v>
      </c>
    </row>
    <row r="87" spans="1:6" x14ac:dyDescent="0.35">
      <c r="A87" t="s">
        <v>251</v>
      </c>
      <c r="B87" t="s">
        <v>252</v>
      </c>
      <c r="C87" t="s">
        <v>76</v>
      </c>
      <c r="D87" t="s">
        <v>77</v>
      </c>
      <c r="E87" s="6">
        <v>80304</v>
      </c>
      <c r="F87">
        <f t="shared" si="2"/>
        <v>1</v>
      </c>
    </row>
    <row r="88" spans="1:6" x14ac:dyDescent="0.35">
      <c r="A88" t="s">
        <v>253</v>
      </c>
      <c r="B88" t="s">
        <v>254</v>
      </c>
      <c r="C88" t="s">
        <v>80</v>
      </c>
      <c r="D88" t="s">
        <v>77</v>
      </c>
      <c r="E88" s="6">
        <v>48698</v>
      </c>
      <c r="F88">
        <f t="shared" si="2"/>
        <v>1</v>
      </c>
    </row>
    <row r="89" spans="1:6" x14ac:dyDescent="0.35">
      <c r="A89" t="s">
        <v>255</v>
      </c>
      <c r="B89" t="s">
        <v>256</v>
      </c>
      <c r="C89" t="s">
        <v>83</v>
      </c>
      <c r="D89" t="s">
        <v>77</v>
      </c>
      <c r="E89" s="6">
        <v>81101</v>
      </c>
      <c r="F89">
        <f t="shared" si="2"/>
        <v>1</v>
      </c>
    </row>
    <row r="90" spans="1:6" x14ac:dyDescent="0.35">
      <c r="A90" t="s">
        <v>257</v>
      </c>
      <c r="B90" t="s">
        <v>258</v>
      </c>
      <c r="C90" t="s">
        <v>86</v>
      </c>
      <c r="D90" t="s">
        <v>77</v>
      </c>
      <c r="E90" s="6">
        <v>88407</v>
      </c>
      <c r="F90">
        <f t="shared" si="2"/>
        <v>0</v>
      </c>
    </row>
    <row r="91" spans="1:6" x14ac:dyDescent="0.35">
      <c r="A91" t="s">
        <v>259</v>
      </c>
      <c r="B91" t="s">
        <v>260</v>
      </c>
      <c r="C91" t="s">
        <v>90</v>
      </c>
      <c r="D91" t="s">
        <v>87</v>
      </c>
      <c r="E91" s="6">
        <v>69437</v>
      </c>
      <c r="F91">
        <f t="shared" si="2"/>
        <v>1</v>
      </c>
    </row>
    <row r="92" spans="1:6" x14ac:dyDescent="0.35">
      <c r="A92" t="s">
        <v>261</v>
      </c>
      <c r="B92" t="s">
        <v>262</v>
      </c>
      <c r="C92" t="s">
        <v>76</v>
      </c>
      <c r="D92" t="s">
        <v>77</v>
      </c>
      <c r="E92" s="6">
        <v>33626</v>
      </c>
      <c r="F92">
        <f t="shared" si="2"/>
        <v>0</v>
      </c>
    </row>
    <row r="93" spans="1:6" x14ac:dyDescent="0.35">
      <c r="A93" t="s">
        <v>263</v>
      </c>
      <c r="B93" t="s">
        <v>264</v>
      </c>
      <c r="C93" t="s">
        <v>80</v>
      </c>
      <c r="D93" t="s">
        <v>87</v>
      </c>
      <c r="E93" s="6">
        <v>59123</v>
      </c>
      <c r="F93">
        <f t="shared" si="2"/>
        <v>0</v>
      </c>
    </row>
    <row r="94" spans="1:6" x14ac:dyDescent="0.35">
      <c r="A94" t="s">
        <v>265</v>
      </c>
      <c r="B94" t="s">
        <v>266</v>
      </c>
      <c r="C94" t="s">
        <v>83</v>
      </c>
      <c r="D94" t="s">
        <v>87</v>
      </c>
      <c r="E94" s="6">
        <v>80552</v>
      </c>
      <c r="F94">
        <f t="shared" si="2"/>
        <v>0</v>
      </c>
    </row>
    <row r="95" spans="1:6" x14ac:dyDescent="0.35">
      <c r="A95" t="s">
        <v>267</v>
      </c>
      <c r="B95" t="s">
        <v>268</v>
      </c>
      <c r="C95" t="s">
        <v>86</v>
      </c>
      <c r="D95" t="s">
        <v>87</v>
      </c>
      <c r="E95" s="6">
        <v>42943</v>
      </c>
      <c r="F95">
        <f t="shared" si="2"/>
        <v>1</v>
      </c>
    </row>
    <row r="96" spans="1:6" x14ac:dyDescent="0.35">
      <c r="A96" t="s">
        <v>269</v>
      </c>
      <c r="B96" t="s">
        <v>270</v>
      </c>
      <c r="C96" t="s">
        <v>90</v>
      </c>
      <c r="D96" t="s">
        <v>77</v>
      </c>
      <c r="E96" s="6">
        <v>37116</v>
      </c>
      <c r="F96">
        <f t="shared" si="2"/>
        <v>1</v>
      </c>
    </row>
    <row r="97" spans="1:6" x14ac:dyDescent="0.35">
      <c r="A97" t="s">
        <v>271</v>
      </c>
      <c r="B97" t="s">
        <v>272</v>
      </c>
      <c r="C97" t="s">
        <v>76</v>
      </c>
      <c r="D97" t="s">
        <v>77</v>
      </c>
      <c r="E97" s="6">
        <v>61165</v>
      </c>
      <c r="F97">
        <f t="shared" si="2"/>
        <v>1</v>
      </c>
    </row>
    <row r="98" spans="1:6" x14ac:dyDescent="0.35">
      <c r="A98" t="s">
        <v>273</v>
      </c>
      <c r="B98" t="s">
        <v>274</v>
      </c>
      <c r="C98" t="s">
        <v>80</v>
      </c>
      <c r="D98" t="s">
        <v>77</v>
      </c>
      <c r="E98" s="6">
        <v>50370</v>
      </c>
      <c r="F98">
        <f t="shared" ref="F98:F129" si="3">IF(D99="Active",1,0)</f>
        <v>0</v>
      </c>
    </row>
    <row r="99" spans="1:6" x14ac:dyDescent="0.35">
      <c r="A99" t="s">
        <v>275</v>
      </c>
      <c r="B99" t="s">
        <v>276</v>
      </c>
      <c r="C99" t="s">
        <v>83</v>
      </c>
      <c r="D99" t="s">
        <v>87</v>
      </c>
      <c r="E99" s="6">
        <v>86771</v>
      </c>
      <c r="F99">
        <f t="shared" si="3"/>
        <v>1</v>
      </c>
    </row>
    <row r="100" spans="1:6" x14ac:dyDescent="0.35">
      <c r="A100" t="s">
        <v>277</v>
      </c>
      <c r="B100" t="s">
        <v>278</v>
      </c>
      <c r="C100" t="s">
        <v>86</v>
      </c>
      <c r="D100" t="s">
        <v>77</v>
      </c>
      <c r="E100" s="6">
        <v>62500</v>
      </c>
      <c r="F100">
        <f t="shared" si="3"/>
        <v>1</v>
      </c>
    </row>
    <row r="101" spans="1:6" x14ac:dyDescent="0.35">
      <c r="A101" t="s">
        <v>279</v>
      </c>
      <c r="B101" t="s">
        <v>280</v>
      </c>
      <c r="C101" t="s">
        <v>90</v>
      </c>
      <c r="D101" t="s">
        <v>77</v>
      </c>
      <c r="E101" s="6">
        <v>27873</v>
      </c>
      <c r="F101">
        <f t="shared" si="3"/>
        <v>1</v>
      </c>
    </row>
    <row r="102" spans="1:6" x14ac:dyDescent="0.35">
      <c r="A102" t="s">
        <v>281</v>
      </c>
      <c r="B102" t="s">
        <v>282</v>
      </c>
      <c r="C102" t="s">
        <v>76</v>
      </c>
      <c r="D102" t="s">
        <v>77</v>
      </c>
      <c r="E102" s="6">
        <v>47398</v>
      </c>
      <c r="F102">
        <f t="shared" si="3"/>
        <v>1</v>
      </c>
    </row>
    <row r="103" spans="1:6" x14ac:dyDescent="0.35">
      <c r="A103" t="s">
        <v>283</v>
      </c>
      <c r="B103" t="s">
        <v>284</v>
      </c>
      <c r="C103" t="s">
        <v>80</v>
      </c>
      <c r="D103" t="s">
        <v>77</v>
      </c>
      <c r="E103" s="6">
        <v>48178</v>
      </c>
      <c r="F103">
        <f t="shared" si="3"/>
        <v>1</v>
      </c>
    </row>
    <row r="104" spans="1:6" x14ac:dyDescent="0.35">
      <c r="A104" t="s">
        <v>285</v>
      </c>
      <c r="B104" t="s">
        <v>286</v>
      </c>
      <c r="C104" t="s">
        <v>83</v>
      </c>
      <c r="D104" t="s">
        <v>77</v>
      </c>
      <c r="E104" s="6">
        <v>53709</v>
      </c>
      <c r="F104">
        <f t="shared" si="3"/>
        <v>1</v>
      </c>
    </row>
    <row r="105" spans="1:6" x14ac:dyDescent="0.35">
      <c r="A105" t="s">
        <v>287</v>
      </c>
      <c r="B105" t="s">
        <v>288</v>
      </c>
      <c r="C105" t="s">
        <v>86</v>
      </c>
      <c r="D105" t="s">
        <v>77</v>
      </c>
      <c r="E105" s="6">
        <v>73394</v>
      </c>
      <c r="F105">
        <f t="shared" si="3"/>
        <v>1</v>
      </c>
    </row>
    <row r="106" spans="1:6" x14ac:dyDescent="0.35">
      <c r="A106" t="s">
        <v>289</v>
      </c>
      <c r="B106" t="s">
        <v>290</v>
      </c>
      <c r="C106" t="s">
        <v>90</v>
      </c>
      <c r="D106" t="s">
        <v>77</v>
      </c>
      <c r="E106" s="6">
        <v>73693</v>
      </c>
      <c r="F106">
        <f t="shared" si="3"/>
        <v>1</v>
      </c>
    </row>
    <row r="107" spans="1:6" x14ac:dyDescent="0.35">
      <c r="A107" t="s">
        <v>291</v>
      </c>
      <c r="B107" t="s">
        <v>292</v>
      </c>
      <c r="C107" t="s">
        <v>76</v>
      </c>
      <c r="D107" t="s">
        <v>77</v>
      </c>
      <c r="E107" s="6">
        <v>41378</v>
      </c>
      <c r="F107">
        <f t="shared" si="3"/>
        <v>0</v>
      </c>
    </row>
    <row r="108" spans="1:6" x14ac:dyDescent="0.35">
      <c r="A108" t="s">
        <v>293</v>
      </c>
      <c r="B108" t="s">
        <v>294</v>
      </c>
      <c r="C108" t="s">
        <v>80</v>
      </c>
      <c r="D108" t="s">
        <v>87</v>
      </c>
      <c r="E108" s="6">
        <v>51003</v>
      </c>
      <c r="F108">
        <f t="shared" si="3"/>
        <v>1</v>
      </c>
    </row>
    <row r="109" spans="1:6" x14ac:dyDescent="0.35">
      <c r="A109" t="s">
        <v>295</v>
      </c>
      <c r="B109" t="s">
        <v>296</v>
      </c>
      <c r="C109" t="s">
        <v>83</v>
      </c>
      <c r="D109" t="s">
        <v>77</v>
      </c>
      <c r="E109" s="6">
        <v>60185</v>
      </c>
      <c r="F109">
        <f t="shared" si="3"/>
        <v>1</v>
      </c>
    </row>
    <row r="110" spans="1:6" x14ac:dyDescent="0.35">
      <c r="A110" t="s">
        <v>297</v>
      </c>
      <c r="B110" t="s">
        <v>298</v>
      </c>
      <c r="C110" t="s">
        <v>86</v>
      </c>
      <c r="D110" t="s">
        <v>77</v>
      </c>
      <c r="E110" s="6">
        <v>36164</v>
      </c>
      <c r="F110">
        <f t="shared" si="3"/>
        <v>0</v>
      </c>
    </row>
    <row r="111" spans="1:6" x14ac:dyDescent="0.35">
      <c r="A111" t="s">
        <v>299</v>
      </c>
      <c r="B111" t="s">
        <v>300</v>
      </c>
      <c r="C111" t="s">
        <v>90</v>
      </c>
      <c r="D111" t="s">
        <v>87</v>
      </c>
      <c r="E111" s="6">
        <v>35680</v>
      </c>
      <c r="F111">
        <f t="shared" si="3"/>
        <v>1</v>
      </c>
    </row>
    <row r="112" spans="1:6" x14ac:dyDescent="0.35">
      <c r="A112" t="s">
        <v>301</v>
      </c>
      <c r="B112" t="s">
        <v>302</v>
      </c>
      <c r="C112" t="s">
        <v>76</v>
      </c>
      <c r="D112" t="s">
        <v>77</v>
      </c>
      <c r="E112" s="6">
        <v>59438</v>
      </c>
      <c r="F112">
        <f t="shared" si="3"/>
        <v>1</v>
      </c>
    </row>
    <row r="113" spans="1:6" x14ac:dyDescent="0.35">
      <c r="A113" t="s">
        <v>303</v>
      </c>
      <c r="B113" t="s">
        <v>304</v>
      </c>
      <c r="C113" t="s">
        <v>80</v>
      </c>
      <c r="D113" t="s">
        <v>77</v>
      </c>
      <c r="E113" s="6">
        <v>73329</v>
      </c>
      <c r="F113">
        <f t="shared" si="3"/>
        <v>1</v>
      </c>
    </row>
    <row r="114" spans="1:6" x14ac:dyDescent="0.35">
      <c r="A114" t="s">
        <v>305</v>
      </c>
      <c r="B114" t="s">
        <v>306</v>
      </c>
      <c r="C114" t="s">
        <v>83</v>
      </c>
      <c r="D114" t="s">
        <v>77</v>
      </c>
      <c r="E114" s="6">
        <v>40309</v>
      </c>
      <c r="F114">
        <f t="shared" si="3"/>
        <v>1</v>
      </c>
    </row>
    <row r="115" spans="1:6" x14ac:dyDescent="0.35">
      <c r="A115" t="s">
        <v>307</v>
      </c>
      <c r="B115" t="s">
        <v>308</v>
      </c>
      <c r="C115" t="s">
        <v>86</v>
      </c>
      <c r="D115" t="s">
        <v>77</v>
      </c>
      <c r="E115" s="6">
        <v>26425</v>
      </c>
      <c r="F115">
        <f t="shared" si="3"/>
        <v>1</v>
      </c>
    </row>
    <row r="116" spans="1:6" x14ac:dyDescent="0.35">
      <c r="A116" t="s">
        <v>309</v>
      </c>
      <c r="B116" t="s">
        <v>310</v>
      </c>
      <c r="C116" t="s">
        <v>90</v>
      </c>
      <c r="D116" t="s">
        <v>77</v>
      </c>
      <c r="E116" s="6">
        <v>55404</v>
      </c>
      <c r="F116">
        <f t="shared" si="3"/>
        <v>1</v>
      </c>
    </row>
    <row r="117" spans="1:6" x14ac:dyDescent="0.35">
      <c r="A117" t="s">
        <v>311</v>
      </c>
      <c r="B117" t="s">
        <v>312</v>
      </c>
      <c r="C117" t="s">
        <v>76</v>
      </c>
      <c r="D117" t="s">
        <v>77</v>
      </c>
      <c r="E117" s="6">
        <v>64756</v>
      </c>
      <c r="F117">
        <f t="shared" si="3"/>
        <v>1</v>
      </c>
    </row>
    <row r="118" spans="1:6" x14ac:dyDescent="0.35">
      <c r="A118" t="s">
        <v>313</v>
      </c>
      <c r="B118" t="s">
        <v>314</v>
      </c>
      <c r="C118" t="s">
        <v>80</v>
      </c>
      <c r="D118" t="s">
        <v>77</v>
      </c>
      <c r="E118" s="6">
        <v>38310</v>
      </c>
      <c r="F118">
        <f t="shared" si="3"/>
        <v>1</v>
      </c>
    </row>
    <row r="119" spans="1:6" x14ac:dyDescent="0.35">
      <c r="A119" t="s">
        <v>315</v>
      </c>
      <c r="B119" t="s">
        <v>316</v>
      </c>
      <c r="C119" t="s">
        <v>83</v>
      </c>
      <c r="D119" t="s">
        <v>77</v>
      </c>
      <c r="E119" s="6">
        <v>52609</v>
      </c>
      <c r="F119">
        <f t="shared" si="3"/>
        <v>0</v>
      </c>
    </row>
    <row r="120" spans="1:6" x14ac:dyDescent="0.35">
      <c r="A120" t="s">
        <v>317</v>
      </c>
      <c r="B120" t="s">
        <v>318</v>
      </c>
      <c r="C120" t="s">
        <v>86</v>
      </c>
      <c r="D120" t="s">
        <v>87</v>
      </c>
      <c r="E120" s="6">
        <v>49241</v>
      </c>
      <c r="F120">
        <f t="shared" si="3"/>
        <v>0</v>
      </c>
    </row>
    <row r="121" spans="1:6" x14ac:dyDescent="0.35">
      <c r="A121" t="s">
        <v>319</v>
      </c>
      <c r="B121" t="s">
        <v>320</v>
      </c>
      <c r="C121" t="s">
        <v>90</v>
      </c>
      <c r="D121" t="s">
        <v>87</v>
      </c>
      <c r="E121" s="6">
        <v>79142</v>
      </c>
      <c r="F121">
        <f t="shared" si="3"/>
        <v>1</v>
      </c>
    </row>
    <row r="122" spans="1:6" x14ac:dyDescent="0.35">
      <c r="A122" t="s">
        <v>321</v>
      </c>
      <c r="B122" t="s">
        <v>322</v>
      </c>
      <c r="C122" t="s">
        <v>76</v>
      </c>
      <c r="D122" t="s">
        <v>77</v>
      </c>
      <c r="E122" s="6">
        <v>31627</v>
      </c>
      <c r="F122">
        <f t="shared" si="3"/>
        <v>1</v>
      </c>
    </row>
    <row r="123" spans="1:6" x14ac:dyDescent="0.35">
      <c r="A123" t="s">
        <v>323</v>
      </c>
      <c r="B123" t="s">
        <v>324</v>
      </c>
      <c r="C123" t="s">
        <v>80</v>
      </c>
      <c r="D123" t="s">
        <v>77</v>
      </c>
      <c r="E123" s="6">
        <v>32592</v>
      </c>
      <c r="F123">
        <f t="shared" si="3"/>
        <v>1</v>
      </c>
    </row>
    <row r="124" spans="1:6" x14ac:dyDescent="0.35">
      <c r="A124" t="s">
        <v>325</v>
      </c>
      <c r="B124" t="s">
        <v>326</v>
      </c>
      <c r="C124" t="s">
        <v>83</v>
      </c>
      <c r="D124" t="s">
        <v>77</v>
      </c>
      <c r="E124" s="6">
        <v>43847</v>
      </c>
      <c r="F124">
        <f t="shared" si="3"/>
        <v>0</v>
      </c>
    </row>
    <row r="125" spans="1:6" x14ac:dyDescent="0.35">
      <c r="A125" t="s">
        <v>327</v>
      </c>
      <c r="B125" t="s">
        <v>328</v>
      </c>
      <c r="C125" t="s">
        <v>86</v>
      </c>
      <c r="D125" t="s">
        <v>87</v>
      </c>
      <c r="E125" s="6">
        <v>34754</v>
      </c>
      <c r="F125">
        <f t="shared" si="3"/>
        <v>1</v>
      </c>
    </row>
    <row r="126" spans="1:6" x14ac:dyDescent="0.35">
      <c r="A126" t="s">
        <v>329</v>
      </c>
      <c r="B126" t="s">
        <v>330</v>
      </c>
      <c r="C126" t="s">
        <v>90</v>
      </c>
      <c r="D126" t="s">
        <v>77</v>
      </c>
      <c r="E126" s="6">
        <v>28458</v>
      </c>
      <c r="F126">
        <f t="shared" si="3"/>
        <v>0</v>
      </c>
    </row>
    <row r="127" spans="1:6" x14ac:dyDescent="0.35">
      <c r="A127" t="s">
        <v>331</v>
      </c>
      <c r="B127" t="s">
        <v>332</v>
      </c>
      <c r="C127" t="s">
        <v>76</v>
      </c>
      <c r="D127" t="s">
        <v>87</v>
      </c>
      <c r="E127" s="6">
        <v>65057</v>
      </c>
      <c r="F127">
        <f t="shared" si="3"/>
        <v>1</v>
      </c>
    </row>
    <row r="128" spans="1:6" x14ac:dyDescent="0.35">
      <c r="A128" t="s">
        <v>333</v>
      </c>
      <c r="B128" t="s">
        <v>334</v>
      </c>
      <c r="C128" t="s">
        <v>80</v>
      </c>
      <c r="D128" t="s">
        <v>77</v>
      </c>
      <c r="E128" s="6">
        <v>38363</v>
      </c>
      <c r="F128">
        <f t="shared" si="3"/>
        <v>1</v>
      </c>
    </row>
    <row r="129" spans="1:6" x14ac:dyDescent="0.35">
      <c r="A129" t="s">
        <v>335</v>
      </c>
      <c r="B129" t="s">
        <v>336</v>
      </c>
      <c r="C129" t="s">
        <v>83</v>
      </c>
      <c r="D129" t="s">
        <v>77</v>
      </c>
      <c r="E129" s="6">
        <v>84639</v>
      </c>
      <c r="F129">
        <f t="shared" si="3"/>
        <v>1</v>
      </c>
    </row>
    <row r="130" spans="1:6" x14ac:dyDescent="0.35">
      <c r="A130" t="s">
        <v>337</v>
      </c>
      <c r="B130" t="s">
        <v>338</v>
      </c>
      <c r="C130" t="s">
        <v>86</v>
      </c>
      <c r="D130" t="s">
        <v>77</v>
      </c>
      <c r="E130" s="6">
        <v>84941</v>
      </c>
      <c r="F130">
        <f t="shared" ref="F130:F151" si="4">IF(D131="Active",1,0)</f>
        <v>1</v>
      </c>
    </row>
    <row r="131" spans="1:6" x14ac:dyDescent="0.35">
      <c r="A131" t="s">
        <v>339</v>
      </c>
      <c r="B131" t="s">
        <v>340</v>
      </c>
      <c r="C131" t="s">
        <v>90</v>
      </c>
      <c r="D131" t="s">
        <v>77</v>
      </c>
      <c r="E131" s="6">
        <v>57035</v>
      </c>
      <c r="F131">
        <f t="shared" si="4"/>
        <v>1</v>
      </c>
    </row>
    <row r="132" spans="1:6" x14ac:dyDescent="0.35">
      <c r="A132" t="s">
        <v>341</v>
      </c>
      <c r="B132" t="s">
        <v>342</v>
      </c>
      <c r="C132" t="s">
        <v>76</v>
      </c>
      <c r="D132" t="s">
        <v>77</v>
      </c>
      <c r="E132" s="6">
        <v>73175</v>
      </c>
      <c r="F132">
        <f t="shared" si="4"/>
        <v>0</v>
      </c>
    </row>
    <row r="133" spans="1:6" x14ac:dyDescent="0.35">
      <c r="A133" t="s">
        <v>343</v>
      </c>
      <c r="B133" t="s">
        <v>344</v>
      </c>
      <c r="C133" t="s">
        <v>80</v>
      </c>
      <c r="D133" t="s">
        <v>87</v>
      </c>
      <c r="E133" s="6">
        <v>31508</v>
      </c>
      <c r="F133">
        <f t="shared" si="4"/>
        <v>1</v>
      </c>
    </row>
    <row r="134" spans="1:6" x14ac:dyDescent="0.35">
      <c r="A134" t="s">
        <v>345</v>
      </c>
      <c r="B134" t="s">
        <v>346</v>
      </c>
      <c r="C134" t="s">
        <v>83</v>
      </c>
      <c r="D134" t="s">
        <v>77</v>
      </c>
      <c r="E134" s="6">
        <v>87883</v>
      </c>
      <c r="F134">
        <f t="shared" si="4"/>
        <v>1</v>
      </c>
    </row>
    <row r="135" spans="1:6" x14ac:dyDescent="0.35">
      <c r="A135" t="s">
        <v>347</v>
      </c>
      <c r="B135" t="s">
        <v>348</v>
      </c>
      <c r="C135" t="s">
        <v>86</v>
      </c>
      <c r="D135" t="s">
        <v>77</v>
      </c>
      <c r="E135" s="6">
        <v>48524</v>
      </c>
      <c r="F135">
        <f t="shared" si="4"/>
        <v>1</v>
      </c>
    </row>
    <row r="136" spans="1:6" x14ac:dyDescent="0.35">
      <c r="A136" t="s">
        <v>349</v>
      </c>
      <c r="B136" t="s">
        <v>350</v>
      </c>
      <c r="C136" t="s">
        <v>90</v>
      </c>
      <c r="D136" t="s">
        <v>77</v>
      </c>
      <c r="E136" s="6">
        <v>77713</v>
      </c>
      <c r="F136">
        <f t="shared" si="4"/>
        <v>1</v>
      </c>
    </row>
    <row r="137" spans="1:6" x14ac:dyDescent="0.35">
      <c r="A137" t="s">
        <v>351</v>
      </c>
      <c r="B137" t="s">
        <v>352</v>
      </c>
      <c r="C137" t="s">
        <v>76</v>
      </c>
      <c r="D137" t="s">
        <v>77</v>
      </c>
      <c r="E137" s="6">
        <v>77398</v>
      </c>
      <c r="F137">
        <f t="shared" si="4"/>
        <v>0</v>
      </c>
    </row>
    <row r="138" spans="1:6" x14ac:dyDescent="0.35">
      <c r="A138" t="s">
        <v>353</v>
      </c>
      <c r="B138" t="s">
        <v>354</v>
      </c>
      <c r="C138" t="s">
        <v>80</v>
      </c>
      <c r="D138" t="s">
        <v>87</v>
      </c>
      <c r="E138" s="6">
        <v>68347</v>
      </c>
      <c r="F138">
        <f t="shared" si="4"/>
        <v>1</v>
      </c>
    </row>
    <row r="139" spans="1:6" x14ac:dyDescent="0.35">
      <c r="A139" t="s">
        <v>355</v>
      </c>
      <c r="B139" t="s">
        <v>356</v>
      </c>
      <c r="C139" t="s">
        <v>83</v>
      </c>
      <c r="D139" t="s">
        <v>77</v>
      </c>
      <c r="E139" s="6">
        <v>30759</v>
      </c>
      <c r="F139">
        <f t="shared" si="4"/>
        <v>1</v>
      </c>
    </row>
    <row r="140" spans="1:6" x14ac:dyDescent="0.35">
      <c r="A140" t="s">
        <v>357</v>
      </c>
      <c r="B140" t="s">
        <v>358</v>
      </c>
      <c r="C140" t="s">
        <v>86</v>
      </c>
      <c r="D140" t="s">
        <v>77</v>
      </c>
      <c r="E140" s="6">
        <v>63055</v>
      </c>
      <c r="F140">
        <f t="shared" si="4"/>
        <v>1</v>
      </c>
    </row>
    <row r="141" spans="1:6" x14ac:dyDescent="0.35">
      <c r="A141" t="s">
        <v>359</v>
      </c>
      <c r="B141" t="s">
        <v>360</v>
      </c>
      <c r="C141" t="s">
        <v>90</v>
      </c>
      <c r="D141" t="s">
        <v>77</v>
      </c>
      <c r="E141" s="6">
        <v>73942</v>
      </c>
      <c r="F141">
        <f t="shared" si="4"/>
        <v>1</v>
      </c>
    </row>
    <row r="142" spans="1:6" x14ac:dyDescent="0.35">
      <c r="A142" t="s">
        <v>361</v>
      </c>
      <c r="B142" t="s">
        <v>362</v>
      </c>
      <c r="C142" t="s">
        <v>76</v>
      </c>
      <c r="D142" t="s">
        <v>77</v>
      </c>
      <c r="E142" s="6">
        <v>59993</v>
      </c>
      <c r="F142">
        <f t="shared" si="4"/>
        <v>1</v>
      </c>
    </row>
    <row r="143" spans="1:6" x14ac:dyDescent="0.35">
      <c r="A143" t="s">
        <v>363</v>
      </c>
      <c r="B143" t="s">
        <v>364</v>
      </c>
      <c r="C143" t="s">
        <v>80</v>
      </c>
      <c r="D143" t="s">
        <v>77</v>
      </c>
      <c r="E143" s="6">
        <v>42392</v>
      </c>
      <c r="F143">
        <f t="shared" si="4"/>
        <v>0</v>
      </c>
    </row>
    <row r="144" spans="1:6" x14ac:dyDescent="0.35">
      <c r="A144" t="s">
        <v>365</v>
      </c>
      <c r="B144" t="s">
        <v>366</v>
      </c>
      <c r="C144" t="s">
        <v>83</v>
      </c>
      <c r="D144" t="s">
        <v>87</v>
      </c>
      <c r="E144" s="6">
        <v>78784</v>
      </c>
      <c r="F144">
        <f t="shared" si="4"/>
        <v>1</v>
      </c>
    </row>
    <row r="145" spans="1:6" x14ac:dyDescent="0.35">
      <c r="A145" t="s">
        <v>367</v>
      </c>
      <c r="B145" t="s">
        <v>368</v>
      </c>
      <c r="C145" t="s">
        <v>86</v>
      </c>
      <c r="D145" t="s">
        <v>77</v>
      </c>
      <c r="E145" s="6">
        <v>26639</v>
      </c>
      <c r="F145">
        <f t="shared" si="4"/>
        <v>1</v>
      </c>
    </row>
    <row r="146" spans="1:6" x14ac:dyDescent="0.35">
      <c r="A146" t="s">
        <v>369</v>
      </c>
      <c r="B146" t="s">
        <v>370</v>
      </c>
      <c r="C146" t="s">
        <v>90</v>
      </c>
      <c r="D146" t="s">
        <v>77</v>
      </c>
      <c r="E146" s="6">
        <v>70407</v>
      </c>
      <c r="F146">
        <f t="shared" si="4"/>
        <v>1</v>
      </c>
    </row>
    <row r="147" spans="1:6" x14ac:dyDescent="0.35">
      <c r="A147" t="s">
        <v>371</v>
      </c>
      <c r="B147" t="s">
        <v>372</v>
      </c>
      <c r="C147" t="s">
        <v>76</v>
      </c>
      <c r="D147" t="s">
        <v>77</v>
      </c>
      <c r="E147" s="6">
        <v>81138</v>
      </c>
      <c r="F147">
        <f t="shared" si="4"/>
        <v>1</v>
      </c>
    </row>
    <row r="148" spans="1:6" x14ac:dyDescent="0.35">
      <c r="A148" t="s">
        <v>373</v>
      </c>
      <c r="B148" t="s">
        <v>374</v>
      </c>
      <c r="C148" t="s">
        <v>80</v>
      </c>
      <c r="D148" t="s">
        <v>77</v>
      </c>
      <c r="E148" s="6">
        <v>49860</v>
      </c>
      <c r="F148">
        <f t="shared" si="4"/>
        <v>1</v>
      </c>
    </row>
    <row r="149" spans="1:6" x14ac:dyDescent="0.35">
      <c r="A149" t="s">
        <v>375</v>
      </c>
      <c r="B149" t="s">
        <v>376</v>
      </c>
      <c r="C149" t="s">
        <v>83</v>
      </c>
      <c r="D149" t="s">
        <v>77</v>
      </c>
      <c r="E149" s="6">
        <v>39202</v>
      </c>
      <c r="F149">
        <f t="shared" si="4"/>
        <v>1</v>
      </c>
    </row>
    <row r="150" spans="1:6" x14ac:dyDescent="0.35">
      <c r="A150" t="s">
        <v>377</v>
      </c>
      <c r="B150" t="s">
        <v>378</v>
      </c>
      <c r="C150" t="s">
        <v>86</v>
      </c>
      <c r="D150" t="s">
        <v>77</v>
      </c>
      <c r="E150" s="6">
        <v>60908</v>
      </c>
      <c r="F150">
        <f t="shared" si="4"/>
        <v>1</v>
      </c>
    </row>
    <row r="151" spans="1:6" x14ac:dyDescent="0.35">
      <c r="A151" t="s">
        <v>379</v>
      </c>
      <c r="B151" t="s">
        <v>380</v>
      </c>
      <c r="C151" t="s">
        <v>90</v>
      </c>
      <c r="D151" t="s">
        <v>77</v>
      </c>
      <c r="E151" s="6">
        <v>68524</v>
      </c>
      <c r="F151">
        <f t="shared" si="4"/>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5CC7-DDF5-422E-9A6E-05B6EB1C72C4}">
  <dimension ref="A4:AT75"/>
  <sheetViews>
    <sheetView topLeftCell="A49" zoomScale="84" zoomScaleNormal="83" workbookViewId="0">
      <selection activeCell="D7" sqref="D7"/>
    </sheetView>
  </sheetViews>
  <sheetFormatPr defaultRowHeight="14.5" x14ac:dyDescent="0.35"/>
  <cols>
    <col min="2" max="2" width="14.26953125" bestFit="1" customWidth="1"/>
    <col min="3" max="3" width="14.90625" bestFit="1" customWidth="1"/>
    <col min="4" max="4" width="20.36328125" bestFit="1" customWidth="1"/>
    <col min="5" max="5" width="24.54296875" bestFit="1" customWidth="1"/>
    <col min="6" max="6" width="16.08984375" bestFit="1" customWidth="1"/>
    <col min="7" max="7" width="14.26953125" bestFit="1" customWidth="1"/>
    <col min="8" max="8" width="15.6328125" bestFit="1" customWidth="1"/>
    <col min="9" max="9" width="11.81640625" bestFit="1" customWidth="1"/>
    <col min="10" max="10" width="12.08984375" bestFit="1" customWidth="1"/>
    <col min="11" max="11" width="13.6328125" bestFit="1" customWidth="1"/>
    <col min="12" max="12" width="9.6328125" bestFit="1" customWidth="1"/>
    <col min="13" max="13" width="10.7265625" bestFit="1" customWidth="1"/>
    <col min="14" max="14" width="20.453125" bestFit="1" customWidth="1"/>
    <col min="15" max="15" width="19.81640625" bestFit="1" customWidth="1"/>
    <col min="16" max="16" width="12.08984375" bestFit="1" customWidth="1"/>
    <col min="17" max="17" width="20.453125" bestFit="1" customWidth="1"/>
    <col min="18" max="18" width="19.81640625" bestFit="1" customWidth="1"/>
    <col min="19" max="19" width="9.1796875" bestFit="1" customWidth="1"/>
    <col min="20" max="20" width="20.453125" bestFit="1" customWidth="1"/>
    <col min="21" max="21" width="19.81640625" bestFit="1" customWidth="1"/>
    <col min="22" max="22" width="9.1796875" bestFit="1" customWidth="1"/>
    <col min="23" max="23" width="20.453125" bestFit="1" customWidth="1"/>
    <col min="24" max="24" width="19.81640625" bestFit="1" customWidth="1"/>
    <col min="25" max="25" width="9.1796875" bestFit="1" customWidth="1"/>
    <col min="26" max="26" width="20.453125" bestFit="1" customWidth="1"/>
    <col min="27" max="27" width="20.54296875" bestFit="1" customWidth="1"/>
    <col min="28" max="28" width="17.6328125" bestFit="1" customWidth="1"/>
    <col min="29" max="29" width="20.453125" bestFit="1" customWidth="1"/>
    <col min="30" max="30" width="19.81640625" bestFit="1" customWidth="1"/>
    <col min="31" max="31" width="20.54296875" bestFit="1" customWidth="1"/>
    <col min="32" max="32" width="20.453125" bestFit="1" customWidth="1"/>
    <col min="33" max="33" width="19.81640625" bestFit="1" customWidth="1"/>
    <col min="34" max="34" width="17.6328125" bestFit="1" customWidth="1"/>
    <col min="35" max="35" width="20.453125" customWidth="1"/>
    <col min="36" max="36" width="19.81640625" bestFit="1" customWidth="1"/>
    <col min="37" max="37" width="25.36328125" bestFit="1" customWidth="1"/>
    <col min="38" max="38" width="20.453125" bestFit="1" customWidth="1"/>
    <col min="39" max="39" width="19.81640625" bestFit="1" customWidth="1"/>
    <col min="40" max="40" width="20.08984375" bestFit="1" customWidth="1"/>
    <col min="41" max="41" width="20.453125" bestFit="1" customWidth="1"/>
    <col min="42" max="42" width="19.81640625" bestFit="1" customWidth="1"/>
    <col min="43" max="43" width="20.08984375" bestFit="1" customWidth="1"/>
    <col min="44" max="44" width="19.36328125" bestFit="1" customWidth="1"/>
    <col min="45" max="45" width="17.6328125" bestFit="1" customWidth="1"/>
    <col min="46" max="46" width="22.36328125" bestFit="1" customWidth="1"/>
    <col min="47" max="47" width="19.36328125" bestFit="1" customWidth="1"/>
    <col min="48" max="48" width="17.6328125" bestFit="1" customWidth="1"/>
    <col min="49" max="49" width="24.90625" bestFit="1" customWidth="1"/>
    <col min="50" max="50" width="24.08984375" bestFit="1" customWidth="1"/>
    <col min="51" max="51" width="22.453125" bestFit="1" customWidth="1"/>
  </cols>
  <sheetData>
    <row r="4" spans="1:8" x14ac:dyDescent="0.35">
      <c r="A4">
        <v>1</v>
      </c>
      <c r="D4">
        <v>5</v>
      </c>
    </row>
    <row r="6" spans="1:8" x14ac:dyDescent="0.35">
      <c r="B6" s="4" t="s">
        <v>1909</v>
      </c>
      <c r="C6" t="s">
        <v>1908</v>
      </c>
      <c r="E6" s="4" t="s">
        <v>1909</v>
      </c>
      <c r="F6" t="s">
        <v>1936</v>
      </c>
      <c r="G6" t="s">
        <v>1937</v>
      </c>
      <c r="H6" t="s">
        <v>1933</v>
      </c>
    </row>
    <row r="7" spans="1:8" x14ac:dyDescent="0.35">
      <c r="B7" s="5" t="s">
        <v>6</v>
      </c>
      <c r="C7">
        <v>61391040</v>
      </c>
      <c r="E7" s="5" t="s">
        <v>83</v>
      </c>
      <c r="F7">
        <v>23</v>
      </c>
      <c r="G7">
        <v>30</v>
      </c>
      <c r="H7" s="11">
        <v>0.26666666666666666</v>
      </c>
    </row>
    <row r="8" spans="1:8" x14ac:dyDescent="0.35">
      <c r="B8" s="5" t="s">
        <v>12</v>
      </c>
      <c r="C8">
        <v>26086994</v>
      </c>
      <c r="E8" s="5" t="s">
        <v>80</v>
      </c>
      <c r="F8">
        <v>22</v>
      </c>
      <c r="G8">
        <v>30</v>
      </c>
      <c r="H8" s="11">
        <v>0.26666666666666666</v>
      </c>
    </row>
    <row r="9" spans="1:8" x14ac:dyDescent="0.35">
      <c r="B9" s="5" t="s">
        <v>9</v>
      </c>
      <c r="C9">
        <v>39537981</v>
      </c>
      <c r="E9" s="5" t="s">
        <v>90</v>
      </c>
      <c r="F9">
        <v>22</v>
      </c>
      <c r="G9">
        <v>30</v>
      </c>
      <c r="H9" s="11">
        <v>0.23333333333333334</v>
      </c>
    </row>
    <row r="10" spans="1:8" x14ac:dyDescent="0.35">
      <c r="B10" s="5" t="s">
        <v>15</v>
      </c>
      <c r="C10">
        <v>32676456</v>
      </c>
      <c r="E10" s="5" t="s">
        <v>86</v>
      </c>
      <c r="F10">
        <v>23</v>
      </c>
      <c r="G10">
        <v>30</v>
      </c>
      <c r="H10" s="11">
        <v>0.23333333333333334</v>
      </c>
    </row>
    <row r="11" spans="1:8" x14ac:dyDescent="0.35">
      <c r="B11" s="5" t="s">
        <v>18</v>
      </c>
      <c r="C11">
        <v>42911204</v>
      </c>
      <c r="E11" s="5" t="s">
        <v>76</v>
      </c>
      <c r="F11">
        <v>22</v>
      </c>
      <c r="G11">
        <v>30</v>
      </c>
      <c r="H11" s="11">
        <v>0.23333333333333334</v>
      </c>
    </row>
    <row r="12" spans="1:8" x14ac:dyDescent="0.35">
      <c r="B12" s="5" t="s">
        <v>1910</v>
      </c>
      <c r="C12">
        <v>202603675</v>
      </c>
      <c r="E12" s="5" t="s">
        <v>1910</v>
      </c>
      <c r="F12">
        <v>112</v>
      </c>
      <c r="G12">
        <v>150</v>
      </c>
      <c r="H12" s="11">
        <v>0.24666666666666667</v>
      </c>
    </row>
    <row r="15" spans="1:8" x14ac:dyDescent="0.35">
      <c r="A15">
        <v>2</v>
      </c>
    </row>
    <row r="16" spans="1:8" x14ac:dyDescent="0.35">
      <c r="F16">
        <v>6</v>
      </c>
    </row>
    <row r="17" spans="1:46" x14ac:dyDescent="0.35">
      <c r="B17" s="4" t="s">
        <v>1909</v>
      </c>
      <c r="C17" t="s">
        <v>1908</v>
      </c>
    </row>
    <row r="18" spans="1:46" x14ac:dyDescent="0.35">
      <c r="B18" s="5" t="s">
        <v>28</v>
      </c>
      <c r="C18">
        <v>11870460</v>
      </c>
      <c r="H18" s="4" t="s">
        <v>1923</v>
      </c>
    </row>
    <row r="19" spans="1:46" x14ac:dyDescent="0.35">
      <c r="B19" s="5" t="s">
        <v>36</v>
      </c>
      <c r="C19">
        <v>14145560</v>
      </c>
      <c r="H19" t="s">
        <v>1897</v>
      </c>
      <c r="K19" t="s">
        <v>1901</v>
      </c>
      <c r="N19" t="s">
        <v>1905</v>
      </c>
      <c r="Q19" t="s">
        <v>1895</v>
      </c>
      <c r="T19" t="s">
        <v>1894</v>
      </c>
      <c r="W19" t="s">
        <v>1900</v>
      </c>
      <c r="Z19" t="s">
        <v>1899</v>
      </c>
      <c r="AC19" t="s">
        <v>1896</v>
      </c>
      <c r="AF19" t="s">
        <v>1898</v>
      </c>
      <c r="AI19" t="s">
        <v>1904</v>
      </c>
      <c r="AL19" t="s">
        <v>1903</v>
      </c>
      <c r="AO19" t="s">
        <v>1902</v>
      </c>
      <c r="AR19" t="s">
        <v>1938</v>
      </c>
      <c r="AS19" t="s">
        <v>1939</v>
      </c>
      <c r="AT19" t="s">
        <v>1940</v>
      </c>
    </row>
    <row r="20" spans="1:46" x14ac:dyDescent="0.35">
      <c r="B20" s="5" t="s">
        <v>40</v>
      </c>
      <c r="C20">
        <v>14148384</v>
      </c>
      <c r="G20" s="4" t="s">
        <v>1909</v>
      </c>
      <c r="H20" t="s">
        <v>1924</v>
      </c>
      <c r="I20" t="s">
        <v>1934</v>
      </c>
      <c r="J20" t="s">
        <v>1941</v>
      </c>
      <c r="K20" t="s">
        <v>1924</v>
      </c>
      <c r="L20" t="s">
        <v>1934</v>
      </c>
      <c r="M20" t="s">
        <v>1941</v>
      </c>
      <c r="N20" t="s">
        <v>1924</v>
      </c>
      <c r="O20" t="s">
        <v>1934</v>
      </c>
      <c r="P20" t="s">
        <v>1941</v>
      </c>
      <c r="Q20" t="s">
        <v>1924</v>
      </c>
      <c r="R20" t="s">
        <v>1934</v>
      </c>
      <c r="S20" t="s">
        <v>1941</v>
      </c>
      <c r="T20" t="s">
        <v>1924</v>
      </c>
      <c r="U20" t="s">
        <v>1934</v>
      </c>
      <c r="V20" t="s">
        <v>1941</v>
      </c>
      <c r="W20" t="s">
        <v>1924</v>
      </c>
      <c r="X20" t="s">
        <v>1934</v>
      </c>
      <c r="Y20" t="s">
        <v>1941</v>
      </c>
      <c r="Z20" t="s">
        <v>1924</v>
      </c>
      <c r="AA20" t="s">
        <v>1934</v>
      </c>
      <c r="AB20" t="s">
        <v>1941</v>
      </c>
      <c r="AC20" t="s">
        <v>1924</v>
      </c>
      <c r="AD20" t="s">
        <v>1934</v>
      </c>
      <c r="AE20" t="s">
        <v>1941</v>
      </c>
      <c r="AF20" t="s">
        <v>1924</v>
      </c>
      <c r="AG20" t="s">
        <v>1934</v>
      </c>
      <c r="AH20" t="s">
        <v>1941</v>
      </c>
      <c r="AI20" t="s">
        <v>1924</v>
      </c>
      <c r="AJ20" t="s">
        <v>1934</v>
      </c>
      <c r="AK20" t="s">
        <v>1941</v>
      </c>
      <c r="AL20" t="s">
        <v>1924</v>
      </c>
      <c r="AM20" t="s">
        <v>1934</v>
      </c>
      <c r="AN20" t="s">
        <v>1941</v>
      </c>
      <c r="AO20" t="s">
        <v>1924</v>
      </c>
      <c r="AP20" t="s">
        <v>1934</v>
      </c>
      <c r="AQ20" t="s">
        <v>1941</v>
      </c>
    </row>
    <row r="21" spans="1:46" x14ac:dyDescent="0.35">
      <c r="B21" s="5" t="s">
        <v>50</v>
      </c>
      <c r="C21">
        <v>15019620</v>
      </c>
      <c r="G21" s="5" t="s">
        <v>83</v>
      </c>
      <c r="H21">
        <v>456591</v>
      </c>
      <c r="I21">
        <v>501413</v>
      </c>
      <c r="J21" s="11">
        <v>9.8166630529292073E-2</v>
      </c>
      <c r="K21">
        <v>441552</v>
      </c>
      <c r="L21">
        <v>428052</v>
      </c>
      <c r="M21" s="11">
        <v>-3.0573975432112186E-2</v>
      </c>
      <c r="N21">
        <v>389560</v>
      </c>
      <c r="O21">
        <v>405262</v>
      </c>
      <c r="P21" s="11">
        <v>4.0307013040353216E-2</v>
      </c>
      <c r="Q21">
        <v>485915</v>
      </c>
      <c r="R21">
        <v>505986</v>
      </c>
      <c r="S21" s="11">
        <v>4.1305578136093764E-2</v>
      </c>
      <c r="T21">
        <v>173399</v>
      </c>
      <c r="U21">
        <v>191651</v>
      </c>
      <c r="V21" s="11">
        <v>0.10526012260739681</v>
      </c>
      <c r="W21">
        <v>156917</v>
      </c>
      <c r="X21">
        <v>148155</v>
      </c>
      <c r="Y21" s="11">
        <v>-5.583843688064391E-2</v>
      </c>
      <c r="Z21">
        <v>342684</v>
      </c>
      <c r="AA21">
        <v>389072</v>
      </c>
      <c r="AB21" s="11">
        <v>0.13536669351355768</v>
      </c>
      <c r="AC21">
        <v>353385</v>
      </c>
      <c r="AD21">
        <v>361095</v>
      </c>
      <c r="AE21" s="11">
        <v>2.1817564412750966E-2</v>
      </c>
      <c r="AF21">
        <v>331760</v>
      </c>
      <c r="AG21">
        <v>330105</v>
      </c>
      <c r="AH21" s="11">
        <v>-4.9885459368217986E-3</v>
      </c>
      <c r="AI21">
        <v>305586</v>
      </c>
      <c r="AJ21">
        <v>308949</v>
      </c>
      <c r="AK21" s="11">
        <v>1.1005085311499872E-2</v>
      </c>
      <c r="AL21">
        <v>198267</v>
      </c>
      <c r="AM21">
        <v>180956</v>
      </c>
      <c r="AN21" s="11">
        <v>-8.7311554620789142E-2</v>
      </c>
      <c r="AO21">
        <v>435791</v>
      </c>
      <c r="AP21">
        <v>478342</v>
      </c>
      <c r="AQ21" s="11">
        <v>9.76408415960862E-2</v>
      </c>
      <c r="AR21">
        <v>4071407</v>
      </c>
      <c r="AS21">
        <v>4229038</v>
      </c>
      <c r="AT21" s="11">
        <v>3.8716591094921239E-2</v>
      </c>
    </row>
    <row r="22" spans="1:46" x14ac:dyDescent="0.35">
      <c r="B22" s="5" t="s">
        <v>58</v>
      </c>
      <c r="C22">
        <v>12002094</v>
      </c>
      <c r="G22" s="5" t="s">
        <v>80</v>
      </c>
      <c r="H22">
        <v>474333</v>
      </c>
      <c r="I22">
        <v>429084</v>
      </c>
      <c r="J22" s="11">
        <v>-9.5395007304994589E-2</v>
      </c>
      <c r="K22">
        <v>480825</v>
      </c>
      <c r="L22">
        <v>493053</v>
      </c>
      <c r="M22" s="11">
        <v>2.5431289970363438E-2</v>
      </c>
      <c r="N22">
        <v>478099</v>
      </c>
      <c r="O22">
        <v>482600</v>
      </c>
      <c r="P22" s="11">
        <v>9.4143681538760796E-3</v>
      </c>
      <c r="Q22">
        <v>179255</v>
      </c>
      <c r="R22">
        <v>166305</v>
      </c>
      <c r="S22" s="11">
        <v>-7.2243452065493291E-2</v>
      </c>
      <c r="T22">
        <v>345659</v>
      </c>
      <c r="U22">
        <v>369378</v>
      </c>
      <c r="V22" s="11">
        <v>6.8619651159090314E-2</v>
      </c>
      <c r="W22">
        <v>259978</v>
      </c>
      <c r="X22">
        <v>288930</v>
      </c>
      <c r="Y22" s="11">
        <v>0.11136326919970152</v>
      </c>
      <c r="Z22">
        <v>377914</v>
      </c>
      <c r="AA22">
        <v>390619</v>
      </c>
      <c r="AB22" s="11">
        <v>3.3618759823663587E-2</v>
      </c>
      <c r="AC22">
        <v>172707</v>
      </c>
      <c r="AD22">
        <v>180587</v>
      </c>
      <c r="AE22" s="11">
        <v>4.562640773101264E-2</v>
      </c>
      <c r="AF22">
        <v>325484</v>
      </c>
      <c r="AG22">
        <v>299391</v>
      </c>
      <c r="AH22" s="11">
        <v>-8.0166767030022984E-2</v>
      </c>
      <c r="AI22">
        <v>157805</v>
      </c>
      <c r="AJ22">
        <v>146612</v>
      </c>
      <c r="AK22" s="11">
        <v>-7.0929311492031299E-2</v>
      </c>
      <c r="AL22">
        <v>294546</v>
      </c>
      <c r="AM22">
        <v>278885</v>
      </c>
      <c r="AN22" s="11">
        <v>-5.3169963265500123E-2</v>
      </c>
      <c r="AO22">
        <v>166840</v>
      </c>
      <c r="AP22">
        <v>153989</v>
      </c>
      <c r="AQ22" s="11">
        <v>-7.7025893071205942E-2</v>
      </c>
      <c r="AR22">
        <v>3713445</v>
      </c>
      <c r="AS22">
        <v>3679433</v>
      </c>
      <c r="AT22" s="11">
        <v>-9.1591500614658355E-3</v>
      </c>
    </row>
    <row r="23" spans="1:46" x14ac:dyDescent="0.35">
      <c r="B23" s="5" t="s">
        <v>1910</v>
      </c>
      <c r="C23">
        <v>67186118</v>
      </c>
      <c r="G23" s="5" t="s">
        <v>90</v>
      </c>
      <c r="H23">
        <v>475866</v>
      </c>
      <c r="I23">
        <v>523817</v>
      </c>
      <c r="J23" s="11">
        <v>0.10076576179008376</v>
      </c>
      <c r="K23">
        <v>184013</v>
      </c>
      <c r="L23">
        <v>174271</v>
      </c>
      <c r="M23" s="11">
        <v>-5.2941911712759422E-2</v>
      </c>
      <c r="N23">
        <v>437809</v>
      </c>
      <c r="O23">
        <v>438957</v>
      </c>
      <c r="P23" s="11">
        <v>2.6221480143167456E-3</v>
      </c>
      <c r="Q23">
        <v>204943</v>
      </c>
      <c r="R23">
        <v>230588</v>
      </c>
      <c r="S23" s="11">
        <v>0.12513235387400398</v>
      </c>
      <c r="T23">
        <v>285769</v>
      </c>
      <c r="U23">
        <v>314673</v>
      </c>
      <c r="V23" s="11">
        <v>0.10114463080320119</v>
      </c>
      <c r="W23">
        <v>278665</v>
      </c>
      <c r="X23">
        <v>254077</v>
      </c>
      <c r="Y23" s="11">
        <v>-8.8234977481922744E-2</v>
      </c>
      <c r="Z23">
        <v>380326</v>
      </c>
      <c r="AA23">
        <v>367329</v>
      </c>
      <c r="AB23" s="11">
        <v>-3.4173314472321116E-2</v>
      </c>
      <c r="AC23">
        <v>340269</v>
      </c>
      <c r="AD23">
        <v>371517</v>
      </c>
      <c r="AE23" s="11">
        <v>9.1833226065260135E-2</v>
      </c>
      <c r="AF23">
        <v>368039</v>
      </c>
      <c r="AG23">
        <v>392057</v>
      </c>
      <c r="AH23" s="11">
        <v>6.5259388271351679E-2</v>
      </c>
      <c r="AI23">
        <v>499607</v>
      </c>
      <c r="AJ23">
        <v>458322</v>
      </c>
      <c r="AK23" s="11">
        <v>-8.2634951071542229E-2</v>
      </c>
      <c r="AL23">
        <v>444435</v>
      </c>
      <c r="AM23">
        <v>412902</v>
      </c>
      <c r="AN23" s="11">
        <v>-7.0950757703601208E-2</v>
      </c>
      <c r="AO23">
        <v>288264</v>
      </c>
      <c r="AP23">
        <v>325665</v>
      </c>
      <c r="AQ23" s="11">
        <v>0.12974564982099743</v>
      </c>
      <c r="AR23">
        <v>4188005</v>
      </c>
      <c r="AS23">
        <v>4264175</v>
      </c>
      <c r="AT23" s="11">
        <v>1.8187657369081459E-2</v>
      </c>
    </row>
    <row r="24" spans="1:46" x14ac:dyDescent="0.35">
      <c r="G24" s="5" t="s">
        <v>86</v>
      </c>
      <c r="H24">
        <v>398480</v>
      </c>
      <c r="I24">
        <v>440775</v>
      </c>
      <c r="J24" s="11">
        <v>0.10614083517365991</v>
      </c>
      <c r="K24">
        <v>311217</v>
      </c>
      <c r="L24">
        <v>335589</v>
      </c>
      <c r="M24" s="11">
        <v>7.8311917408110734E-2</v>
      </c>
      <c r="N24">
        <v>196122</v>
      </c>
      <c r="O24">
        <v>195714</v>
      </c>
      <c r="P24" s="11">
        <v>-2.0803377489521826E-3</v>
      </c>
      <c r="Q24">
        <v>424051</v>
      </c>
      <c r="R24">
        <v>409607</v>
      </c>
      <c r="S24" s="11">
        <v>-3.4061940662797635E-2</v>
      </c>
      <c r="T24">
        <v>318515</v>
      </c>
      <c r="U24">
        <v>346308</v>
      </c>
      <c r="V24" s="11">
        <v>8.7258056920396218E-2</v>
      </c>
      <c r="W24">
        <v>216921</v>
      </c>
      <c r="X24">
        <v>203970</v>
      </c>
      <c r="Y24" s="11">
        <v>-5.9703763121136268E-2</v>
      </c>
      <c r="Z24">
        <v>160223</v>
      </c>
      <c r="AA24">
        <v>173484</v>
      </c>
      <c r="AB24" s="11">
        <v>8.2765895033796652E-2</v>
      </c>
      <c r="AC24">
        <v>377520</v>
      </c>
      <c r="AD24">
        <v>364814</v>
      </c>
      <c r="AE24" s="11">
        <v>-3.3656495020131384E-2</v>
      </c>
      <c r="AF24">
        <v>159699</v>
      </c>
      <c r="AG24">
        <v>147797</v>
      </c>
      <c r="AH24" s="11">
        <v>-7.4527705245493084E-2</v>
      </c>
      <c r="AI24">
        <v>450477</v>
      </c>
      <c r="AJ24">
        <v>411186</v>
      </c>
      <c r="AK24" s="11">
        <v>-8.7220879201379872E-2</v>
      </c>
      <c r="AL24">
        <v>263780</v>
      </c>
      <c r="AM24">
        <v>253484</v>
      </c>
      <c r="AN24" s="11">
        <v>-3.9032527105921602E-2</v>
      </c>
      <c r="AO24">
        <v>300814</v>
      </c>
      <c r="AP24">
        <v>303887</v>
      </c>
      <c r="AQ24" s="11">
        <v>1.0215614964729036E-2</v>
      </c>
      <c r="AR24">
        <v>3577819</v>
      </c>
      <c r="AS24">
        <v>3586615</v>
      </c>
      <c r="AT24" s="11">
        <v>2.4584809907935534E-3</v>
      </c>
    </row>
    <row r="25" spans="1:46" x14ac:dyDescent="0.35">
      <c r="G25" s="5" t="s">
        <v>76</v>
      </c>
      <c r="H25">
        <v>282825</v>
      </c>
      <c r="I25">
        <v>312901</v>
      </c>
      <c r="J25" s="11">
        <v>0.10634137717669938</v>
      </c>
      <c r="K25">
        <v>268583</v>
      </c>
      <c r="L25">
        <v>307885</v>
      </c>
      <c r="M25" s="11">
        <v>0.14633092935889463</v>
      </c>
      <c r="N25">
        <v>245799</v>
      </c>
      <c r="O25">
        <v>235926</v>
      </c>
      <c r="P25" s="11">
        <v>-4.0166965691479622E-2</v>
      </c>
      <c r="Q25">
        <v>222114</v>
      </c>
      <c r="R25">
        <v>228071</v>
      </c>
      <c r="S25" s="11">
        <v>2.6819561126268494E-2</v>
      </c>
      <c r="T25">
        <v>424990</v>
      </c>
      <c r="U25">
        <v>397496</v>
      </c>
      <c r="V25" s="11">
        <v>-6.4693286900868258E-2</v>
      </c>
      <c r="W25">
        <v>390490</v>
      </c>
      <c r="X25">
        <v>369680</v>
      </c>
      <c r="Y25" s="11">
        <v>-5.329201772132449E-2</v>
      </c>
      <c r="Z25">
        <v>483321</v>
      </c>
      <c r="AA25">
        <v>506091</v>
      </c>
      <c r="AB25" s="11">
        <v>4.7111546984302359E-2</v>
      </c>
      <c r="AC25">
        <v>242470</v>
      </c>
      <c r="AD25">
        <v>246628</v>
      </c>
      <c r="AE25" s="11">
        <v>1.7148513218130077E-2</v>
      </c>
      <c r="AF25">
        <v>335141</v>
      </c>
      <c r="AG25">
        <v>370740</v>
      </c>
      <c r="AH25" s="11">
        <v>0.10622096371378018</v>
      </c>
      <c r="AI25">
        <v>301295</v>
      </c>
      <c r="AJ25">
        <v>283962</v>
      </c>
      <c r="AK25" s="11">
        <v>-5.7528336016196752E-2</v>
      </c>
      <c r="AL25">
        <v>357784</v>
      </c>
      <c r="AM25">
        <v>355083</v>
      </c>
      <c r="AN25" s="11">
        <v>-7.5492475907251305E-3</v>
      </c>
      <c r="AO25">
        <v>280178</v>
      </c>
      <c r="AP25">
        <v>286433</v>
      </c>
      <c r="AQ25" s="11">
        <v>2.2325093333523689E-2</v>
      </c>
      <c r="AR25">
        <v>3834990</v>
      </c>
      <c r="AS25">
        <v>3900896</v>
      </c>
      <c r="AT25" s="11">
        <v>1.718544246529978E-2</v>
      </c>
    </row>
    <row r="26" spans="1:46" x14ac:dyDescent="0.35">
      <c r="A26" s="14">
        <v>3</v>
      </c>
      <c r="G26" s="5" t="s">
        <v>1910</v>
      </c>
      <c r="H26">
        <v>2088095</v>
      </c>
      <c r="I26">
        <v>2207990</v>
      </c>
      <c r="J26" s="11">
        <v>5.7418364585902458E-2</v>
      </c>
      <c r="K26">
        <v>1686190</v>
      </c>
      <c r="L26">
        <v>1738850</v>
      </c>
      <c r="M26" s="11">
        <v>3.1230169791067436E-2</v>
      </c>
      <c r="N26">
        <v>1747389</v>
      </c>
      <c r="O26">
        <v>1758459</v>
      </c>
      <c r="P26" s="11">
        <v>6.3351663539143255E-3</v>
      </c>
      <c r="Q26">
        <v>1516278</v>
      </c>
      <c r="R26">
        <v>1540557</v>
      </c>
      <c r="S26" s="11">
        <v>1.6012235223356139E-2</v>
      </c>
      <c r="T26">
        <v>1548332</v>
      </c>
      <c r="U26">
        <v>1619506</v>
      </c>
      <c r="V26" s="11">
        <v>4.5968177367644664E-2</v>
      </c>
      <c r="W26">
        <v>1302971</v>
      </c>
      <c r="X26">
        <v>1264812</v>
      </c>
      <c r="Y26" s="11">
        <v>-2.9286146813704988E-2</v>
      </c>
      <c r="Z26">
        <v>1744468</v>
      </c>
      <c r="AA26">
        <v>1826595</v>
      </c>
      <c r="AB26" s="11">
        <v>4.707853626435108E-2</v>
      </c>
      <c r="AC26">
        <v>1486351</v>
      </c>
      <c r="AD26">
        <v>1524641</v>
      </c>
      <c r="AE26" s="11">
        <v>2.5761075277643035E-2</v>
      </c>
      <c r="AF26">
        <v>1520123</v>
      </c>
      <c r="AG26">
        <v>1540090</v>
      </c>
      <c r="AH26" s="11">
        <v>1.313512130268406E-2</v>
      </c>
      <c r="AI26">
        <v>1714770</v>
      </c>
      <c r="AJ26">
        <v>1609031</v>
      </c>
      <c r="AK26" s="11">
        <v>-6.1663663348437397E-2</v>
      </c>
      <c r="AL26">
        <v>1558812</v>
      </c>
      <c r="AM26">
        <v>1481310</v>
      </c>
      <c r="AN26" s="11">
        <v>-4.971863188120184E-2</v>
      </c>
      <c r="AO26">
        <v>1471887</v>
      </c>
      <c r="AP26">
        <v>1548316</v>
      </c>
      <c r="AQ26" s="11">
        <v>5.1925861156461063E-2</v>
      </c>
      <c r="AR26">
        <v>19385666</v>
      </c>
      <c r="AS26">
        <v>19660157</v>
      </c>
      <c r="AT26" s="11">
        <v>1.4159482578519613E-2</v>
      </c>
    </row>
    <row r="28" spans="1:46" x14ac:dyDescent="0.35">
      <c r="B28" s="4" t="s">
        <v>1909</v>
      </c>
      <c r="C28" t="s">
        <v>1908</v>
      </c>
      <c r="D28" t="s">
        <v>1931</v>
      </c>
      <c r="E28" t="s">
        <v>1932</v>
      </c>
    </row>
    <row r="29" spans="1:46" x14ac:dyDescent="0.35">
      <c r="B29" s="5" t="s">
        <v>391</v>
      </c>
      <c r="C29">
        <v>43894877</v>
      </c>
      <c r="D29">
        <v>329</v>
      </c>
      <c r="E29" s="10">
        <v>133419.07902735562</v>
      </c>
    </row>
    <row r="30" spans="1:46" x14ac:dyDescent="0.35">
      <c r="B30" s="5" t="s">
        <v>387</v>
      </c>
      <c r="C30">
        <v>39795962</v>
      </c>
      <c r="D30">
        <v>303</v>
      </c>
      <c r="E30" s="10">
        <v>131339.80858085808</v>
      </c>
      <c r="F30">
        <v>7</v>
      </c>
    </row>
    <row r="31" spans="1:46" x14ac:dyDescent="0.35">
      <c r="B31" s="5" t="s">
        <v>394</v>
      </c>
      <c r="C31">
        <v>37107887</v>
      </c>
      <c r="D31">
        <v>277</v>
      </c>
      <c r="E31" s="10">
        <v>133963.49097472924</v>
      </c>
    </row>
    <row r="32" spans="1:46" x14ac:dyDescent="0.35">
      <c r="B32" s="5" t="s">
        <v>389</v>
      </c>
      <c r="C32">
        <v>41036357</v>
      </c>
      <c r="D32">
        <v>295</v>
      </c>
      <c r="E32" s="10">
        <v>139106.29491525423</v>
      </c>
      <c r="G32" s="4" t="s">
        <v>1908</v>
      </c>
      <c r="H32" s="4" t="s">
        <v>1923</v>
      </c>
    </row>
    <row r="33" spans="1:13" x14ac:dyDescent="0.35">
      <c r="B33" s="5" t="s">
        <v>403</v>
      </c>
      <c r="C33">
        <v>40768592</v>
      </c>
      <c r="D33">
        <v>296</v>
      </c>
      <c r="E33" s="10">
        <v>137731.72972972973</v>
      </c>
      <c r="G33" s="4" t="s">
        <v>1909</v>
      </c>
      <c r="H33" t="s">
        <v>6</v>
      </c>
      <c r="I33" t="s">
        <v>12</v>
      </c>
      <c r="J33" t="s">
        <v>9</v>
      </c>
      <c r="K33" t="s">
        <v>15</v>
      </c>
      <c r="L33" t="s">
        <v>18</v>
      </c>
      <c r="M33" t="s">
        <v>1910</v>
      </c>
    </row>
    <row r="34" spans="1:13" x14ac:dyDescent="0.35">
      <c r="B34" s="5" t="s">
        <v>1910</v>
      </c>
      <c r="C34">
        <v>202603675</v>
      </c>
      <c r="D34">
        <v>1500</v>
      </c>
      <c r="E34" s="10">
        <v>135069.11666666667</v>
      </c>
      <c r="G34" s="5" t="s">
        <v>391</v>
      </c>
      <c r="H34">
        <v>14341305</v>
      </c>
      <c r="I34">
        <v>5870959</v>
      </c>
      <c r="J34">
        <v>8297617</v>
      </c>
      <c r="K34">
        <v>7392704</v>
      </c>
      <c r="L34">
        <v>7992292</v>
      </c>
      <c r="M34">
        <v>43894877</v>
      </c>
    </row>
    <row r="35" spans="1:13" x14ac:dyDescent="0.35">
      <c r="G35" s="5" t="s">
        <v>387</v>
      </c>
      <c r="H35">
        <v>10617826</v>
      </c>
      <c r="I35">
        <v>5879064</v>
      </c>
      <c r="J35">
        <v>7856954</v>
      </c>
      <c r="K35">
        <v>6930169</v>
      </c>
      <c r="L35">
        <v>8511949</v>
      </c>
      <c r="M35">
        <v>39795962</v>
      </c>
    </row>
    <row r="36" spans="1:13" x14ac:dyDescent="0.35">
      <c r="G36" s="5" t="s">
        <v>394</v>
      </c>
      <c r="H36">
        <v>10853085</v>
      </c>
      <c r="I36">
        <v>3849114</v>
      </c>
      <c r="J36">
        <v>7148893</v>
      </c>
      <c r="K36">
        <v>5691250</v>
      </c>
      <c r="L36">
        <v>9565545</v>
      </c>
      <c r="M36">
        <v>37107887</v>
      </c>
    </row>
    <row r="37" spans="1:13" x14ac:dyDescent="0.35">
      <c r="A37">
        <v>4</v>
      </c>
      <c r="G37" s="5" t="s">
        <v>389</v>
      </c>
      <c r="H37">
        <v>13575193</v>
      </c>
      <c r="I37">
        <v>4924774</v>
      </c>
      <c r="J37">
        <v>9183254</v>
      </c>
      <c r="K37">
        <v>6029474</v>
      </c>
      <c r="L37">
        <v>7323662</v>
      </c>
      <c r="M37">
        <v>41036357</v>
      </c>
    </row>
    <row r="38" spans="1:13" x14ac:dyDescent="0.35">
      <c r="G38" s="5" t="s">
        <v>403</v>
      </c>
      <c r="H38">
        <v>12003631</v>
      </c>
      <c r="I38">
        <v>5563083</v>
      </c>
      <c r="J38">
        <v>7051263</v>
      </c>
      <c r="K38">
        <v>6632859</v>
      </c>
      <c r="L38">
        <v>9517756</v>
      </c>
      <c r="M38">
        <v>40768592</v>
      </c>
    </row>
    <row r="39" spans="1:13" x14ac:dyDescent="0.35">
      <c r="B39" s="4" t="s">
        <v>1909</v>
      </c>
      <c r="C39" t="s">
        <v>1908</v>
      </c>
      <c r="G39" s="5" t="s">
        <v>1910</v>
      </c>
      <c r="H39">
        <v>61391040</v>
      </c>
      <c r="I39">
        <v>26086994</v>
      </c>
      <c r="J39">
        <v>39537981</v>
      </c>
      <c r="K39">
        <v>32676456</v>
      </c>
      <c r="L39">
        <v>42911204</v>
      </c>
      <c r="M39">
        <v>202603675</v>
      </c>
    </row>
    <row r="40" spans="1:13" x14ac:dyDescent="0.35">
      <c r="B40" s="5" t="s">
        <v>1911</v>
      </c>
      <c r="C40">
        <v>18629446</v>
      </c>
    </row>
    <row r="41" spans="1:13" x14ac:dyDescent="0.35">
      <c r="B41" s="5" t="s">
        <v>1912</v>
      </c>
      <c r="C41">
        <v>16608397</v>
      </c>
    </row>
    <row r="42" spans="1:13" x14ac:dyDescent="0.35">
      <c r="B42" s="5" t="s">
        <v>1913</v>
      </c>
      <c r="C42">
        <v>15174757</v>
      </c>
    </row>
    <row r="43" spans="1:13" x14ac:dyDescent="0.35">
      <c r="B43" s="5" t="s">
        <v>1914</v>
      </c>
      <c r="C43">
        <v>13108190</v>
      </c>
    </row>
    <row r="44" spans="1:13" x14ac:dyDescent="0.35">
      <c r="B44" s="5" t="s">
        <v>1915</v>
      </c>
      <c r="C44">
        <v>15965173</v>
      </c>
      <c r="F44">
        <v>8</v>
      </c>
    </row>
    <row r="45" spans="1:13" x14ac:dyDescent="0.35">
      <c r="B45" s="5" t="s">
        <v>1916</v>
      </c>
      <c r="C45">
        <v>16297022</v>
      </c>
      <c r="G45" s="4" t="s">
        <v>1909</v>
      </c>
      <c r="H45" t="s">
        <v>1925</v>
      </c>
      <c r="I45" t="s">
        <v>1926</v>
      </c>
      <c r="J45" t="s">
        <v>1927</v>
      </c>
      <c r="K45" t="s">
        <v>1928</v>
      </c>
    </row>
    <row r="46" spans="1:13" x14ac:dyDescent="0.35">
      <c r="B46" s="5" t="s">
        <v>1917</v>
      </c>
      <c r="C46">
        <v>16948686</v>
      </c>
      <c r="G46" s="5" t="s">
        <v>83</v>
      </c>
      <c r="H46" s="12">
        <v>56408.933333333334</v>
      </c>
      <c r="I46" s="12">
        <v>27245</v>
      </c>
      <c r="J46" s="12">
        <v>87883</v>
      </c>
      <c r="K46" s="13">
        <v>30</v>
      </c>
    </row>
    <row r="47" spans="1:13" x14ac:dyDescent="0.35">
      <c r="B47" s="5" t="s">
        <v>1918</v>
      </c>
      <c r="C47">
        <v>18270741</v>
      </c>
      <c r="G47" s="5" t="s">
        <v>80</v>
      </c>
      <c r="H47" s="12">
        <v>52836.633333333331</v>
      </c>
      <c r="I47" s="12">
        <v>31508</v>
      </c>
      <c r="J47" s="12">
        <v>89204</v>
      </c>
      <c r="K47" s="13">
        <v>30</v>
      </c>
    </row>
    <row r="48" spans="1:13" x14ac:dyDescent="0.35">
      <c r="B48" s="5" t="s">
        <v>1919</v>
      </c>
      <c r="C48">
        <v>19450485</v>
      </c>
      <c r="G48" s="5" t="s">
        <v>90</v>
      </c>
      <c r="H48" s="12">
        <v>58847.23333333333</v>
      </c>
      <c r="I48" s="12">
        <v>26571</v>
      </c>
      <c r="J48" s="12">
        <v>89405</v>
      </c>
      <c r="K48" s="13">
        <v>30</v>
      </c>
    </row>
    <row r="49" spans="2:11" x14ac:dyDescent="0.35">
      <c r="B49" s="5" t="s">
        <v>1920</v>
      </c>
      <c r="C49">
        <v>20228686</v>
      </c>
      <c r="G49" s="5" t="s">
        <v>86</v>
      </c>
      <c r="H49" s="12">
        <v>51632.833333333336</v>
      </c>
      <c r="I49" s="12">
        <v>26184</v>
      </c>
      <c r="J49" s="12">
        <v>88407</v>
      </c>
      <c r="K49" s="13">
        <v>30</v>
      </c>
    </row>
    <row r="50" spans="2:11" x14ac:dyDescent="0.35">
      <c r="B50" s="5" t="s">
        <v>1921</v>
      </c>
      <c r="C50">
        <v>17816857</v>
      </c>
      <c r="G50" s="5" t="s">
        <v>76</v>
      </c>
      <c r="H50" s="12">
        <v>58386.23333333333</v>
      </c>
      <c r="I50" s="12">
        <v>25348</v>
      </c>
      <c r="J50" s="12">
        <v>86541</v>
      </c>
      <c r="K50" s="13">
        <v>30</v>
      </c>
    </row>
    <row r="51" spans="2:11" x14ac:dyDescent="0.35">
      <c r="B51" s="5" t="s">
        <v>1922</v>
      </c>
      <c r="C51">
        <v>14105235</v>
      </c>
      <c r="G51" s="5" t="s">
        <v>1910</v>
      </c>
      <c r="H51" s="12">
        <v>55622.373333333337</v>
      </c>
      <c r="I51" s="12">
        <v>25348</v>
      </c>
      <c r="J51" s="12">
        <v>89405</v>
      </c>
      <c r="K51" s="13">
        <v>150</v>
      </c>
    </row>
    <row r="52" spans="2:11" x14ac:dyDescent="0.35">
      <c r="B52" s="5" t="s">
        <v>1910</v>
      </c>
      <c r="C52">
        <v>202603675</v>
      </c>
    </row>
    <row r="58" spans="2:11" x14ac:dyDescent="0.35">
      <c r="B58" s="4" t="s">
        <v>1909</v>
      </c>
      <c r="C58" t="s">
        <v>1924</v>
      </c>
      <c r="D58" t="s">
        <v>1934</v>
      </c>
    </row>
    <row r="59" spans="2:11" x14ac:dyDescent="0.35">
      <c r="B59" s="5" t="s">
        <v>83</v>
      </c>
      <c r="C59">
        <v>4071407</v>
      </c>
      <c r="D59">
        <v>4229038</v>
      </c>
    </row>
    <row r="60" spans="2:11" x14ac:dyDescent="0.35">
      <c r="B60" s="5" t="s">
        <v>80</v>
      </c>
      <c r="C60">
        <v>3713445</v>
      </c>
      <c r="D60">
        <v>3679433</v>
      </c>
    </row>
    <row r="61" spans="2:11" x14ac:dyDescent="0.35">
      <c r="B61" s="5" t="s">
        <v>90</v>
      </c>
      <c r="C61">
        <v>4188005</v>
      </c>
      <c r="D61">
        <v>4264175</v>
      </c>
    </row>
    <row r="62" spans="2:11" x14ac:dyDescent="0.35">
      <c r="B62" s="5" t="s">
        <v>86</v>
      </c>
      <c r="C62">
        <v>3577819</v>
      </c>
      <c r="D62">
        <v>3586615</v>
      </c>
    </row>
    <row r="63" spans="2:11" x14ac:dyDescent="0.35">
      <c r="B63" s="5" t="s">
        <v>76</v>
      </c>
      <c r="C63">
        <v>3834990</v>
      </c>
      <c r="D63">
        <v>3900896</v>
      </c>
    </row>
    <row r="64" spans="2:11" x14ac:dyDescent="0.35">
      <c r="B64" s="5" t="s">
        <v>1910</v>
      </c>
      <c r="C64">
        <v>19385666</v>
      </c>
      <c r="D64">
        <v>19660157</v>
      </c>
    </row>
    <row r="69" spans="2:6" x14ac:dyDescent="0.35">
      <c r="B69" s="4" t="s">
        <v>1909</v>
      </c>
      <c r="C69" t="s">
        <v>1942</v>
      </c>
      <c r="D69" t="s">
        <v>1943</v>
      </c>
      <c r="E69" t="s">
        <v>1935</v>
      </c>
      <c r="F69" t="s">
        <v>1933</v>
      </c>
    </row>
    <row r="70" spans="2:6" x14ac:dyDescent="0.35">
      <c r="B70" s="5" t="s">
        <v>83</v>
      </c>
      <c r="C70" s="10">
        <v>202603675</v>
      </c>
      <c r="D70" s="10">
        <v>1500</v>
      </c>
      <c r="E70" s="10">
        <v>113</v>
      </c>
      <c r="F70" s="11">
        <v>0.24666666666666667</v>
      </c>
    </row>
    <row r="71" spans="2:6" x14ac:dyDescent="0.35">
      <c r="B71" s="5" t="s">
        <v>80</v>
      </c>
      <c r="C71" s="10">
        <v>202603675</v>
      </c>
      <c r="D71" s="10">
        <v>1500</v>
      </c>
      <c r="E71" s="10">
        <v>113</v>
      </c>
      <c r="F71" s="11">
        <v>0.24666666666666667</v>
      </c>
    </row>
    <row r="72" spans="2:6" x14ac:dyDescent="0.35">
      <c r="B72" s="5" t="s">
        <v>90</v>
      </c>
      <c r="C72" s="10">
        <v>202603675</v>
      </c>
      <c r="D72" s="10">
        <v>1500</v>
      </c>
      <c r="E72" s="10">
        <v>113</v>
      </c>
      <c r="F72" s="11">
        <v>0.24666666666666667</v>
      </c>
    </row>
    <row r="73" spans="2:6" x14ac:dyDescent="0.35">
      <c r="B73" s="5" t="s">
        <v>86</v>
      </c>
      <c r="C73" s="10">
        <v>202603675</v>
      </c>
      <c r="D73" s="10">
        <v>1500</v>
      </c>
      <c r="E73" s="10">
        <v>113</v>
      </c>
      <c r="F73" s="11">
        <v>0.24666666666666667</v>
      </c>
    </row>
    <row r="74" spans="2:6" x14ac:dyDescent="0.35">
      <c r="B74" s="5" t="s">
        <v>76</v>
      </c>
      <c r="C74" s="10">
        <v>202603675</v>
      </c>
      <c r="D74" s="10">
        <v>1500</v>
      </c>
      <c r="E74" s="10">
        <v>113</v>
      </c>
      <c r="F74" s="11">
        <v>0.24666666666666667</v>
      </c>
    </row>
    <row r="75" spans="2:6" x14ac:dyDescent="0.35">
      <c r="B75" s="5" t="s">
        <v>1910</v>
      </c>
      <c r="C75" s="10">
        <v>202603675</v>
      </c>
      <c r="D75" s="10">
        <v>1500</v>
      </c>
      <c r="E75" s="10">
        <v>113</v>
      </c>
      <c r="F75" s="11">
        <v>0.24666666666666667</v>
      </c>
    </row>
  </sheetData>
  <conditionalFormatting sqref="G34:G38">
    <cfRule type="colorScale" priority="3">
      <colorScale>
        <cfvo type="min"/>
        <cfvo type="percentile" val="50"/>
        <cfvo type="max"/>
        <color rgb="FFF8696B"/>
        <color rgb="FFFFEB84"/>
        <color rgb="FF63BE7B"/>
      </colorScale>
    </cfRule>
  </conditionalFormatting>
  <conditionalFormatting pivot="1" sqref="H34:M39">
    <cfRule type="colorScale" priority="2">
      <colorScale>
        <cfvo type="min"/>
        <cfvo type="percentile" val="50"/>
        <cfvo type="max"/>
        <color rgb="FFF8696B"/>
        <color rgb="FFFFEB84"/>
        <color rgb="FF63BE7B"/>
      </colorScale>
    </cfRule>
  </conditionalFormatting>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C92F-0B54-4989-A397-9E5C4986A6B8}">
  <dimension ref="A1:V37"/>
  <sheetViews>
    <sheetView showGridLines="0" showRowColHeaders="0" topLeftCell="A13" zoomScale="90" zoomScaleNormal="86" workbookViewId="0">
      <selection activeCell="S7" sqref="S7"/>
    </sheetView>
  </sheetViews>
  <sheetFormatPr defaultRowHeight="14.5" x14ac:dyDescent="0.35"/>
  <sheetData>
    <row r="1" spans="1:22" x14ac:dyDescent="0.35">
      <c r="A1" s="8"/>
      <c r="B1" s="8"/>
      <c r="C1" s="8"/>
      <c r="D1" s="8"/>
      <c r="E1" s="8"/>
      <c r="F1" s="8"/>
      <c r="G1" s="8"/>
      <c r="H1" s="8"/>
      <c r="I1" s="8"/>
      <c r="J1" s="8"/>
      <c r="K1" s="8"/>
      <c r="L1" s="8"/>
      <c r="M1" s="8"/>
      <c r="N1" s="8"/>
      <c r="O1" s="8"/>
      <c r="P1" s="8"/>
      <c r="Q1" s="8"/>
      <c r="R1" s="8"/>
      <c r="S1" s="8"/>
      <c r="T1" s="8"/>
      <c r="U1" s="8"/>
      <c r="V1" s="8"/>
    </row>
    <row r="2" spans="1:22" x14ac:dyDescent="0.35">
      <c r="A2" s="8"/>
      <c r="B2" s="8"/>
      <c r="C2" s="8"/>
      <c r="D2" s="8"/>
      <c r="E2" s="8"/>
      <c r="F2" s="8"/>
      <c r="G2" s="8"/>
      <c r="H2" s="8"/>
      <c r="I2" s="8"/>
      <c r="J2" s="8"/>
      <c r="K2" s="8"/>
      <c r="L2" s="8"/>
      <c r="M2" s="8"/>
      <c r="N2" s="8"/>
      <c r="O2" s="8"/>
      <c r="P2" s="8"/>
      <c r="Q2" s="8"/>
      <c r="R2" s="8"/>
      <c r="S2" s="8"/>
      <c r="T2" s="8"/>
      <c r="U2" s="8"/>
      <c r="V2" s="8"/>
    </row>
    <row r="3" spans="1:22" x14ac:dyDescent="0.35">
      <c r="A3" s="8"/>
      <c r="B3" s="8"/>
      <c r="C3" s="8"/>
      <c r="D3" s="8"/>
      <c r="E3" s="8"/>
      <c r="F3" s="8"/>
      <c r="G3" s="8"/>
      <c r="H3" s="8"/>
      <c r="I3" s="8"/>
      <c r="J3" s="8"/>
      <c r="K3" s="8"/>
      <c r="L3" s="8"/>
      <c r="M3" s="8"/>
      <c r="N3" s="8"/>
      <c r="O3" s="8"/>
      <c r="P3" s="8"/>
      <c r="Q3" s="8"/>
      <c r="R3" s="8"/>
      <c r="S3" s="8"/>
      <c r="T3" s="8"/>
      <c r="U3" s="8"/>
      <c r="V3" s="8"/>
    </row>
    <row r="4" spans="1:22" ht="46" x14ac:dyDescent="1">
      <c r="A4" s="8"/>
      <c r="B4" s="8"/>
      <c r="C4" s="8"/>
      <c r="D4" s="9"/>
      <c r="E4" s="8"/>
      <c r="F4" s="8"/>
      <c r="G4" s="8"/>
      <c r="H4" s="8"/>
      <c r="I4" s="8"/>
      <c r="J4" s="8"/>
      <c r="K4" s="8"/>
      <c r="L4" s="8"/>
      <c r="M4" s="8"/>
      <c r="N4" s="8"/>
      <c r="O4" s="8"/>
      <c r="P4" s="8"/>
      <c r="Q4" s="8"/>
      <c r="R4" s="8"/>
      <c r="S4" s="8"/>
      <c r="T4" s="8"/>
      <c r="U4" s="8"/>
      <c r="V4" s="8"/>
    </row>
    <row r="5" spans="1:22" x14ac:dyDescent="0.35">
      <c r="A5" s="8"/>
      <c r="B5" s="8"/>
      <c r="C5" s="8"/>
      <c r="D5" s="8"/>
      <c r="E5" s="8"/>
      <c r="F5" s="8"/>
      <c r="G5" s="8"/>
      <c r="H5" s="8"/>
      <c r="I5" s="8"/>
      <c r="J5" s="8"/>
      <c r="K5" s="8"/>
      <c r="L5" s="8"/>
      <c r="M5" s="8"/>
      <c r="N5" s="8"/>
      <c r="O5" s="8"/>
      <c r="P5" s="8"/>
      <c r="Q5" s="8"/>
      <c r="R5" s="8"/>
      <c r="S5" s="8"/>
      <c r="T5" s="8"/>
      <c r="U5" s="8"/>
      <c r="V5" s="8"/>
    </row>
    <row r="6" spans="1:22" x14ac:dyDescent="0.35">
      <c r="A6" s="8"/>
      <c r="B6" s="8"/>
      <c r="C6" s="8"/>
      <c r="D6" s="8"/>
      <c r="E6" s="8"/>
      <c r="F6" s="8"/>
      <c r="G6" s="8"/>
      <c r="H6" s="8"/>
      <c r="I6" s="8"/>
      <c r="J6" s="8"/>
      <c r="K6" s="8"/>
      <c r="L6" s="8"/>
      <c r="M6" s="8"/>
      <c r="N6" s="8"/>
      <c r="O6" s="8"/>
      <c r="P6" s="8"/>
      <c r="Q6" s="8"/>
      <c r="R6" s="8"/>
      <c r="S6" s="8"/>
      <c r="T6" s="8"/>
      <c r="U6" s="8"/>
      <c r="V6" s="8"/>
    </row>
    <row r="7" spans="1:22" x14ac:dyDescent="0.35">
      <c r="A7" s="8"/>
      <c r="B7" s="8"/>
      <c r="C7" s="8"/>
      <c r="D7" s="8"/>
      <c r="E7" s="8"/>
      <c r="F7" s="8"/>
      <c r="G7" s="8"/>
      <c r="H7" s="8"/>
      <c r="I7" s="8"/>
      <c r="J7" s="8"/>
      <c r="K7" s="8"/>
      <c r="L7" s="8"/>
      <c r="M7" s="8"/>
      <c r="N7" s="8"/>
      <c r="O7" s="8"/>
      <c r="P7" s="8"/>
      <c r="Q7" s="8"/>
      <c r="R7" s="8"/>
      <c r="S7" s="8"/>
      <c r="T7" s="8"/>
      <c r="U7" s="8"/>
      <c r="V7" s="8"/>
    </row>
    <row r="8" spans="1:22" x14ac:dyDescent="0.35">
      <c r="A8" s="8"/>
      <c r="B8" s="8"/>
      <c r="C8" s="8"/>
      <c r="D8" s="8"/>
      <c r="E8" s="8"/>
      <c r="F8" s="8"/>
      <c r="G8" s="8"/>
      <c r="H8" s="8"/>
      <c r="I8" s="8"/>
      <c r="J8" s="8"/>
      <c r="K8" s="8"/>
      <c r="L8" s="8"/>
      <c r="M8" s="8"/>
      <c r="N8" s="8"/>
      <c r="O8" s="8"/>
      <c r="P8" s="8"/>
      <c r="Q8" s="8"/>
      <c r="R8" s="8"/>
      <c r="S8" s="8"/>
      <c r="T8" s="8"/>
      <c r="U8" s="8"/>
      <c r="V8" s="8"/>
    </row>
    <row r="9" spans="1:22" x14ac:dyDescent="0.35">
      <c r="A9" s="8"/>
      <c r="B9" s="8"/>
      <c r="C9" s="8"/>
      <c r="D9" s="8"/>
      <c r="E9" s="8"/>
      <c r="F9" s="8"/>
      <c r="G9" s="8"/>
      <c r="H9" s="8"/>
      <c r="I9" s="8"/>
      <c r="J9" s="8"/>
      <c r="K9" s="8"/>
      <c r="L9" s="8"/>
      <c r="M9" s="8"/>
      <c r="N9" s="8"/>
      <c r="O9" s="8"/>
      <c r="P9" s="8"/>
      <c r="Q9" s="8"/>
      <c r="R9" s="8"/>
      <c r="S9" s="8"/>
      <c r="T9" s="8"/>
      <c r="U9" s="8"/>
      <c r="V9" s="8"/>
    </row>
    <row r="10" spans="1:22" x14ac:dyDescent="0.35">
      <c r="A10" s="8"/>
      <c r="B10" s="8"/>
      <c r="C10" s="8"/>
      <c r="D10" s="8"/>
      <c r="E10" s="8"/>
      <c r="F10" s="8"/>
      <c r="G10" s="8"/>
      <c r="H10" s="8"/>
      <c r="I10" s="8"/>
      <c r="J10" s="8"/>
      <c r="K10" s="8"/>
      <c r="L10" s="8"/>
      <c r="M10" s="8"/>
      <c r="N10" s="8"/>
      <c r="O10" s="8"/>
      <c r="P10" s="8"/>
      <c r="Q10" s="8"/>
      <c r="R10" s="8"/>
      <c r="S10" s="8"/>
      <c r="T10" s="8"/>
      <c r="U10" s="8"/>
      <c r="V10" s="8"/>
    </row>
    <row r="11" spans="1:22" x14ac:dyDescent="0.35">
      <c r="A11" s="8"/>
      <c r="B11" s="8"/>
      <c r="C11" s="8"/>
      <c r="D11" s="8"/>
      <c r="E11" s="8"/>
      <c r="F11" s="8"/>
      <c r="G11" s="8"/>
      <c r="H11" s="8"/>
      <c r="I11" s="8"/>
      <c r="J11" s="8"/>
      <c r="K11" s="8"/>
      <c r="L11" s="8"/>
      <c r="M11" s="8"/>
      <c r="N11" s="8"/>
      <c r="O11" s="8"/>
      <c r="P11" s="8"/>
      <c r="Q11" s="8"/>
      <c r="R11" s="8"/>
      <c r="S11" s="8"/>
      <c r="T11" s="8"/>
      <c r="U11" s="8"/>
      <c r="V11" s="8"/>
    </row>
    <row r="12" spans="1:22" x14ac:dyDescent="0.35">
      <c r="A12" s="8"/>
      <c r="B12" s="8"/>
      <c r="C12" s="8"/>
      <c r="D12" s="8"/>
      <c r="E12" s="8"/>
      <c r="F12" s="8"/>
      <c r="G12" s="8"/>
      <c r="H12" s="8"/>
      <c r="I12" s="8"/>
      <c r="J12" s="8"/>
      <c r="K12" s="8"/>
      <c r="L12" s="8"/>
      <c r="M12" s="8"/>
      <c r="N12" s="8"/>
      <c r="O12" s="8"/>
      <c r="P12" s="8"/>
      <c r="Q12" s="8"/>
      <c r="R12" s="8"/>
      <c r="S12" s="8"/>
      <c r="T12" s="8"/>
      <c r="U12" s="8"/>
      <c r="V12" s="8"/>
    </row>
    <row r="13" spans="1:22" x14ac:dyDescent="0.35">
      <c r="A13" s="8"/>
      <c r="B13" s="8"/>
      <c r="C13" s="8"/>
      <c r="D13" s="8"/>
      <c r="E13" s="8"/>
      <c r="F13" s="8"/>
      <c r="G13" s="8"/>
      <c r="H13" s="8"/>
      <c r="I13" s="8"/>
      <c r="J13" s="8"/>
      <c r="K13" s="8"/>
      <c r="L13" s="8"/>
      <c r="M13" s="8"/>
      <c r="N13" s="8"/>
      <c r="O13" s="8"/>
      <c r="P13" s="8"/>
      <c r="Q13" s="8"/>
      <c r="R13" s="8"/>
      <c r="S13" s="8"/>
      <c r="T13" s="8"/>
      <c r="U13" s="8"/>
      <c r="V13" s="8"/>
    </row>
    <row r="14" spans="1:22" x14ac:dyDescent="0.35">
      <c r="A14" s="8"/>
      <c r="B14" s="8"/>
      <c r="C14" s="8"/>
      <c r="D14" s="8"/>
      <c r="E14" s="8"/>
      <c r="F14" s="8"/>
      <c r="G14" s="8"/>
      <c r="H14" s="8"/>
      <c r="I14" s="8"/>
      <c r="J14" s="8"/>
      <c r="K14" s="8"/>
      <c r="L14" s="8"/>
      <c r="M14" s="8"/>
      <c r="N14" s="8"/>
      <c r="O14" s="8"/>
      <c r="P14" s="8"/>
      <c r="Q14" s="8"/>
      <c r="R14" s="8"/>
      <c r="S14" s="8"/>
      <c r="T14" s="8"/>
      <c r="U14" s="8"/>
      <c r="V14" s="8"/>
    </row>
    <row r="15" spans="1:22" x14ac:dyDescent="0.35">
      <c r="A15" s="8"/>
      <c r="B15" s="8"/>
      <c r="C15" s="8"/>
      <c r="D15" s="8"/>
      <c r="E15" s="8"/>
      <c r="F15" s="8"/>
      <c r="G15" s="8"/>
      <c r="H15" s="8"/>
      <c r="I15" s="8"/>
      <c r="J15" s="8"/>
      <c r="K15" s="8"/>
      <c r="L15" s="8"/>
      <c r="M15" s="8"/>
      <c r="N15" s="8"/>
      <c r="O15" s="8"/>
      <c r="P15" s="8"/>
      <c r="Q15" s="8"/>
      <c r="R15" s="8"/>
      <c r="S15" s="8"/>
      <c r="T15" s="8"/>
      <c r="U15" s="8"/>
      <c r="V15" s="8"/>
    </row>
    <row r="16" spans="1:22" x14ac:dyDescent="0.35">
      <c r="A16" s="8"/>
      <c r="B16" s="8"/>
      <c r="C16" s="8"/>
      <c r="D16" s="8"/>
      <c r="E16" s="8"/>
      <c r="F16" s="8"/>
      <c r="G16" s="8"/>
      <c r="H16" s="8"/>
      <c r="I16" s="8"/>
      <c r="J16" s="8"/>
      <c r="K16" s="8"/>
      <c r="L16" s="8"/>
      <c r="M16" s="8"/>
      <c r="N16" s="8"/>
      <c r="O16" s="8"/>
      <c r="P16" s="8"/>
      <c r="Q16" s="8"/>
      <c r="R16" s="8"/>
      <c r="S16" s="8"/>
      <c r="T16" s="8"/>
      <c r="U16" s="8"/>
      <c r="V16" s="8"/>
    </row>
    <row r="17" spans="1:22" x14ac:dyDescent="0.35">
      <c r="A17" s="8"/>
      <c r="B17" s="8"/>
      <c r="C17" s="8"/>
      <c r="D17" s="8"/>
      <c r="E17" s="8"/>
      <c r="F17" s="8"/>
      <c r="G17" s="8"/>
      <c r="H17" s="8"/>
      <c r="I17" s="8"/>
      <c r="J17" s="8"/>
      <c r="K17" s="8"/>
      <c r="L17" s="8"/>
      <c r="M17" s="8"/>
      <c r="N17" s="8"/>
      <c r="O17" s="8"/>
      <c r="P17" s="8"/>
      <c r="Q17" s="8"/>
      <c r="R17" s="8"/>
      <c r="S17" s="8"/>
      <c r="T17" s="8"/>
      <c r="U17" s="8"/>
      <c r="V17" s="8"/>
    </row>
    <row r="18" spans="1:22" x14ac:dyDescent="0.35">
      <c r="A18" s="8"/>
      <c r="B18" s="8"/>
      <c r="C18" s="8"/>
      <c r="D18" s="8"/>
      <c r="E18" s="8"/>
      <c r="F18" s="8"/>
      <c r="G18" s="8"/>
      <c r="H18" s="8"/>
      <c r="I18" s="8"/>
      <c r="J18" s="8"/>
      <c r="K18" s="8"/>
      <c r="L18" s="8"/>
      <c r="M18" s="8"/>
      <c r="N18" s="8"/>
      <c r="O18" s="8"/>
      <c r="P18" s="8"/>
      <c r="Q18" s="8"/>
      <c r="R18" s="8"/>
      <c r="S18" s="8"/>
      <c r="T18" s="8"/>
      <c r="U18" s="8"/>
      <c r="V18" s="8"/>
    </row>
    <row r="19" spans="1:22" x14ac:dyDescent="0.35">
      <c r="A19" s="8"/>
      <c r="B19" s="8"/>
      <c r="C19" s="8"/>
      <c r="D19" s="8"/>
      <c r="E19" s="8"/>
      <c r="F19" s="8"/>
      <c r="G19" s="8"/>
      <c r="H19" s="8"/>
      <c r="I19" s="8"/>
      <c r="J19" s="8"/>
      <c r="K19" s="8"/>
      <c r="L19" s="8"/>
      <c r="M19" s="8"/>
      <c r="N19" s="8"/>
      <c r="O19" s="8"/>
      <c r="P19" s="8"/>
      <c r="Q19" s="8"/>
      <c r="R19" s="8"/>
      <c r="S19" s="8"/>
      <c r="T19" s="8"/>
      <c r="U19" s="8"/>
      <c r="V19" s="8"/>
    </row>
    <row r="20" spans="1:22" x14ac:dyDescent="0.35">
      <c r="A20" s="8"/>
      <c r="B20" s="8"/>
      <c r="C20" s="8"/>
      <c r="D20" s="8"/>
      <c r="E20" s="8"/>
      <c r="F20" s="8"/>
      <c r="G20" s="8"/>
      <c r="H20" s="8"/>
      <c r="I20" s="8"/>
      <c r="J20" s="8"/>
      <c r="K20" s="8"/>
      <c r="L20" s="8"/>
      <c r="M20" s="8"/>
      <c r="N20" s="8"/>
      <c r="O20" s="8"/>
      <c r="P20" s="8"/>
      <c r="Q20" s="8"/>
      <c r="R20" s="8"/>
      <c r="S20" s="8"/>
      <c r="T20" s="8"/>
      <c r="U20" s="8"/>
      <c r="V20" s="8"/>
    </row>
    <row r="21" spans="1:22" x14ac:dyDescent="0.35">
      <c r="A21" s="8"/>
      <c r="B21" s="8"/>
      <c r="C21" s="8"/>
      <c r="D21" s="8"/>
      <c r="E21" s="8"/>
      <c r="F21" s="8"/>
      <c r="G21" s="8"/>
      <c r="H21" s="8"/>
      <c r="I21" s="8"/>
      <c r="J21" s="8"/>
      <c r="K21" s="8"/>
      <c r="L21" s="8"/>
      <c r="M21" s="8"/>
      <c r="N21" s="8"/>
      <c r="O21" s="8"/>
      <c r="P21" s="8"/>
      <c r="Q21" s="8"/>
      <c r="R21" s="8"/>
      <c r="S21" s="8"/>
      <c r="T21" s="8"/>
      <c r="U21" s="8"/>
      <c r="V21" s="8"/>
    </row>
    <row r="22" spans="1:22" x14ac:dyDescent="0.35">
      <c r="A22" s="8"/>
      <c r="B22" s="8"/>
      <c r="C22" s="8"/>
      <c r="D22" s="8"/>
      <c r="E22" s="8"/>
      <c r="F22" s="8"/>
      <c r="G22" s="8"/>
      <c r="H22" s="8"/>
      <c r="I22" s="8"/>
      <c r="J22" s="8"/>
      <c r="K22" s="8"/>
      <c r="L22" s="8"/>
      <c r="M22" s="8"/>
      <c r="N22" s="8"/>
      <c r="O22" s="8"/>
      <c r="P22" s="8"/>
      <c r="Q22" s="8"/>
      <c r="R22" s="8"/>
      <c r="S22" s="8"/>
      <c r="T22" s="8"/>
      <c r="U22" s="8"/>
      <c r="V22" s="8"/>
    </row>
    <row r="23" spans="1:22" x14ac:dyDescent="0.35">
      <c r="A23" s="8"/>
      <c r="B23" s="8"/>
      <c r="C23" s="8"/>
      <c r="D23" s="8"/>
      <c r="E23" s="8"/>
      <c r="F23" s="8"/>
      <c r="G23" s="8"/>
      <c r="H23" s="8"/>
      <c r="I23" s="8"/>
      <c r="J23" s="8"/>
      <c r="K23" s="8"/>
      <c r="L23" s="8"/>
      <c r="M23" s="8"/>
      <c r="N23" s="8"/>
      <c r="O23" s="8"/>
      <c r="P23" s="8"/>
      <c r="Q23" s="8"/>
      <c r="R23" s="8"/>
      <c r="S23" s="8"/>
      <c r="T23" s="8"/>
      <c r="U23" s="8"/>
      <c r="V23" s="8"/>
    </row>
    <row r="24" spans="1:22" x14ac:dyDescent="0.35">
      <c r="A24" s="8"/>
      <c r="B24" s="8"/>
      <c r="C24" s="8"/>
      <c r="D24" s="8"/>
      <c r="E24" s="8"/>
      <c r="F24" s="8"/>
      <c r="G24" s="8"/>
      <c r="H24" s="8"/>
      <c r="I24" s="8"/>
      <c r="J24" s="8"/>
      <c r="K24" s="8"/>
      <c r="L24" s="8"/>
      <c r="M24" s="8"/>
      <c r="N24" s="8"/>
      <c r="O24" s="8"/>
      <c r="P24" s="8"/>
      <c r="Q24" s="8"/>
      <c r="R24" s="8"/>
      <c r="S24" s="8"/>
      <c r="T24" s="8"/>
      <c r="U24" s="8"/>
      <c r="V24" s="8"/>
    </row>
    <row r="25" spans="1:22" x14ac:dyDescent="0.35">
      <c r="A25" s="8"/>
      <c r="B25" s="8"/>
      <c r="C25" s="8"/>
      <c r="D25" s="8"/>
      <c r="E25" s="8"/>
      <c r="F25" s="8"/>
      <c r="G25" s="8"/>
      <c r="H25" s="8"/>
      <c r="I25" s="8"/>
      <c r="J25" s="8"/>
      <c r="K25" s="8"/>
      <c r="L25" s="8"/>
      <c r="M25" s="8"/>
      <c r="N25" s="8"/>
      <c r="O25" s="8"/>
      <c r="P25" s="8"/>
      <c r="Q25" s="8"/>
      <c r="R25" s="8"/>
      <c r="S25" s="8"/>
      <c r="T25" s="8"/>
      <c r="U25" s="8"/>
      <c r="V25" s="8"/>
    </row>
    <row r="26" spans="1:22" x14ac:dyDescent="0.35">
      <c r="A26" s="8"/>
      <c r="B26" s="8"/>
      <c r="C26" s="8"/>
      <c r="D26" s="8"/>
      <c r="E26" s="8"/>
      <c r="F26" s="8"/>
      <c r="G26" s="8"/>
      <c r="H26" s="8"/>
      <c r="I26" s="8"/>
      <c r="J26" s="8"/>
      <c r="K26" s="8"/>
      <c r="L26" s="8"/>
      <c r="M26" s="8"/>
      <c r="N26" s="8"/>
      <c r="O26" s="8"/>
      <c r="P26" s="8"/>
      <c r="Q26" s="8"/>
      <c r="R26" s="8"/>
      <c r="S26" s="8"/>
      <c r="T26" s="8"/>
      <c r="U26" s="8"/>
      <c r="V26" s="8"/>
    </row>
    <row r="27" spans="1:22" x14ac:dyDescent="0.35">
      <c r="A27" s="8"/>
      <c r="B27" s="8"/>
      <c r="C27" s="8"/>
      <c r="D27" s="8"/>
      <c r="E27" s="8"/>
      <c r="F27" s="8"/>
      <c r="G27" s="8"/>
      <c r="H27" s="8"/>
      <c r="I27" s="8"/>
      <c r="J27" s="8"/>
      <c r="K27" s="8"/>
      <c r="L27" s="8"/>
      <c r="M27" s="8"/>
      <c r="N27" s="8"/>
      <c r="O27" s="8"/>
      <c r="P27" s="8"/>
      <c r="Q27" s="8"/>
      <c r="R27" s="8"/>
      <c r="S27" s="8"/>
      <c r="T27" s="8"/>
      <c r="U27" s="8"/>
      <c r="V27" s="8"/>
    </row>
    <row r="28" spans="1:22" x14ac:dyDescent="0.35">
      <c r="A28" s="8"/>
      <c r="B28" s="8"/>
      <c r="C28" s="8"/>
      <c r="D28" s="8"/>
      <c r="E28" s="8"/>
      <c r="F28" s="8"/>
      <c r="G28" s="8"/>
      <c r="H28" s="8"/>
      <c r="I28" s="8"/>
      <c r="J28" s="8"/>
      <c r="K28" s="8"/>
      <c r="L28" s="8"/>
      <c r="M28" s="8"/>
      <c r="N28" s="8"/>
      <c r="O28" s="8"/>
      <c r="P28" s="8"/>
      <c r="Q28" s="8"/>
      <c r="R28" s="8"/>
      <c r="S28" s="8"/>
      <c r="T28" s="8"/>
      <c r="U28" s="8"/>
      <c r="V28" s="8"/>
    </row>
    <row r="29" spans="1:22" x14ac:dyDescent="0.35">
      <c r="A29" s="8"/>
      <c r="B29" s="8"/>
      <c r="C29" s="8"/>
      <c r="D29" s="8"/>
      <c r="E29" s="8"/>
      <c r="F29" s="8"/>
      <c r="G29" s="8"/>
      <c r="H29" s="8"/>
      <c r="I29" s="8"/>
      <c r="J29" s="8"/>
      <c r="K29" s="8"/>
      <c r="L29" s="8"/>
      <c r="M29" s="8"/>
      <c r="N29" s="8"/>
      <c r="O29" s="8"/>
      <c r="P29" s="8"/>
      <c r="Q29" s="8"/>
      <c r="R29" s="8"/>
      <c r="S29" s="8"/>
      <c r="T29" s="8"/>
      <c r="U29" s="8"/>
      <c r="V29" s="8"/>
    </row>
    <row r="30" spans="1:22" x14ac:dyDescent="0.35">
      <c r="A30" s="8"/>
      <c r="B30" s="8"/>
      <c r="C30" s="8"/>
      <c r="D30" s="8"/>
      <c r="E30" s="8"/>
      <c r="F30" s="8"/>
      <c r="G30" s="8"/>
      <c r="H30" s="8"/>
      <c r="I30" s="8"/>
      <c r="J30" s="8"/>
      <c r="K30" s="8"/>
      <c r="L30" s="8"/>
      <c r="M30" s="8"/>
      <c r="N30" s="8"/>
      <c r="O30" s="8"/>
      <c r="P30" s="8"/>
      <c r="Q30" s="8"/>
      <c r="R30" s="8"/>
      <c r="S30" s="8"/>
      <c r="T30" s="8"/>
      <c r="U30" s="8"/>
      <c r="V30" s="8"/>
    </row>
    <row r="31" spans="1:22" x14ac:dyDescent="0.35">
      <c r="A31" s="8"/>
      <c r="B31" s="8"/>
      <c r="C31" s="8"/>
      <c r="D31" s="8"/>
      <c r="E31" s="8"/>
      <c r="F31" s="8"/>
      <c r="G31" s="8"/>
      <c r="H31" s="8"/>
      <c r="I31" s="8"/>
      <c r="J31" s="8"/>
      <c r="K31" s="8"/>
      <c r="L31" s="8"/>
      <c r="M31" s="8"/>
      <c r="N31" s="8"/>
      <c r="O31" s="8"/>
      <c r="P31" s="8"/>
      <c r="Q31" s="8"/>
      <c r="R31" s="8"/>
      <c r="S31" s="8"/>
      <c r="T31" s="8"/>
      <c r="U31" s="8"/>
      <c r="V31" s="8"/>
    </row>
    <row r="32" spans="1:22" x14ac:dyDescent="0.35">
      <c r="A32" s="8"/>
      <c r="B32" s="8"/>
      <c r="C32" s="8"/>
      <c r="D32" s="8"/>
      <c r="E32" s="8"/>
      <c r="F32" s="8"/>
      <c r="G32" s="8"/>
      <c r="H32" s="8"/>
      <c r="I32" s="8"/>
      <c r="J32" s="8"/>
      <c r="K32" s="8"/>
      <c r="L32" s="8"/>
      <c r="M32" s="8"/>
      <c r="N32" s="8"/>
      <c r="O32" s="8"/>
      <c r="P32" s="8"/>
      <c r="Q32" s="8"/>
      <c r="R32" s="8"/>
      <c r="S32" s="8"/>
      <c r="T32" s="8"/>
      <c r="U32" s="8"/>
      <c r="V32" s="8"/>
    </row>
    <row r="33" spans="1:22" x14ac:dyDescent="0.35">
      <c r="A33" s="8"/>
      <c r="B33" s="8"/>
      <c r="C33" s="8"/>
      <c r="D33" s="8"/>
      <c r="E33" s="8"/>
      <c r="F33" s="8"/>
      <c r="G33" s="8"/>
      <c r="H33" s="8"/>
      <c r="I33" s="8"/>
      <c r="J33" s="8"/>
      <c r="K33" s="8"/>
      <c r="L33" s="8"/>
      <c r="M33" s="8"/>
      <c r="N33" s="8"/>
      <c r="O33" s="8"/>
      <c r="P33" s="8"/>
      <c r="Q33" s="8"/>
      <c r="R33" s="8"/>
      <c r="S33" s="8"/>
      <c r="T33" s="8"/>
      <c r="U33" s="8"/>
      <c r="V33" s="8"/>
    </row>
    <row r="34" spans="1:22" x14ac:dyDescent="0.35">
      <c r="A34" s="8"/>
      <c r="B34" s="8"/>
      <c r="C34" s="8"/>
      <c r="D34" s="8"/>
      <c r="E34" s="8"/>
      <c r="F34" s="8"/>
      <c r="G34" s="8"/>
      <c r="H34" s="8"/>
      <c r="I34" s="8"/>
      <c r="J34" s="8"/>
      <c r="K34" s="8"/>
      <c r="L34" s="8"/>
      <c r="M34" s="8"/>
      <c r="N34" s="8"/>
      <c r="O34" s="8"/>
      <c r="P34" s="8"/>
      <c r="Q34" s="8"/>
      <c r="R34" s="8"/>
      <c r="S34" s="8"/>
      <c r="T34" s="8"/>
      <c r="U34" s="8"/>
      <c r="V34" s="8"/>
    </row>
    <row r="35" spans="1:22" x14ac:dyDescent="0.35">
      <c r="A35" s="8"/>
      <c r="B35" s="8"/>
      <c r="C35" s="8"/>
      <c r="D35" s="8"/>
      <c r="E35" s="8"/>
      <c r="F35" s="8"/>
      <c r="G35" s="8"/>
      <c r="H35" s="8"/>
      <c r="I35" s="8"/>
      <c r="J35" s="8"/>
      <c r="K35" s="8"/>
      <c r="L35" s="8"/>
      <c r="M35" s="8"/>
      <c r="N35" s="8"/>
      <c r="O35" s="8"/>
      <c r="P35" s="8"/>
      <c r="Q35" s="8"/>
      <c r="R35" s="8"/>
      <c r="S35" s="8"/>
      <c r="T35" s="8"/>
      <c r="U35" s="8"/>
      <c r="V35" s="8"/>
    </row>
    <row r="36" spans="1:22" x14ac:dyDescent="0.35">
      <c r="A36" s="8"/>
      <c r="B36" s="8"/>
      <c r="C36" s="8"/>
      <c r="D36" s="8"/>
      <c r="E36" s="8"/>
      <c r="F36" s="8"/>
      <c r="G36" s="8"/>
      <c r="H36" s="8"/>
      <c r="I36" s="8"/>
      <c r="J36" s="8"/>
      <c r="K36" s="8"/>
      <c r="L36" s="8"/>
      <c r="M36" s="8"/>
      <c r="N36" s="8"/>
      <c r="O36" s="8"/>
      <c r="P36" s="8"/>
      <c r="Q36" s="8"/>
      <c r="R36" s="8"/>
      <c r="S36" s="8"/>
      <c r="T36" s="8"/>
      <c r="U36" s="8"/>
      <c r="V36" s="8"/>
    </row>
    <row r="37" spans="1:22" x14ac:dyDescent="0.35">
      <c r="A37" s="8"/>
      <c r="B37" s="8"/>
      <c r="C37" s="8"/>
      <c r="D37" s="8"/>
      <c r="E37" s="8"/>
      <c r="F37" s="8"/>
      <c r="G37" s="8"/>
      <c r="H37" s="8"/>
      <c r="I37" s="8"/>
      <c r="J37" s="8"/>
      <c r="K37" s="8"/>
      <c r="L37" s="8"/>
      <c r="M37" s="8"/>
      <c r="N37" s="8"/>
      <c r="O37" s="8"/>
      <c r="P37" s="8"/>
      <c r="Q37" s="8"/>
      <c r="R37" s="8"/>
      <c r="S37" s="8"/>
      <c r="T37" s="8"/>
      <c r="U37" s="8"/>
      <c r="V3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F318-7802-4660-A140-5391D8B7CB03}">
  <dimension ref="A5:H30"/>
  <sheetViews>
    <sheetView showGridLines="0" showRowColHeaders="0" tabSelected="1" zoomScale="66" workbookViewId="0">
      <selection activeCell="S22" sqref="S22"/>
    </sheetView>
  </sheetViews>
  <sheetFormatPr defaultRowHeight="14.5" x14ac:dyDescent="0.35"/>
  <cols>
    <col min="4" max="4" width="44.08984375" customWidth="1"/>
    <col min="7" max="7" width="8.7265625" customWidth="1"/>
    <col min="8" max="8" width="29.7265625" customWidth="1"/>
  </cols>
  <sheetData>
    <row r="5" spans="1:8" x14ac:dyDescent="0.35">
      <c r="A5" s="15"/>
    </row>
    <row r="7" spans="1:8" ht="21" x14ac:dyDescent="0.5">
      <c r="C7" s="17" t="s">
        <v>1944</v>
      </c>
      <c r="D7" s="18"/>
    </row>
    <row r="8" spans="1:8" ht="18.5" x14ac:dyDescent="0.45">
      <c r="C8" s="19" t="s">
        <v>1957</v>
      </c>
    </row>
    <row r="9" spans="1:8" ht="18.5" x14ac:dyDescent="0.45">
      <c r="C9" s="19" t="s">
        <v>1945</v>
      </c>
      <c r="D9" s="15"/>
    </row>
    <row r="10" spans="1:8" ht="18.5" x14ac:dyDescent="0.45">
      <c r="B10" s="16"/>
      <c r="C10" s="19" t="s">
        <v>1946</v>
      </c>
    </row>
    <row r="11" spans="1:8" x14ac:dyDescent="0.35">
      <c r="H11" s="15"/>
    </row>
    <row r="12" spans="1:8" ht="21" x14ac:dyDescent="0.5">
      <c r="C12" s="17" t="s">
        <v>1947</v>
      </c>
    </row>
    <row r="13" spans="1:8" ht="18.5" x14ac:dyDescent="0.45">
      <c r="C13" s="19" t="s">
        <v>1958</v>
      </c>
    </row>
    <row r="14" spans="1:8" ht="18.5" x14ac:dyDescent="0.45">
      <c r="C14" s="19" t="s">
        <v>1959</v>
      </c>
    </row>
    <row r="16" spans="1:8" ht="21" x14ac:dyDescent="0.5">
      <c r="C16" s="17" t="s">
        <v>1948</v>
      </c>
    </row>
    <row r="17" spans="3:3" ht="18.5" x14ac:dyDescent="0.45">
      <c r="C17" s="19" t="s">
        <v>1960</v>
      </c>
    </row>
    <row r="18" spans="3:3" ht="18.5" x14ac:dyDescent="0.45">
      <c r="C18" s="19" t="s">
        <v>1949</v>
      </c>
    </row>
    <row r="20" spans="3:3" ht="21" x14ac:dyDescent="0.5">
      <c r="C20" s="17" t="s">
        <v>1950</v>
      </c>
    </row>
    <row r="21" spans="3:3" ht="18.5" x14ac:dyDescent="0.45">
      <c r="C21" s="19" t="s">
        <v>1961</v>
      </c>
    </row>
    <row r="22" spans="3:3" ht="18.5" x14ac:dyDescent="0.45">
      <c r="C22" s="19" t="s">
        <v>1951</v>
      </c>
    </row>
    <row r="24" spans="3:3" ht="21" x14ac:dyDescent="0.5">
      <c r="C24" s="17" t="s">
        <v>1952</v>
      </c>
    </row>
    <row r="25" spans="3:3" ht="18.5" x14ac:dyDescent="0.45">
      <c r="C25" s="19" t="s">
        <v>1962</v>
      </c>
    </row>
    <row r="26" spans="3:3" ht="18.5" x14ac:dyDescent="0.45">
      <c r="C26" s="19" t="s">
        <v>1953</v>
      </c>
    </row>
    <row r="28" spans="3:3" ht="21" x14ac:dyDescent="0.5">
      <c r="C28" s="17" t="s">
        <v>1954</v>
      </c>
    </row>
    <row r="29" spans="3:3" ht="18.5" x14ac:dyDescent="0.45">
      <c r="C29" s="19" t="s">
        <v>1955</v>
      </c>
    </row>
    <row r="30" spans="3:3" ht="18.5" x14ac:dyDescent="0.45">
      <c r="C30" s="19" t="s">
        <v>1956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heetViews>
  <sheetFormatPr defaultRowHeight="14.5" x14ac:dyDescent="0.35"/>
  <sheetData>
    <row r="1" spans="1:4" x14ac:dyDescent="0.35">
      <c r="A1" s="1" t="s">
        <v>0</v>
      </c>
      <c r="B1" t="s">
        <v>1</v>
      </c>
      <c r="C1" t="s">
        <v>2</v>
      </c>
      <c r="D1" t="s">
        <v>3</v>
      </c>
    </row>
    <row r="2" spans="1:4" x14ac:dyDescent="0.35">
      <c r="A2" t="s">
        <v>4</v>
      </c>
      <c r="B2" t="s">
        <v>5</v>
      </c>
      <c r="C2" t="s">
        <v>6</v>
      </c>
      <c r="D2">
        <v>11815</v>
      </c>
    </row>
    <row r="3" spans="1:4" x14ac:dyDescent="0.35">
      <c r="A3" t="s">
        <v>7</v>
      </c>
      <c r="B3" t="s">
        <v>8</v>
      </c>
      <c r="C3" t="s">
        <v>9</v>
      </c>
      <c r="D3">
        <v>26133</v>
      </c>
    </row>
    <row r="4" spans="1:4" x14ac:dyDescent="0.35">
      <c r="A4" t="s">
        <v>10</v>
      </c>
      <c r="B4" t="s">
        <v>11</v>
      </c>
      <c r="C4" t="s">
        <v>12</v>
      </c>
      <c r="D4">
        <v>4516</v>
      </c>
    </row>
    <row r="5" spans="1:4" x14ac:dyDescent="0.35">
      <c r="A5" t="s">
        <v>13</v>
      </c>
      <c r="B5" t="s">
        <v>14</v>
      </c>
      <c r="C5" t="s">
        <v>15</v>
      </c>
      <c r="D5">
        <v>30177</v>
      </c>
    </row>
    <row r="6" spans="1:4" x14ac:dyDescent="0.35">
      <c r="A6" t="s">
        <v>16</v>
      </c>
      <c r="B6" t="s">
        <v>17</v>
      </c>
      <c r="C6" t="s">
        <v>18</v>
      </c>
      <c r="D6">
        <v>31962</v>
      </c>
    </row>
    <row r="7" spans="1:4" x14ac:dyDescent="0.35">
      <c r="A7" t="s">
        <v>19</v>
      </c>
      <c r="B7" t="s">
        <v>20</v>
      </c>
      <c r="C7" t="s">
        <v>6</v>
      </c>
      <c r="D7">
        <v>42159</v>
      </c>
    </row>
    <row r="8" spans="1:4" x14ac:dyDescent="0.35">
      <c r="A8" t="s">
        <v>21</v>
      </c>
      <c r="B8" t="s">
        <v>22</v>
      </c>
      <c r="C8" t="s">
        <v>9</v>
      </c>
      <c r="D8">
        <v>15209</v>
      </c>
    </row>
    <row r="9" spans="1:4" x14ac:dyDescent="0.35">
      <c r="A9" t="s">
        <v>23</v>
      </c>
      <c r="B9" t="s">
        <v>24</v>
      </c>
      <c r="C9" t="s">
        <v>12</v>
      </c>
      <c r="D9">
        <v>6069</v>
      </c>
    </row>
    <row r="10" spans="1:4" x14ac:dyDescent="0.35">
      <c r="A10" t="s">
        <v>25</v>
      </c>
      <c r="B10" t="s">
        <v>26</v>
      </c>
      <c r="C10" t="s">
        <v>15</v>
      </c>
      <c r="D10">
        <v>18243</v>
      </c>
    </row>
    <row r="11" spans="1:4" x14ac:dyDescent="0.35">
      <c r="A11" t="s">
        <v>27</v>
      </c>
      <c r="B11" t="s">
        <v>28</v>
      </c>
      <c r="C11" t="s">
        <v>18</v>
      </c>
      <c r="D11">
        <v>37684</v>
      </c>
    </row>
    <row r="12" spans="1:4" x14ac:dyDescent="0.35">
      <c r="A12" t="s">
        <v>29</v>
      </c>
      <c r="B12" t="s">
        <v>30</v>
      </c>
      <c r="C12" t="s">
        <v>6</v>
      </c>
      <c r="D12">
        <v>42644</v>
      </c>
    </row>
    <row r="13" spans="1:4" x14ac:dyDescent="0.35">
      <c r="A13" t="s">
        <v>31</v>
      </c>
      <c r="B13" t="s">
        <v>32</v>
      </c>
      <c r="C13" t="s">
        <v>9</v>
      </c>
      <c r="D13">
        <v>29966</v>
      </c>
    </row>
    <row r="14" spans="1:4" x14ac:dyDescent="0.35">
      <c r="A14" t="s">
        <v>33</v>
      </c>
      <c r="B14" t="s">
        <v>34</v>
      </c>
      <c r="C14" t="s">
        <v>12</v>
      </c>
      <c r="D14">
        <v>36253</v>
      </c>
    </row>
    <row r="15" spans="1:4" x14ac:dyDescent="0.35">
      <c r="A15" t="s">
        <v>35</v>
      </c>
      <c r="B15" t="s">
        <v>36</v>
      </c>
      <c r="C15" t="s">
        <v>15</v>
      </c>
      <c r="D15">
        <v>49460</v>
      </c>
    </row>
    <row r="16" spans="1:4" x14ac:dyDescent="0.35">
      <c r="A16" t="s">
        <v>37</v>
      </c>
      <c r="B16" t="s">
        <v>38</v>
      </c>
      <c r="C16" t="s">
        <v>18</v>
      </c>
      <c r="D16">
        <v>1953</v>
      </c>
    </row>
    <row r="17" spans="1:4" x14ac:dyDescent="0.35">
      <c r="A17" t="s">
        <v>39</v>
      </c>
      <c r="B17" t="s">
        <v>40</v>
      </c>
      <c r="C17" t="s">
        <v>6</v>
      </c>
      <c r="D17">
        <v>48288</v>
      </c>
    </row>
    <row r="18" spans="1:4" x14ac:dyDescent="0.35">
      <c r="A18" t="s">
        <v>41</v>
      </c>
      <c r="B18" t="s">
        <v>42</v>
      </c>
      <c r="C18" t="s">
        <v>9</v>
      </c>
      <c r="D18">
        <v>21262</v>
      </c>
    </row>
    <row r="19" spans="1:4" x14ac:dyDescent="0.35">
      <c r="A19" t="s">
        <v>43</v>
      </c>
      <c r="B19" t="s">
        <v>44</v>
      </c>
      <c r="C19" t="s">
        <v>12</v>
      </c>
      <c r="D19">
        <v>37825</v>
      </c>
    </row>
    <row r="20" spans="1:4" x14ac:dyDescent="0.35">
      <c r="A20" t="s">
        <v>45</v>
      </c>
      <c r="B20" t="s">
        <v>46</v>
      </c>
      <c r="C20" t="s">
        <v>15</v>
      </c>
      <c r="D20">
        <v>7826</v>
      </c>
    </row>
    <row r="21" spans="1:4" x14ac:dyDescent="0.35">
      <c r="A21" t="s">
        <v>47</v>
      </c>
      <c r="B21" t="s">
        <v>48</v>
      </c>
      <c r="C21" t="s">
        <v>18</v>
      </c>
      <c r="D21">
        <v>22062</v>
      </c>
    </row>
    <row r="22" spans="1:4" x14ac:dyDescent="0.35">
      <c r="A22" t="s">
        <v>49</v>
      </c>
      <c r="B22" t="s">
        <v>50</v>
      </c>
      <c r="C22" t="s">
        <v>6</v>
      </c>
      <c r="D22">
        <v>45514</v>
      </c>
    </row>
    <row r="23" spans="1:4" x14ac:dyDescent="0.35">
      <c r="A23" t="s">
        <v>51</v>
      </c>
      <c r="B23" t="s">
        <v>52</v>
      </c>
      <c r="C23" t="s">
        <v>9</v>
      </c>
      <c r="D23">
        <v>31439</v>
      </c>
    </row>
    <row r="24" spans="1:4" x14ac:dyDescent="0.35">
      <c r="A24" t="s">
        <v>53</v>
      </c>
      <c r="B24" t="s">
        <v>54</v>
      </c>
      <c r="C24" t="s">
        <v>12</v>
      </c>
      <c r="D24">
        <v>4208</v>
      </c>
    </row>
    <row r="25" spans="1:4" x14ac:dyDescent="0.35">
      <c r="A25" t="s">
        <v>55</v>
      </c>
      <c r="B25" t="s">
        <v>56</v>
      </c>
      <c r="C25" t="s">
        <v>15</v>
      </c>
      <c r="D25">
        <v>11415</v>
      </c>
    </row>
    <row r="26" spans="1:4" x14ac:dyDescent="0.35">
      <c r="A26" t="s">
        <v>57</v>
      </c>
      <c r="B26" t="s">
        <v>58</v>
      </c>
      <c r="C26" t="s">
        <v>18</v>
      </c>
      <c r="D26">
        <v>48789</v>
      </c>
    </row>
    <row r="27" spans="1:4" x14ac:dyDescent="0.35">
      <c r="A27" t="s">
        <v>59</v>
      </c>
      <c r="B27" t="s">
        <v>60</v>
      </c>
      <c r="C27" t="s">
        <v>6</v>
      </c>
      <c r="D27">
        <v>48106</v>
      </c>
    </row>
    <row r="28" spans="1:4" x14ac:dyDescent="0.35">
      <c r="A28" t="s">
        <v>61</v>
      </c>
      <c r="B28" t="s">
        <v>62</v>
      </c>
      <c r="C28" t="s">
        <v>9</v>
      </c>
      <c r="D28">
        <v>25016</v>
      </c>
    </row>
    <row r="29" spans="1:4" x14ac:dyDescent="0.35">
      <c r="A29" t="s">
        <v>63</v>
      </c>
      <c r="B29" t="s">
        <v>64</v>
      </c>
      <c r="C29" t="s">
        <v>12</v>
      </c>
      <c r="D29">
        <v>8768</v>
      </c>
    </row>
    <row r="30" spans="1:4" x14ac:dyDescent="0.35">
      <c r="A30" t="s">
        <v>65</v>
      </c>
      <c r="B30" t="s">
        <v>66</v>
      </c>
      <c r="C30" t="s">
        <v>15</v>
      </c>
      <c r="D30">
        <v>545</v>
      </c>
    </row>
    <row r="31" spans="1:4" x14ac:dyDescent="0.35">
      <c r="A31" t="s">
        <v>67</v>
      </c>
      <c r="B31" t="s">
        <v>68</v>
      </c>
      <c r="C31" t="s">
        <v>18</v>
      </c>
      <c r="D31">
        <v>21616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1"/>
  <sheetViews>
    <sheetView workbookViewId="0"/>
  </sheetViews>
  <sheetFormatPr defaultRowHeight="14.5" x14ac:dyDescent="0.35"/>
  <sheetData>
    <row r="1" spans="1:5" x14ac:dyDescent="0.35">
      <c r="A1" s="1" t="s">
        <v>69</v>
      </c>
      <c r="B1" t="s">
        <v>70</v>
      </c>
      <c r="C1" t="s">
        <v>71</v>
      </c>
      <c r="D1" t="s">
        <v>72</v>
      </c>
      <c r="E1" t="s">
        <v>73</v>
      </c>
    </row>
    <row r="2" spans="1:5" x14ac:dyDescent="0.35">
      <c r="A2" t="s">
        <v>74</v>
      </c>
      <c r="B2" t="s">
        <v>75</v>
      </c>
      <c r="C2" t="s">
        <v>76</v>
      </c>
      <c r="D2" t="s">
        <v>77</v>
      </c>
      <c r="E2">
        <v>37175</v>
      </c>
    </row>
    <row r="3" spans="1:5" x14ac:dyDescent="0.35">
      <c r="A3" t="s">
        <v>78</v>
      </c>
      <c r="B3" t="s">
        <v>79</v>
      </c>
      <c r="C3" t="s">
        <v>80</v>
      </c>
      <c r="D3" t="s">
        <v>77</v>
      </c>
      <c r="E3">
        <v>34143</v>
      </c>
    </row>
    <row r="4" spans="1:5" x14ac:dyDescent="0.35">
      <c r="A4" t="s">
        <v>81</v>
      </c>
      <c r="B4" t="s">
        <v>82</v>
      </c>
      <c r="C4" t="s">
        <v>83</v>
      </c>
      <c r="D4" t="s">
        <v>77</v>
      </c>
      <c r="E4">
        <v>28164</v>
      </c>
    </row>
    <row r="5" spans="1:5" x14ac:dyDescent="0.35">
      <c r="A5" t="s">
        <v>84</v>
      </c>
      <c r="B5" t="s">
        <v>85</v>
      </c>
      <c r="C5" t="s">
        <v>86</v>
      </c>
      <c r="D5" t="s">
        <v>87</v>
      </c>
      <c r="E5">
        <v>71374</v>
      </c>
    </row>
    <row r="6" spans="1:5" x14ac:dyDescent="0.35">
      <c r="A6" t="s">
        <v>88</v>
      </c>
      <c r="B6" t="s">
        <v>89</v>
      </c>
      <c r="C6" t="s">
        <v>90</v>
      </c>
      <c r="D6" t="s">
        <v>77</v>
      </c>
      <c r="E6">
        <v>81591</v>
      </c>
    </row>
    <row r="7" spans="1:5" x14ac:dyDescent="0.35">
      <c r="A7" t="s">
        <v>91</v>
      </c>
      <c r="B7" t="s">
        <v>92</v>
      </c>
      <c r="C7" t="s">
        <v>76</v>
      </c>
      <c r="D7" t="s">
        <v>77</v>
      </c>
      <c r="E7">
        <v>81025</v>
      </c>
    </row>
    <row r="8" spans="1:5" x14ac:dyDescent="0.35">
      <c r="A8" t="s">
        <v>93</v>
      </c>
      <c r="B8" t="s">
        <v>94</v>
      </c>
      <c r="C8" t="s">
        <v>80</v>
      </c>
      <c r="D8" t="s">
        <v>87</v>
      </c>
      <c r="E8">
        <v>39481</v>
      </c>
    </row>
    <row r="9" spans="1:5" x14ac:dyDescent="0.35">
      <c r="A9" t="s">
        <v>95</v>
      </c>
      <c r="B9" t="s">
        <v>96</v>
      </c>
      <c r="C9" t="s">
        <v>83</v>
      </c>
      <c r="D9" t="s">
        <v>77</v>
      </c>
      <c r="E9">
        <v>57704</v>
      </c>
    </row>
    <row r="10" spans="1:5" x14ac:dyDescent="0.35">
      <c r="A10" t="s">
        <v>97</v>
      </c>
      <c r="B10" t="s">
        <v>98</v>
      </c>
      <c r="C10" t="s">
        <v>86</v>
      </c>
      <c r="D10" t="s">
        <v>77</v>
      </c>
      <c r="E10">
        <v>50243</v>
      </c>
    </row>
    <row r="11" spans="1:5" x14ac:dyDescent="0.35">
      <c r="A11" t="s">
        <v>99</v>
      </c>
      <c r="B11" t="s">
        <v>100</v>
      </c>
      <c r="C11" t="s">
        <v>90</v>
      </c>
      <c r="D11" t="s">
        <v>77</v>
      </c>
      <c r="E11">
        <v>89405</v>
      </c>
    </row>
    <row r="12" spans="1:5" x14ac:dyDescent="0.35">
      <c r="A12" t="s">
        <v>101</v>
      </c>
      <c r="B12" t="s">
        <v>102</v>
      </c>
      <c r="C12" t="s">
        <v>76</v>
      </c>
      <c r="D12" t="s">
        <v>77</v>
      </c>
      <c r="E12">
        <v>57325</v>
      </c>
    </row>
    <row r="13" spans="1:5" x14ac:dyDescent="0.35">
      <c r="A13" t="s">
        <v>103</v>
      </c>
      <c r="B13" t="s">
        <v>104</v>
      </c>
      <c r="C13" t="s">
        <v>80</v>
      </c>
      <c r="D13" t="s">
        <v>77</v>
      </c>
      <c r="E13">
        <v>52767</v>
      </c>
    </row>
    <row r="14" spans="1:5" x14ac:dyDescent="0.35">
      <c r="A14" t="s">
        <v>105</v>
      </c>
      <c r="B14" t="s">
        <v>106</v>
      </c>
      <c r="C14" t="s">
        <v>83</v>
      </c>
      <c r="D14" t="s">
        <v>77</v>
      </c>
      <c r="E14">
        <v>87605</v>
      </c>
    </row>
    <row r="15" spans="1:5" x14ac:dyDescent="0.35">
      <c r="A15" t="s">
        <v>107</v>
      </c>
      <c r="B15" t="s">
        <v>108</v>
      </c>
      <c r="C15" t="s">
        <v>86</v>
      </c>
      <c r="D15" t="s">
        <v>77</v>
      </c>
      <c r="E15">
        <v>26184</v>
      </c>
    </row>
    <row r="16" spans="1:5" x14ac:dyDescent="0.35">
      <c r="A16" t="s">
        <v>109</v>
      </c>
      <c r="B16" t="s">
        <v>110</v>
      </c>
      <c r="C16" t="s">
        <v>90</v>
      </c>
      <c r="D16" t="s">
        <v>77</v>
      </c>
      <c r="E16">
        <v>44884</v>
      </c>
    </row>
    <row r="17" spans="1:5" x14ac:dyDescent="0.35">
      <c r="A17" t="s">
        <v>111</v>
      </c>
      <c r="B17" t="s">
        <v>112</v>
      </c>
      <c r="C17" t="s">
        <v>76</v>
      </c>
      <c r="D17" t="s">
        <v>77</v>
      </c>
      <c r="E17">
        <v>73122</v>
      </c>
    </row>
    <row r="18" spans="1:5" x14ac:dyDescent="0.35">
      <c r="A18" t="s">
        <v>113</v>
      </c>
      <c r="B18" t="s">
        <v>114</v>
      </c>
      <c r="C18" t="s">
        <v>80</v>
      </c>
      <c r="D18" t="s">
        <v>87</v>
      </c>
      <c r="E18">
        <v>45057</v>
      </c>
    </row>
    <row r="19" spans="1:5" x14ac:dyDescent="0.35">
      <c r="A19" t="s">
        <v>115</v>
      </c>
      <c r="B19" t="s">
        <v>116</v>
      </c>
      <c r="C19" t="s">
        <v>83</v>
      </c>
      <c r="D19" t="s">
        <v>87</v>
      </c>
      <c r="E19">
        <v>43350</v>
      </c>
    </row>
    <row r="20" spans="1:5" x14ac:dyDescent="0.35">
      <c r="A20" t="s">
        <v>117</v>
      </c>
      <c r="B20" t="s">
        <v>118</v>
      </c>
      <c r="C20" t="s">
        <v>86</v>
      </c>
      <c r="D20" t="s">
        <v>77</v>
      </c>
      <c r="E20">
        <v>37216</v>
      </c>
    </row>
    <row r="21" spans="1:5" x14ac:dyDescent="0.35">
      <c r="A21" t="s">
        <v>119</v>
      </c>
      <c r="B21" t="s">
        <v>120</v>
      </c>
      <c r="C21" t="s">
        <v>90</v>
      </c>
      <c r="D21" t="s">
        <v>77</v>
      </c>
      <c r="E21">
        <v>46859</v>
      </c>
    </row>
    <row r="22" spans="1:5" x14ac:dyDescent="0.35">
      <c r="A22" t="s">
        <v>121</v>
      </c>
      <c r="B22" t="s">
        <v>122</v>
      </c>
      <c r="C22" t="s">
        <v>76</v>
      </c>
      <c r="D22" t="s">
        <v>77</v>
      </c>
      <c r="E22">
        <v>82835</v>
      </c>
    </row>
    <row r="23" spans="1:5" x14ac:dyDescent="0.35">
      <c r="A23" t="s">
        <v>123</v>
      </c>
      <c r="B23" t="s">
        <v>124</v>
      </c>
      <c r="C23" t="s">
        <v>80</v>
      </c>
      <c r="D23" t="s">
        <v>77</v>
      </c>
      <c r="E23">
        <v>83547</v>
      </c>
    </row>
    <row r="24" spans="1:5" x14ac:dyDescent="0.35">
      <c r="A24" t="s">
        <v>125</v>
      </c>
      <c r="B24" t="s">
        <v>126</v>
      </c>
      <c r="C24" t="s">
        <v>83</v>
      </c>
      <c r="D24" t="s">
        <v>87</v>
      </c>
      <c r="E24">
        <v>40490</v>
      </c>
    </row>
    <row r="25" spans="1:5" x14ac:dyDescent="0.35">
      <c r="A25" t="s">
        <v>127</v>
      </c>
      <c r="B25" t="s">
        <v>128</v>
      </c>
      <c r="C25" t="s">
        <v>86</v>
      </c>
      <c r="D25" t="s">
        <v>77</v>
      </c>
      <c r="E25">
        <v>51819</v>
      </c>
    </row>
    <row r="26" spans="1:5" x14ac:dyDescent="0.35">
      <c r="A26" t="s">
        <v>129</v>
      </c>
      <c r="B26" t="s">
        <v>130</v>
      </c>
      <c r="C26" t="s">
        <v>90</v>
      </c>
      <c r="D26" t="s">
        <v>77</v>
      </c>
      <c r="E26">
        <v>80858</v>
      </c>
    </row>
    <row r="27" spans="1:5" x14ac:dyDescent="0.35">
      <c r="A27" t="s">
        <v>131</v>
      </c>
      <c r="B27" t="s">
        <v>132</v>
      </c>
      <c r="C27" t="s">
        <v>76</v>
      </c>
      <c r="D27" t="s">
        <v>77</v>
      </c>
      <c r="E27">
        <v>50239</v>
      </c>
    </row>
    <row r="28" spans="1:5" x14ac:dyDescent="0.35">
      <c r="A28" t="s">
        <v>133</v>
      </c>
      <c r="B28" t="s">
        <v>134</v>
      </c>
      <c r="C28" t="s">
        <v>80</v>
      </c>
      <c r="D28" t="s">
        <v>77</v>
      </c>
      <c r="E28">
        <v>51248</v>
      </c>
    </row>
    <row r="29" spans="1:5" x14ac:dyDescent="0.35">
      <c r="A29" t="s">
        <v>135</v>
      </c>
      <c r="B29" t="s">
        <v>136</v>
      </c>
      <c r="C29" t="s">
        <v>83</v>
      </c>
      <c r="D29" t="s">
        <v>77</v>
      </c>
      <c r="E29">
        <v>39608</v>
      </c>
    </row>
    <row r="30" spans="1:5" x14ac:dyDescent="0.35">
      <c r="A30" t="s">
        <v>137</v>
      </c>
      <c r="B30" t="s">
        <v>138</v>
      </c>
      <c r="C30" t="s">
        <v>86</v>
      </c>
      <c r="D30" t="s">
        <v>77</v>
      </c>
      <c r="E30">
        <v>49163</v>
      </c>
    </row>
    <row r="31" spans="1:5" x14ac:dyDescent="0.35">
      <c r="A31" t="s">
        <v>139</v>
      </c>
      <c r="B31" t="s">
        <v>140</v>
      </c>
      <c r="C31" t="s">
        <v>90</v>
      </c>
      <c r="D31" t="s">
        <v>77</v>
      </c>
      <c r="E31">
        <v>46369</v>
      </c>
    </row>
    <row r="32" spans="1:5" x14ac:dyDescent="0.35">
      <c r="A32" t="s">
        <v>141</v>
      </c>
      <c r="B32" t="s">
        <v>142</v>
      </c>
      <c r="C32" t="s">
        <v>76</v>
      </c>
      <c r="D32" t="s">
        <v>87</v>
      </c>
      <c r="E32">
        <v>73388</v>
      </c>
    </row>
    <row r="33" spans="1:5" x14ac:dyDescent="0.35">
      <c r="A33" t="s">
        <v>143</v>
      </c>
      <c r="B33" t="s">
        <v>144</v>
      </c>
      <c r="C33" t="s">
        <v>80</v>
      </c>
      <c r="D33" t="s">
        <v>77</v>
      </c>
      <c r="E33">
        <v>67119</v>
      </c>
    </row>
    <row r="34" spans="1:5" x14ac:dyDescent="0.35">
      <c r="A34" t="s">
        <v>145</v>
      </c>
      <c r="B34" t="s">
        <v>146</v>
      </c>
      <c r="C34" t="s">
        <v>83</v>
      </c>
      <c r="D34" t="s">
        <v>87</v>
      </c>
      <c r="E34">
        <v>29351</v>
      </c>
    </row>
    <row r="35" spans="1:5" x14ac:dyDescent="0.35">
      <c r="A35" t="s">
        <v>147</v>
      </c>
      <c r="B35" t="s">
        <v>148</v>
      </c>
      <c r="C35" t="s">
        <v>86</v>
      </c>
      <c r="D35" t="s">
        <v>87</v>
      </c>
      <c r="E35">
        <v>74299</v>
      </c>
    </row>
    <row r="36" spans="1:5" x14ac:dyDescent="0.35">
      <c r="A36" t="s">
        <v>149</v>
      </c>
      <c r="B36" t="s">
        <v>150</v>
      </c>
      <c r="C36" t="s">
        <v>90</v>
      </c>
      <c r="D36" t="s">
        <v>87</v>
      </c>
      <c r="E36">
        <v>44869</v>
      </c>
    </row>
    <row r="37" spans="1:5" x14ac:dyDescent="0.35">
      <c r="A37" t="s">
        <v>151</v>
      </c>
      <c r="B37" t="s">
        <v>152</v>
      </c>
      <c r="C37" t="s">
        <v>76</v>
      </c>
      <c r="D37" t="s">
        <v>77</v>
      </c>
      <c r="E37">
        <v>25348</v>
      </c>
    </row>
    <row r="38" spans="1:5" x14ac:dyDescent="0.35">
      <c r="A38" t="s">
        <v>153</v>
      </c>
      <c r="B38" t="s">
        <v>154</v>
      </c>
      <c r="C38" t="s">
        <v>80</v>
      </c>
      <c r="D38" t="s">
        <v>77</v>
      </c>
      <c r="E38">
        <v>32338</v>
      </c>
    </row>
    <row r="39" spans="1:5" x14ac:dyDescent="0.35">
      <c r="A39" t="s">
        <v>155</v>
      </c>
      <c r="B39" t="s">
        <v>156</v>
      </c>
      <c r="C39" t="s">
        <v>83</v>
      </c>
      <c r="D39" t="s">
        <v>87</v>
      </c>
      <c r="E39">
        <v>59112</v>
      </c>
    </row>
    <row r="40" spans="1:5" x14ac:dyDescent="0.35">
      <c r="A40" t="s">
        <v>157</v>
      </c>
      <c r="B40" t="s">
        <v>158</v>
      </c>
      <c r="C40" t="s">
        <v>86</v>
      </c>
      <c r="D40" t="s">
        <v>87</v>
      </c>
      <c r="E40">
        <v>75570</v>
      </c>
    </row>
    <row r="41" spans="1:5" x14ac:dyDescent="0.35">
      <c r="A41" t="s">
        <v>159</v>
      </c>
      <c r="B41" t="s">
        <v>160</v>
      </c>
      <c r="C41" t="s">
        <v>90</v>
      </c>
      <c r="D41" t="s">
        <v>77</v>
      </c>
      <c r="E41">
        <v>75971</v>
      </c>
    </row>
    <row r="42" spans="1:5" x14ac:dyDescent="0.35">
      <c r="A42" t="s">
        <v>161</v>
      </c>
      <c r="B42" t="s">
        <v>162</v>
      </c>
      <c r="C42" t="s">
        <v>76</v>
      </c>
      <c r="D42" t="s">
        <v>77</v>
      </c>
      <c r="E42">
        <v>66486</v>
      </c>
    </row>
    <row r="43" spans="1:5" x14ac:dyDescent="0.35">
      <c r="A43" t="s">
        <v>163</v>
      </c>
      <c r="B43" t="s">
        <v>164</v>
      </c>
      <c r="C43" t="s">
        <v>80</v>
      </c>
      <c r="D43" t="s">
        <v>77</v>
      </c>
      <c r="E43">
        <v>78437</v>
      </c>
    </row>
    <row r="44" spans="1:5" x14ac:dyDescent="0.35">
      <c r="A44" t="s">
        <v>165</v>
      </c>
      <c r="B44" t="s">
        <v>166</v>
      </c>
      <c r="C44" t="s">
        <v>83</v>
      </c>
      <c r="D44" t="s">
        <v>77</v>
      </c>
      <c r="E44">
        <v>32889</v>
      </c>
    </row>
    <row r="45" spans="1:5" x14ac:dyDescent="0.35">
      <c r="A45" t="s">
        <v>167</v>
      </c>
      <c r="B45" t="s">
        <v>168</v>
      </c>
      <c r="C45" t="s">
        <v>86</v>
      </c>
      <c r="D45" t="s">
        <v>77</v>
      </c>
      <c r="E45">
        <v>52427</v>
      </c>
    </row>
    <row r="46" spans="1:5" x14ac:dyDescent="0.35">
      <c r="A46" t="s">
        <v>169</v>
      </c>
      <c r="B46" t="s">
        <v>170</v>
      </c>
      <c r="C46" t="s">
        <v>90</v>
      </c>
      <c r="D46" t="s">
        <v>77</v>
      </c>
      <c r="E46">
        <v>77628</v>
      </c>
    </row>
    <row r="47" spans="1:5" x14ac:dyDescent="0.35">
      <c r="A47" t="s">
        <v>171</v>
      </c>
      <c r="B47" t="s">
        <v>172</v>
      </c>
      <c r="C47" t="s">
        <v>76</v>
      </c>
      <c r="D47" t="s">
        <v>77</v>
      </c>
      <c r="E47">
        <v>67896</v>
      </c>
    </row>
    <row r="48" spans="1:5" x14ac:dyDescent="0.35">
      <c r="A48" t="s">
        <v>173</v>
      </c>
      <c r="B48" t="s">
        <v>174</v>
      </c>
      <c r="C48" t="s">
        <v>80</v>
      </c>
      <c r="D48" t="s">
        <v>77</v>
      </c>
      <c r="E48">
        <v>89204</v>
      </c>
    </row>
    <row r="49" spans="1:5" x14ac:dyDescent="0.35">
      <c r="A49" t="s">
        <v>175</v>
      </c>
      <c r="B49" t="s">
        <v>176</v>
      </c>
      <c r="C49" t="s">
        <v>83</v>
      </c>
      <c r="D49" t="s">
        <v>77</v>
      </c>
      <c r="E49">
        <v>84176</v>
      </c>
    </row>
    <row r="50" spans="1:5" x14ac:dyDescent="0.35">
      <c r="A50" t="s">
        <v>177</v>
      </c>
      <c r="B50" t="s">
        <v>178</v>
      </c>
      <c r="C50" t="s">
        <v>86</v>
      </c>
      <c r="D50" t="s">
        <v>77</v>
      </c>
      <c r="E50">
        <v>36190</v>
      </c>
    </row>
    <row r="51" spans="1:5" x14ac:dyDescent="0.35">
      <c r="A51" t="s">
        <v>179</v>
      </c>
      <c r="B51" t="s">
        <v>180</v>
      </c>
      <c r="C51" t="s">
        <v>90</v>
      </c>
      <c r="D51" t="s">
        <v>77</v>
      </c>
      <c r="E51">
        <v>41226</v>
      </c>
    </row>
    <row r="52" spans="1:5" x14ac:dyDescent="0.35">
      <c r="A52" t="s">
        <v>181</v>
      </c>
      <c r="B52" t="s">
        <v>182</v>
      </c>
      <c r="C52" t="s">
        <v>76</v>
      </c>
      <c r="D52" t="s">
        <v>77</v>
      </c>
      <c r="E52">
        <v>45421</v>
      </c>
    </row>
    <row r="53" spans="1:5" x14ac:dyDescent="0.35">
      <c r="A53" t="s">
        <v>183</v>
      </c>
      <c r="B53" t="s">
        <v>184</v>
      </c>
      <c r="C53" t="s">
        <v>80</v>
      </c>
      <c r="D53" t="s">
        <v>77</v>
      </c>
      <c r="E53">
        <v>64756</v>
      </c>
    </row>
    <row r="54" spans="1:5" x14ac:dyDescent="0.35">
      <c r="A54" t="s">
        <v>185</v>
      </c>
      <c r="B54" t="s">
        <v>186</v>
      </c>
      <c r="C54" t="s">
        <v>83</v>
      </c>
      <c r="D54" t="s">
        <v>77</v>
      </c>
      <c r="E54">
        <v>27245</v>
      </c>
    </row>
    <row r="55" spans="1:5" x14ac:dyDescent="0.35">
      <c r="A55" t="s">
        <v>187</v>
      </c>
      <c r="B55" t="s">
        <v>188</v>
      </c>
      <c r="C55" t="s">
        <v>86</v>
      </c>
      <c r="D55" t="s">
        <v>77</v>
      </c>
      <c r="E55">
        <v>34817</v>
      </c>
    </row>
    <row r="56" spans="1:5" x14ac:dyDescent="0.35">
      <c r="A56" t="s">
        <v>189</v>
      </c>
      <c r="B56" t="s">
        <v>190</v>
      </c>
      <c r="C56" t="s">
        <v>90</v>
      </c>
      <c r="D56" t="s">
        <v>77</v>
      </c>
      <c r="E56">
        <v>45468</v>
      </c>
    </row>
    <row r="57" spans="1:5" x14ac:dyDescent="0.35">
      <c r="A57" t="s">
        <v>191</v>
      </c>
      <c r="B57" t="s">
        <v>192</v>
      </c>
      <c r="C57" t="s">
        <v>76</v>
      </c>
      <c r="D57" t="s">
        <v>87</v>
      </c>
      <c r="E57">
        <v>62536</v>
      </c>
    </row>
    <row r="58" spans="1:5" x14ac:dyDescent="0.35">
      <c r="A58" t="s">
        <v>193</v>
      </c>
      <c r="B58" t="s">
        <v>194</v>
      </c>
      <c r="C58" t="s">
        <v>80</v>
      </c>
      <c r="D58" t="s">
        <v>77</v>
      </c>
      <c r="E58">
        <v>36195</v>
      </c>
    </row>
    <row r="59" spans="1:5" x14ac:dyDescent="0.35">
      <c r="A59" t="s">
        <v>195</v>
      </c>
      <c r="B59" t="s">
        <v>196</v>
      </c>
      <c r="C59" t="s">
        <v>83</v>
      </c>
      <c r="D59" t="s">
        <v>77</v>
      </c>
      <c r="E59">
        <v>77464</v>
      </c>
    </row>
    <row r="60" spans="1:5" x14ac:dyDescent="0.35">
      <c r="A60" t="s">
        <v>197</v>
      </c>
      <c r="B60" t="s">
        <v>198</v>
      </c>
      <c r="C60" t="s">
        <v>86</v>
      </c>
      <c r="D60" t="s">
        <v>77</v>
      </c>
      <c r="E60">
        <v>41795</v>
      </c>
    </row>
    <row r="61" spans="1:5" x14ac:dyDescent="0.35">
      <c r="A61" t="s">
        <v>199</v>
      </c>
      <c r="B61" t="s">
        <v>200</v>
      </c>
      <c r="C61" t="s">
        <v>90</v>
      </c>
      <c r="D61" t="s">
        <v>87</v>
      </c>
      <c r="E61">
        <v>26571</v>
      </c>
    </row>
    <row r="62" spans="1:5" x14ac:dyDescent="0.35">
      <c r="A62" t="s">
        <v>201</v>
      </c>
      <c r="B62" t="s">
        <v>202</v>
      </c>
      <c r="C62" t="s">
        <v>76</v>
      </c>
      <c r="D62" t="s">
        <v>87</v>
      </c>
      <c r="E62">
        <v>44397</v>
      </c>
    </row>
    <row r="63" spans="1:5" x14ac:dyDescent="0.35">
      <c r="A63" t="s">
        <v>203</v>
      </c>
      <c r="B63" t="s">
        <v>204</v>
      </c>
      <c r="C63" t="s">
        <v>80</v>
      </c>
      <c r="D63" t="s">
        <v>87</v>
      </c>
      <c r="E63">
        <v>49716</v>
      </c>
    </row>
    <row r="64" spans="1:5" x14ac:dyDescent="0.35">
      <c r="A64" t="s">
        <v>205</v>
      </c>
      <c r="B64" t="s">
        <v>206</v>
      </c>
      <c r="C64" t="s">
        <v>83</v>
      </c>
      <c r="D64" t="s">
        <v>77</v>
      </c>
      <c r="E64">
        <v>27964</v>
      </c>
    </row>
    <row r="65" spans="1:5" x14ac:dyDescent="0.35">
      <c r="A65" t="s">
        <v>207</v>
      </c>
      <c r="B65" t="s">
        <v>208</v>
      </c>
      <c r="C65" t="s">
        <v>86</v>
      </c>
      <c r="D65" t="s">
        <v>77</v>
      </c>
      <c r="E65">
        <v>41880</v>
      </c>
    </row>
    <row r="66" spans="1:5" x14ac:dyDescent="0.35">
      <c r="A66" t="s">
        <v>209</v>
      </c>
      <c r="B66" t="s">
        <v>210</v>
      </c>
      <c r="C66" t="s">
        <v>90</v>
      </c>
      <c r="D66" t="s">
        <v>77</v>
      </c>
      <c r="E66">
        <v>48289</v>
      </c>
    </row>
    <row r="67" spans="1:5" x14ac:dyDescent="0.35">
      <c r="A67" t="s">
        <v>211</v>
      </c>
      <c r="B67" t="s">
        <v>212</v>
      </c>
      <c r="C67" t="s">
        <v>76</v>
      </c>
      <c r="D67" t="s">
        <v>87</v>
      </c>
      <c r="E67">
        <v>86541</v>
      </c>
    </row>
    <row r="68" spans="1:5" x14ac:dyDescent="0.35">
      <c r="A68" t="s">
        <v>213</v>
      </c>
      <c r="B68" t="s">
        <v>214</v>
      </c>
      <c r="C68" t="s">
        <v>80</v>
      </c>
      <c r="D68" t="s">
        <v>77</v>
      </c>
      <c r="E68">
        <v>45010</v>
      </c>
    </row>
    <row r="69" spans="1:5" x14ac:dyDescent="0.35">
      <c r="A69" t="s">
        <v>215</v>
      </c>
      <c r="B69" t="s">
        <v>216</v>
      </c>
      <c r="C69" t="s">
        <v>83</v>
      </c>
      <c r="D69" t="s">
        <v>77</v>
      </c>
      <c r="E69">
        <v>44548</v>
      </c>
    </row>
    <row r="70" spans="1:5" x14ac:dyDescent="0.35">
      <c r="A70" t="s">
        <v>217</v>
      </c>
      <c r="B70" t="s">
        <v>218</v>
      </c>
      <c r="C70" t="s">
        <v>86</v>
      </c>
      <c r="D70" t="s">
        <v>77</v>
      </c>
      <c r="E70">
        <v>48844</v>
      </c>
    </row>
    <row r="71" spans="1:5" x14ac:dyDescent="0.35">
      <c r="A71" t="s">
        <v>219</v>
      </c>
      <c r="B71" t="s">
        <v>220</v>
      </c>
      <c r="C71" t="s">
        <v>90</v>
      </c>
      <c r="D71" t="s">
        <v>87</v>
      </c>
      <c r="E71">
        <v>81762</v>
      </c>
    </row>
    <row r="72" spans="1:5" x14ac:dyDescent="0.35">
      <c r="A72" t="s">
        <v>221</v>
      </c>
      <c r="B72" t="s">
        <v>222</v>
      </c>
      <c r="C72" t="s">
        <v>76</v>
      </c>
      <c r="D72" t="s">
        <v>87</v>
      </c>
      <c r="E72">
        <v>28507</v>
      </c>
    </row>
    <row r="73" spans="1:5" x14ac:dyDescent="0.35">
      <c r="A73" t="s">
        <v>223</v>
      </c>
      <c r="B73" t="s">
        <v>224</v>
      </c>
      <c r="C73" t="s">
        <v>80</v>
      </c>
      <c r="D73" t="s">
        <v>77</v>
      </c>
      <c r="E73">
        <v>62118</v>
      </c>
    </row>
    <row r="74" spans="1:5" x14ac:dyDescent="0.35">
      <c r="A74" t="s">
        <v>225</v>
      </c>
      <c r="B74" t="s">
        <v>226</v>
      </c>
      <c r="C74" t="s">
        <v>83</v>
      </c>
      <c r="D74" t="s">
        <v>77</v>
      </c>
      <c r="E74">
        <v>28105</v>
      </c>
    </row>
    <row r="75" spans="1:5" x14ac:dyDescent="0.35">
      <c r="A75" t="s">
        <v>227</v>
      </c>
      <c r="B75" t="s">
        <v>228</v>
      </c>
      <c r="C75" t="s">
        <v>86</v>
      </c>
      <c r="D75" t="s">
        <v>87</v>
      </c>
      <c r="E75">
        <v>72164</v>
      </c>
    </row>
    <row r="76" spans="1:5" x14ac:dyDescent="0.35">
      <c r="A76" t="s">
        <v>229</v>
      </c>
      <c r="B76" t="s">
        <v>230</v>
      </c>
      <c r="C76" t="s">
        <v>90</v>
      </c>
      <c r="D76" t="s">
        <v>77</v>
      </c>
      <c r="E76">
        <v>71184</v>
      </c>
    </row>
    <row r="77" spans="1:5" x14ac:dyDescent="0.35">
      <c r="A77" t="s">
        <v>231</v>
      </c>
      <c r="B77" t="s">
        <v>232</v>
      </c>
      <c r="C77" t="s">
        <v>76</v>
      </c>
      <c r="D77" t="s">
        <v>77</v>
      </c>
      <c r="E77">
        <v>65021</v>
      </c>
    </row>
    <row r="78" spans="1:5" x14ac:dyDescent="0.35">
      <c r="A78" t="s">
        <v>233</v>
      </c>
      <c r="B78" t="s">
        <v>234</v>
      </c>
      <c r="C78" t="s">
        <v>80</v>
      </c>
      <c r="D78" t="s">
        <v>77</v>
      </c>
      <c r="E78">
        <v>68764</v>
      </c>
    </row>
    <row r="79" spans="1:5" x14ac:dyDescent="0.35">
      <c r="A79" t="s">
        <v>235</v>
      </c>
      <c r="B79" t="s">
        <v>236</v>
      </c>
      <c r="C79" t="s">
        <v>83</v>
      </c>
      <c r="D79" t="s">
        <v>77</v>
      </c>
      <c r="E79">
        <v>81683</v>
      </c>
    </row>
    <row r="80" spans="1:5" x14ac:dyDescent="0.35">
      <c r="A80" t="s">
        <v>237</v>
      </c>
      <c r="B80" t="s">
        <v>238</v>
      </c>
      <c r="C80" t="s">
        <v>86</v>
      </c>
      <c r="D80" t="s">
        <v>77</v>
      </c>
      <c r="E80">
        <v>43969</v>
      </c>
    </row>
    <row r="81" spans="1:5" x14ac:dyDescent="0.35">
      <c r="A81" t="s">
        <v>239</v>
      </c>
      <c r="B81" t="s">
        <v>240</v>
      </c>
      <c r="C81" t="s">
        <v>90</v>
      </c>
      <c r="D81" t="s">
        <v>77</v>
      </c>
      <c r="E81">
        <v>54401</v>
      </c>
    </row>
    <row r="82" spans="1:5" x14ac:dyDescent="0.35">
      <c r="A82" t="s">
        <v>241</v>
      </c>
      <c r="B82" t="s">
        <v>242</v>
      </c>
      <c r="C82" t="s">
        <v>76</v>
      </c>
      <c r="D82" t="s">
        <v>87</v>
      </c>
      <c r="E82">
        <v>27872</v>
      </c>
    </row>
    <row r="83" spans="1:5" x14ac:dyDescent="0.35">
      <c r="A83" t="s">
        <v>243</v>
      </c>
      <c r="B83" t="s">
        <v>244</v>
      </c>
      <c r="C83" t="s">
        <v>80</v>
      </c>
      <c r="D83" t="s">
        <v>87</v>
      </c>
      <c r="E83">
        <v>53126</v>
      </c>
    </row>
    <row r="84" spans="1:5" x14ac:dyDescent="0.35">
      <c r="A84" t="s">
        <v>245</v>
      </c>
      <c r="B84" t="s">
        <v>246</v>
      </c>
      <c r="C84" t="s">
        <v>83</v>
      </c>
      <c r="D84" t="s">
        <v>87</v>
      </c>
      <c r="E84">
        <v>82460</v>
      </c>
    </row>
    <row r="85" spans="1:5" x14ac:dyDescent="0.35">
      <c r="A85" t="s">
        <v>247</v>
      </c>
      <c r="B85" t="s">
        <v>248</v>
      </c>
      <c r="C85" t="s">
        <v>86</v>
      </c>
      <c r="D85" t="s">
        <v>77</v>
      </c>
      <c r="E85">
        <v>43136</v>
      </c>
    </row>
    <row r="86" spans="1:5" x14ac:dyDescent="0.35">
      <c r="A86" t="s">
        <v>249</v>
      </c>
      <c r="B86" t="s">
        <v>250</v>
      </c>
      <c r="C86" t="s">
        <v>90</v>
      </c>
      <c r="D86" t="s">
        <v>87</v>
      </c>
      <c r="E86">
        <v>53658</v>
      </c>
    </row>
    <row r="87" spans="1:5" x14ac:dyDescent="0.35">
      <c r="A87" t="s">
        <v>251</v>
      </c>
      <c r="B87" t="s">
        <v>252</v>
      </c>
      <c r="C87" t="s">
        <v>76</v>
      </c>
      <c r="D87" t="s">
        <v>77</v>
      </c>
      <c r="E87">
        <v>80304</v>
      </c>
    </row>
    <row r="88" spans="1:5" x14ac:dyDescent="0.35">
      <c r="A88" t="s">
        <v>253</v>
      </c>
      <c r="B88" t="s">
        <v>254</v>
      </c>
      <c r="C88" t="s">
        <v>80</v>
      </c>
      <c r="D88" t="s">
        <v>77</v>
      </c>
      <c r="E88">
        <v>48698</v>
      </c>
    </row>
    <row r="89" spans="1:5" x14ac:dyDescent="0.35">
      <c r="A89" t="s">
        <v>255</v>
      </c>
      <c r="B89" t="s">
        <v>256</v>
      </c>
      <c r="C89" t="s">
        <v>83</v>
      </c>
      <c r="D89" t="s">
        <v>77</v>
      </c>
      <c r="E89">
        <v>81101</v>
      </c>
    </row>
    <row r="90" spans="1:5" x14ac:dyDescent="0.35">
      <c r="A90" t="s">
        <v>257</v>
      </c>
      <c r="B90" t="s">
        <v>258</v>
      </c>
      <c r="C90" t="s">
        <v>86</v>
      </c>
      <c r="D90" t="s">
        <v>77</v>
      </c>
      <c r="E90">
        <v>88407</v>
      </c>
    </row>
    <row r="91" spans="1:5" x14ac:dyDescent="0.35">
      <c r="A91" t="s">
        <v>259</v>
      </c>
      <c r="B91" t="s">
        <v>260</v>
      </c>
      <c r="C91" t="s">
        <v>90</v>
      </c>
      <c r="D91" t="s">
        <v>87</v>
      </c>
      <c r="E91">
        <v>69437</v>
      </c>
    </row>
    <row r="92" spans="1:5" x14ac:dyDescent="0.35">
      <c r="A92" t="s">
        <v>261</v>
      </c>
      <c r="B92" t="s">
        <v>262</v>
      </c>
      <c r="C92" t="s">
        <v>76</v>
      </c>
      <c r="D92" t="s">
        <v>77</v>
      </c>
      <c r="E92">
        <v>33626</v>
      </c>
    </row>
    <row r="93" spans="1:5" x14ac:dyDescent="0.35">
      <c r="A93" t="s">
        <v>263</v>
      </c>
      <c r="B93" t="s">
        <v>264</v>
      </c>
      <c r="C93" t="s">
        <v>80</v>
      </c>
      <c r="D93" t="s">
        <v>87</v>
      </c>
      <c r="E93">
        <v>59123</v>
      </c>
    </row>
    <row r="94" spans="1:5" x14ac:dyDescent="0.35">
      <c r="A94" t="s">
        <v>265</v>
      </c>
      <c r="B94" t="s">
        <v>266</v>
      </c>
      <c r="C94" t="s">
        <v>83</v>
      </c>
      <c r="D94" t="s">
        <v>87</v>
      </c>
      <c r="E94">
        <v>80552</v>
      </c>
    </row>
    <row r="95" spans="1:5" x14ac:dyDescent="0.35">
      <c r="A95" t="s">
        <v>267</v>
      </c>
      <c r="B95" t="s">
        <v>268</v>
      </c>
      <c r="C95" t="s">
        <v>86</v>
      </c>
      <c r="D95" t="s">
        <v>87</v>
      </c>
      <c r="E95">
        <v>42943</v>
      </c>
    </row>
    <row r="96" spans="1:5" x14ac:dyDescent="0.35">
      <c r="A96" t="s">
        <v>269</v>
      </c>
      <c r="B96" t="s">
        <v>270</v>
      </c>
      <c r="C96" t="s">
        <v>90</v>
      </c>
      <c r="D96" t="s">
        <v>77</v>
      </c>
      <c r="E96">
        <v>37116</v>
      </c>
    </row>
    <row r="97" spans="1:5" x14ac:dyDescent="0.35">
      <c r="A97" t="s">
        <v>271</v>
      </c>
      <c r="B97" t="s">
        <v>272</v>
      </c>
      <c r="C97" t="s">
        <v>76</v>
      </c>
      <c r="D97" t="s">
        <v>77</v>
      </c>
      <c r="E97">
        <v>61165</v>
      </c>
    </row>
    <row r="98" spans="1:5" x14ac:dyDescent="0.35">
      <c r="A98" t="s">
        <v>273</v>
      </c>
      <c r="B98" t="s">
        <v>274</v>
      </c>
      <c r="C98" t="s">
        <v>80</v>
      </c>
      <c r="D98" t="s">
        <v>77</v>
      </c>
      <c r="E98">
        <v>50370</v>
      </c>
    </row>
    <row r="99" spans="1:5" x14ac:dyDescent="0.35">
      <c r="A99" t="s">
        <v>275</v>
      </c>
      <c r="B99" t="s">
        <v>276</v>
      </c>
      <c r="C99" t="s">
        <v>83</v>
      </c>
      <c r="D99" t="s">
        <v>87</v>
      </c>
      <c r="E99">
        <v>86771</v>
      </c>
    </row>
    <row r="100" spans="1:5" x14ac:dyDescent="0.35">
      <c r="A100" t="s">
        <v>277</v>
      </c>
      <c r="B100" t="s">
        <v>278</v>
      </c>
      <c r="C100" t="s">
        <v>86</v>
      </c>
      <c r="D100" t="s">
        <v>77</v>
      </c>
      <c r="E100">
        <v>62500</v>
      </c>
    </row>
    <row r="101" spans="1:5" x14ac:dyDescent="0.35">
      <c r="A101" t="s">
        <v>279</v>
      </c>
      <c r="B101" t="s">
        <v>280</v>
      </c>
      <c r="C101" t="s">
        <v>90</v>
      </c>
      <c r="D101" t="s">
        <v>77</v>
      </c>
      <c r="E101">
        <v>27873</v>
      </c>
    </row>
    <row r="102" spans="1:5" x14ac:dyDescent="0.35">
      <c r="A102" t="s">
        <v>281</v>
      </c>
      <c r="B102" t="s">
        <v>282</v>
      </c>
      <c r="C102" t="s">
        <v>76</v>
      </c>
      <c r="D102" t="s">
        <v>77</v>
      </c>
      <c r="E102">
        <v>47398</v>
      </c>
    </row>
    <row r="103" spans="1:5" x14ac:dyDescent="0.35">
      <c r="A103" t="s">
        <v>283</v>
      </c>
      <c r="B103" t="s">
        <v>284</v>
      </c>
      <c r="C103" t="s">
        <v>80</v>
      </c>
      <c r="D103" t="s">
        <v>77</v>
      </c>
      <c r="E103">
        <v>48178</v>
      </c>
    </row>
    <row r="104" spans="1:5" x14ac:dyDescent="0.35">
      <c r="A104" t="s">
        <v>285</v>
      </c>
      <c r="B104" t="s">
        <v>286</v>
      </c>
      <c r="C104" t="s">
        <v>83</v>
      </c>
      <c r="D104" t="s">
        <v>77</v>
      </c>
      <c r="E104">
        <v>53709</v>
      </c>
    </row>
    <row r="105" spans="1:5" x14ac:dyDescent="0.35">
      <c r="A105" t="s">
        <v>287</v>
      </c>
      <c r="B105" t="s">
        <v>288</v>
      </c>
      <c r="C105" t="s">
        <v>86</v>
      </c>
      <c r="D105" t="s">
        <v>77</v>
      </c>
      <c r="E105">
        <v>73394</v>
      </c>
    </row>
    <row r="106" spans="1:5" x14ac:dyDescent="0.35">
      <c r="A106" t="s">
        <v>289</v>
      </c>
      <c r="B106" t="s">
        <v>290</v>
      </c>
      <c r="C106" t="s">
        <v>90</v>
      </c>
      <c r="D106" t="s">
        <v>77</v>
      </c>
      <c r="E106">
        <v>73693</v>
      </c>
    </row>
    <row r="107" spans="1:5" x14ac:dyDescent="0.35">
      <c r="A107" t="s">
        <v>291</v>
      </c>
      <c r="B107" t="s">
        <v>292</v>
      </c>
      <c r="C107" t="s">
        <v>76</v>
      </c>
      <c r="D107" t="s">
        <v>77</v>
      </c>
      <c r="E107">
        <v>41378</v>
      </c>
    </row>
    <row r="108" spans="1:5" x14ac:dyDescent="0.35">
      <c r="A108" t="s">
        <v>293</v>
      </c>
      <c r="B108" t="s">
        <v>294</v>
      </c>
      <c r="C108" t="s">
        <v>80</v>
      </c>
      <c r="D108" t="s">
        <v>87</v>
      </c>
      <c r="E108">
        <v>51003</v>
      </c>
    </row>
    <row r="109" spans="1:5" x14ac:dyDescent="0.35">
      <c r="A109" t="s">
        <v>295</v>
      </c>
      <c r="B109" t="s">
        <v>296</v>
      </c>
      <c r="C109" t="s">
        <v>83</v>
      </c>
      <c r="D109" t="s">
        <v>77</v>
      </c>
      <c r="E109">
        <v>60185</v>
      </c>
    </row>
    <row r="110" spans="1:5" x14ac:dyDescent="0.35">
      <c r="A110" t="s">
        <v>297</v>
      </c>
      <c r="B110" t="s">
        <v>298</v>
      </c>
      <c r="C110" t="s">
        <v>86</v>
      </c>
      <c r="D110" t="s">
        <v>77</v>
      </c>
      <c r="E110">
        <v>36164</v>
      </c>
    </row>
    <row r="111" spans="1:5" x14ac:dyDescent="0.35">
      <c r="A111" t="s">
        <v>299</v>
      </c>
      <c r="B111" t="s">
        <v>300</v>
      </c>
      <c r="C111" t="s">
        <v>90</v>
      </c>
      <c r="D111" t="s">
        <v>87</v>
      </c>
      <c r="E111">
        <v>35680</v>
      </c>
    </row>
    <row r="112" spans="1:5" x14ac:dyDescent="0.35">
      <c r="A112" t="s">
        <v>301</v>
      </c>
      <c r="B112" t="s">
        <v>302</v>
      </c>
      <c r="C112" t="s">
        <v>76</v>
      </c>
      <c r="D112" t="s">
        <v>77</v>
      </c>
      <c r="E112">
        <v>59438</v>
      </c>
    </row>
    <row r="113" spans="1:5" x14ac:dyDescent="0.35">
      <c r="A113" t="s">
        <v>303</v>
      </c>
      <c r="B113" t="s">
        <v>304</v>
      </c>
      <c r="C113" t="s">
        <v>80</v>
      </c>
      <c r="D113" t="s">
        <v>77</v>
      </c>
      <c r="E113">
        <v>73329</v>
      </c>
    </row>
    <row r="114" spans="1:5" x14ac:dyDescent="0.35">
      <c r="A114" t="s">
        <v>305</v>
      </c>
      <c r="B114" t="s">
        <v>306</v>
      </c>
      <c r="C114" t="s">
        <v>83</v>
      </c>
      <c r="D114" t="s">
        <v>77</v>
      </c>
      <c r="E114">
        <v>40309</v>
      </c>
    </row>
    <row r="115" spans="1:5" x14ac:dyDescent="0.35">
      <c r="A115" t="s">
        <v>307</v>
      </c>
      <c r="B115" t="s">
        <v>308</v>
      </c>
      <c r="C115" t="s">
        <v>86</v>
      </c>
      <c r="D115" t="s">
        <v>77</v>
      </c>
      <c r="E115">
        <v>26425</v>
      </c>
    </row>
    <row r="116" spans="1:5" x14ac:dyDescent="0.35">
      <c r="A116" t="s">
        <v>309</v>
      </c>
      <c r="B116" t="s">
        <v>310</v>
      </c>
      <c r="C116" t="s">
        <v>90</v>
      </c>
      <c r="D116" t="s">
        <v>77</v>
      </c>
      <c r="E116">
        <v>55404</v>
      </c>
    </row>
    <row r="117" spans="1:5" x14ac:dyDescent="0.35">
      <c r="A117" t="s">
        <v>311</v>
      </c>
      <c r="B117" t="s">
        <v>312</v>
      </c>
      <c r="C117" t="s">
        <v>76</v>
      </c>
      <c r="D117" t="s">
        <v>77</v>
      </c>
      <c r="E117">
        <v>64756</v>
      </c>
    </row>
    <row r="118" spans="1:5" x14ac:dyDescent="0.35">
      <c r="A118" t="s">
        <v>313</v>
      </c>
      <c r="B118" t="s">
        <v>314</v>
      </c>
      <c r="C118" t="s">
        <v>80</v>
      </c>
      <c r="D118" t="s">
        <v>77</v>
      </c>
      <c r="E118">
        <v>38310</v>
      </c>
    </row>
    <row r="119" spans="1:5" x14ac:dyDescent="0.35">
      <c r="A119" t="s">
        <v>315</v>
      </c>
      <c r="B119" t="s">
        <v>316</v>
      </c>
      <c r="C119" t="s">
        <v>83</v>
      </c>
      <c r="D119" t="s">
        <v>77</v>
      </c>
      <c r="E119">
        <v>52609</v>
      </c>
    </row>
    <row r="120" spans="1:5" x14ac:dyDescent="0.35">
      <c r="A120" t="s">
        <v>317</v>
      </c>
      <c r="B120" t="s">
        <v>318</v>
      </c>
      <c r="C120" t="s">
        <v>86</v>
      </c>
      <c r="D120" t="s">
        <v>87</v>
      </c>
      <c r="E120">
        <v>49241</v>
      </c>
    </row>
    <row r="121" spans="1:5" x14ac:dyDescent="0.35">
      <c r="A121" t="s">
        <v>319</v>
      </c>
      <c r="B121" t="s">
        <v>320</v>
      </c>
      <c r="C121" t="s">
        <v>90</v>
      </c>
      <c r="D121" t="s">
        <v>87</v>
      </c>
      <c r="E121">
        <v>79142</v>
      </c>
    </row>
    <row r="122" spans="1:5" x14ac:dyDescent="0.35">
      <c r="A122" t="s">
        <v>321</v>
      </c>
      <c r="B122" t="s">
        <v>322</v>
      </c>
      <c r="C122" t="s">
        <v>76</v>
      </c>
      <c r="D122" t="s">
        <v>77</v>
      </c>
      <c r="E122">
        <v>31627</v>
      </c>
    </row>
    <row r="123" spans="1:5" x14ac:dyDescent="0.35">
      <c r="A123" t="s">
        <v>323</v>
      </c>
      <c r="B123" t="s">
        <v>324</v>
      </c>
      <c r="C123" t="s">
        <v>80</v>
      </c>
      <c r="D123" t="s">
        <v>77</v>
      </c>
      <c r="E123">
        <v>32592</v>
      </c>
    </row>
    <row r="124" spans="1:5" x14ac:dyDescent="0.35">
      <c r="A124" t="s">
        <v>325</v>
      </c>
      <c r="B124" t="s">
        <v>326</v>
      </c>
      <c r="C124" t="s">
        <v>83</v>
      </c>
      <c r="D124" t="s">
        <v>77</v>
      </c>
      <c r="E124">
        <v>43847</v>
      </c>
    </row>
    <row r="125" spans="1:5" x14ac:dyDescent="0.35">
      <c r="A125" t="s">
        <v>327</v>
      </c>
      <c r="B125" t="s">
        <v>328</v>
      </c>
      <c r="C125" t="s">
        <v>86</v>
      </c>
      <c r="D125" t="s">
        <v>87</v>
      </c>
      <c r="E125">
        <v>34754</v>
      </c>
    </row>
    <row r="126" spans="1:5" x14ac:dyDescent="0.35">
      <c r="A126" t="s">
        <v>329</v>
      </c>
      <c r="B126" t="s">
        <v>330</v>
      </c>
      <c r="C126" t="s">
        <v>90</v>
      </c>
      <c r="D126" t="s">
        <v>77</v>
      </c>
      <c r="E126">
        <v>28458</v>
      </c>
    </row>
    <row r="127" spans="1:5" x14ac:dyDescent="0.35">
      <c r="A127" t="s">
        <v>331</v>
      </c>
      <c r="B127" t="s">
        <v>332</v>
      </c>
      <c r="C127" t="s">
        <v>76</v>
      </c>
      <c r="D127" t="s">
        <v>87</v>
      </c>
      <c r="E127">
        <v>65057</v>
      </c>
    </row>
    <row r="128" spans="1:5" x14ac:dyDescent="0.35">
      <c r="A128" t="s">
        <v>333</v>
      </c>
      <c r="B128" t="s">
        <v>334</v>
      </c>
      <c r="C128" t="s">
        <v>80</v>
      </c>
      <c r="D128" t="s">
        <v>77</v>
      </c>
      <c r="E128">
        <v>38363</v>
      </c>
    </row>
    <row r="129" spans="1:5" x14ac:dyDescent="0.35">
      <c r="A129" t="s">
        <v>335</v>
      </c>
      <c r="B129" t="s">
        <v>336</v>
      </c>
      <c r="C129" t="s">
        <v>83</v>
      </c>
      <c r="D129" t="s">
        <v>77</v>
      </c>
      <c r="E129">
        <v>84639</v>
      </c>
    </row>
    <row r="130" spans="1:5" x14ac:dyDescent="0.35">
      <c r="A130" t="s">
        <v>337</v>
      </c>
      <c r="B130" t="s">
        <v>338</v>
      </c>
      <c r="C130" t="s">
        <v>86</v>
      </c>
      <c r="D130" t="s">
        <v>77</v>
      </c>
      <c r="E130">
        <v>84941</v>
      </c>
    </row>
    <row r="131" spans="1:5" x14ac:dyDescent="0.35">
      <c r="A131" t="s">
        <v>339</v>
      </c>
      <c r="B131" t="s">
        <v>340</v>
      </c>
      <c r="C131" t="s">
        <v>90</v>
      </c>
      <c r="D131" t="s">
        <v>77</v>
      </c>
      <c r="E131">
        <v>57035</v>
      </c>
    </row>
    <row r="132" spans="1:5" x14ac:dyDescent="0.35">
      <c r="A132" t="s">
        <v>341</v>
      </c>
      <c r="B132" t="s">
        <v>342</v>
      </c>
      <c r="C132" t="s">
        <v>76</v>
      </c>
      <c r="D132" t="s">
        <v>77</v>
      </c>
      <c r="E132">
        <v>73175</v>
      </c>
    </row>
    <row r="133" spans="1:5" x14ac:dyDescent="0.35">
      <c r="A133" t="s">
        <v>343</v>
      </c>
      <c r="B133" t="s">
        <v>344</v>
      </c>
      <c r="C133" t="s">
        <v>80</v>
      </c>
      <c r="D133" t="s">
        <v>87</v>
      </c>
      <c r="E133">
        <v>31508</v>
      </c>
    </row>
    <row r="134" spans="1:5" x14ac:dyDescent="0.35">
      <c r="A134" t="s">
        <v>345</v>
      </c>
      <c r="B134" t="s">
        <v>346</v>
      </c>
      <c r="C134" t="s">
        <v>83</v>
      </c>
      <c r="D134" t="s">
        <v>77</v>
      </c>
      <c r="E134">
        <v>87883</v>
      </c>
    </row>
    <row r="135" spans="1:5" x14ac:dyDescent="0.35">
      <c r="A135" t="s">
        <v>347</v>
      </c>
      <c r="B135" t="s">
        <v>348</v>
      </c>
      <c r="C135" t="s">
        <v>86</v>
      </c>
      <c r="D135" t="s">
        <v>77</v>
      </c>
      <c r="E135">
        <v>48524</v>
      </c>
    </row>
    <row r="136" spans="1:5" x14ac:dyDescent="0.35">
      <c r="A136" t="s">
        <v>349</v>
      </c>
      <c r="B136" t="s">
        <v>350</v>
      </c>
      <c r="C136" t="s">
        <v>90</v>
      </c>
      <c r="D136" t="s">
        <v>77</v>
      </c>
      <c r="E136">
        <v>77713</v>
      </c>
    </row>
    <row r="137" spans="1:5" x14ac:dyDescent="0.35">
      <c r="A137" t="s">
        <v>351</v>
      </c>
      <c r="B137" t="s">
        <v>352</v>
      </c>
      <c r="C137" t="s">
        <v>76</v>
      </c>
      <c r="D137" t="s">
        <v>77</v>
      </c>
      <c r="E137">
        <v>77398</v>
      </c>
    </row>
    <row r="138" spans="1:5" x14ac:dyDescent="0.35">
      <c r="A138" t="s">
        <v>353</v>
      </c>
      <c r="B138" t="s">
        <v>354</v>
      </c>
      <c r="C138" t="s">
        <v>80</v>
      </c>
      <c r="D138" t="s">
        <v>87</v>
      </c>
      <c r="E138">
        <v>68347</v>
      </c>
    </row>
    <row r="139" spans="1:5" x14ac:dyDescent="0.35">
      <c r="A139" t="s">
        <v>355</v>
      </c>
      <c r="B139" t="s">
        <v>356</v>
      </c>
      <c r="C139" t="s">
        <v>83</v>
      </c>
      <c r="D139" t="s">
        <v>77</v>
      </c>
      <c r="E139">
        <v>30759</v>
      </c>
    </row>
    <row r="140" spans="1:5" x14ac:dyDescent="0.35">
      <c r="A140" t="s">
        <v>357</v>
      </c>
      <c r="B140" t="s">
        <v>358</v>
      </c>
      <c r="C140" t="s">
        <v>86</v>
      </c>
      <c r="D140" t="s">
        <v>77</v>
      </c>
      <c r="E140">
        <v>63055</v>
      </c>
    </row>
    <row r="141" spans="1:5" x14ac:dyDescent="0.35">
      <c r="A141" t="s">
        <v>359</v>
      </c>
      <c r="B141" t="s">
        <v>360</v>
      </c>
      <c r="C141" t="s">
        <v>90</v>
      </c>
      <c r="D141" t="s">
        <v>77</v>
      </c>
      <c r="E141">
        <v>73942</v>
      </c>
    </row>
    <row r="142" spans="1:5" x14ac:dyDescent="0.35">
      <c r="A142" t="s">
        <v>361</v>
      </c>
      <c r="B142" t="s">
        <v>362</v>
      </c>
      <c r="C142" t="s">
        <v>76</v>
      </c>
      <c r="D142" t="s">
        <v>77</v>
      </c>
      <c r="E142">
        <v>59993</v>
      </c>
    </row>
    <row r="143" spans="1:5" x14ac:dyDescent="0.35">
      <c r="A143" t="s">
        <v>363</v>
      </c>
      <c r="B143" t="s">
        <v>364</v>
      </c>
      <c r="C143" t="s">
        <v>80</v>
      </c>
      <c r="D143" t="s">
        <v>77</v>
      </c>
      <c r="E143">
        <v>42392</v>
      </c>
    </row>
    <row r="144" spans="1:5" x14ac:dyDescent="0.35">
      <c r="A144" t="s">
        <v>365</v>
      </c>
      <c r="B144" t="s">
        <v>366</v>
      </c>
      <c r="C144" t="s">
        <v>83</v>
      </c>
      <c r="D144" t="s">
        <v>87</v>
      </c>
      <c r="E144">
        <v>78784</v>
      </c>
    </row>
    <row r="145" spans="1:5" x14ac:dyDescent="0.35">
      <c r="A145" t="s">
        <v>367</v>
      </c>
      <c r="B145" t="s">
        <v>368</v>
      </c>
      <c r="C145" t="s">
        <v>86</v>
      </c>
      <c r="D145" t="s">
        <v>77</v>
      </c>
      <c r="E145">
        <v>26639</v>
      </c>
    </row>
    <row r="146" spans="1:5" x14ac:dyDescent="0.35">
      <c r="A146" t="s">
        <v>369</v>
      </c>
      <c r="B146" t="s">
        <v>370</v>
      </c>
      <c r="C146" t="s">
        <v>90</v>
      </c>
      <c r="D146" t="s">
        <v>77</v>
      </c>
      <c r="E146">
        <v>70407</v>
      </c>
    </row>
    <row r="147" spans="1:5" x14ac:dyDescent="0.35">
      <c r="A147" t="s">
        <v>371</v>
      </c>
      <c r="B147" t="s">
        <v>372</v>
      </c>
      <c r="C147" t="s">
        <v>76</v>
      </c>
      <c r="D147" t="s">
        <v>77</v>
      </c>
      <c r="E147">
        <v>81138</v>
      </c>
    </row>
    <row r="148" spans="1:5" x14ac:dyDescent="0.35">
      <c r="A148" t="s">
        <v>373</v>
      </c>
      <c r="B148" t="s">
        <v>374</v>
      </c>
      <c r="C148" t="s">
        <v>80</v>
      </c>
      <c r="D148" t="s">
        <v>77</v>
      </c>
      <c r="E148">
        <v>49860</v>
      </c>
    </row>
    <row r="149" spans="1:5" x14ac:dyDescent="0.35">
      <c r="A149" t="s">
        <v>375</v>
      </c>
      <c r="B149" t="s">
        <v>376</v>
      </c>
      <c r="C149" t="s">
        <v>83</v>
      </c>
      <c r="D149" t="s">
        <v>77</v>
      </c>
      <c r="E149">
        <v>39202</v>
      </c>
    </row>
    <row r="150" spans="1:5" x14ac:dyDescent="0.35">
      <c r="A150" t="s">
        <v>377</v>
      </c>
      <c r="B150" t="s">
        <v>378</v>
      </c>
      <c r="C150" t="s">
        <v>86</v>
      </c>
      <c r="D150" t="s">
        <v>77</v>
      </c>
      <c r="E150">
        <v>60908</v>
      </c>
    </row>
    <row r="151" spans="1:5" x14ac:dyDescent="0.35">
      <c r="A151" t="s">
        <v>379</v>
      </c>
      <c r="B151" t="s">
        <v>380</v>
      </c>
      <c r="C151" t="s">
        <v>90</v>
      </c>
      <c r="D151" t="s">
        <v>77</v>
      </c>
      <c r="E151">
        <v>68524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01"/>
  <sheetViews>
    <sheetView workbookViewId="0"/>
  </sheetViews>
  <sheetFormatPr defaultRowHeight="14.5" x14ac:dyDescent="0.35"/>
  <cols>
    <col min="1" max="1" width="12.453125" bestFit="1" customWidth="1"/>
    <col min="2" max="2" width="10.08984375" bestFit="1" customWidth="1"/>
    <col min="3" max="3" width="9.08984375" bestFit="1" customWidth="1"/>
    <col min="4" max="4" width="10.81640625" bestFit="1" customWidth="1"/>
    <col min="5" max="5" width="6.81640625" bestFit="1" customWidth="1"/>
    <col min="6" max="7" width="8" bestFit="1" customWidth="1"/>
  </cols>
  <sheetData>
    <row r="1" spans="1:7" x14ac:dyDescent="0.35">
      <c r="A1" s="1" t="s">
        <v>381</v>
      </c>
      <c r="B1" t="s">
        <v>382</v>
      </c>
      <c r="C1" t="s">
        <v>0</v>
      </c>
      <c r="D1" t="s">
        <v>69</v>
      </c>
      <c r="E1" t="s">
        <v>383</v>
      </c>
      <c r="F1" t="s">
        <v>384</v>
      </c>
      <c r="G1" t="s">
        <v>385</v>
      </c>
    </row>
    <row r="2" spans="1:7" x14ac:dyDescent="0.35">
      <c r="A2" t="s">
        <v>386</v>
      </c>
      <c r="B2" s="2">
        <v>45962</v>
      </c>
      <c r="C2" t="s">
        <v>55</v>
      </c>
      <c r="D2" t="s">
        <v>215</v>
      </c>
      <c r="E2" t="s">
        <v>387</v>
      </c>
      <c r="F2">
        <v>7</v>
      </c>
      <c r="G2">
        <v>79905</v>
      </c>
    </row>
    <row r="3" spans="1:7" x14ac:dyDescent="0.35">
      <c r="A3" t="s">
        <v>388</v>
      </c>
      <c r="B3" s="2">
        <v>45663</v>
      </c>
      <c r="C3" t="s">
        <v>4</v>
      </c>
      <c r="D3" t="s">
        <v>109</v>
      </c>
      <c r="E3" t="s">
        <v>389</v>
      </c>
      <c r="F3">
        <v>8</v>
      </c>
      <c r="G3">
        <v>94520</v>
      </c>
    </row>
    <row r="4" spans="1:7" x14ac:dyDescent="0.35">
      <c r="A4" t="s">
        <v>390</v>
      </c>
      <c r="B4" s="2">
        <v>45668</v>
      </c>
      <c r="C4" t="s">
        <v>27</v>
      </c>
      <c r="D4" t="s">
        <v>327</v>
      </c>
      <c r="E4" t="s">
        <v>391</v>
      </c>
      <c r="F4">
        <v>8</v>
      </c>
      <c r="G4">
        <v>301472</v>
      </c>
    </row>
    <row r="5" spans="1:7" x14ac:dyDescent="0.35">
      <c r="A5" t="s">
        <v>392</v>
      </c>
      <c r="B5" s="2">
        <v>46003</v>
      </c>
      <c r="C5" t="s">
        <v>4</v>
      </c>
      <c r="D5" t="s">
        <v>129</v>
      </c>
      <c r="E5" t="s">
        <v>387</v>
      </c>
      <c r="F5">
        <v>3</v>
      </c>
      <c r="G5">
        <v>35445</v>
      </c>
    </row>
    <row r="6" spans="1:7" x14ac:dyDescent="0.35">
      <c r="A6" t="s">
        <v>393</v>
      </c>
      <c r="B6" s="2">
        <v>46007</v>
      </c>
      <c r="C6" t="s">
        <v>31</v>
      </c>
      <c r="D6" t="s">
        <v>259</v>
      </c>
      <c r="E6" t="s">
        <v>394</v>
      </c>
      <c r="F6">
        <v>1</v>
      </c>
      <c r="G6">
        <v>29966</v>
      </c>
    </row>
    <row r="7" spans="1:7" x14ac:dyDescent="0.35">
      <c r="A7" t="s">
        <v>395</v>
      </c>
      <c r="B7" s="2">
        <v>45902</v>
      </c>
      <c r="C7" t="s">
        <v>45</v>
      </c>
      <c r="D7" t="s">
        <v>343</v>
      </c>
      <c r="E7" t="s">
        <v>389</v>
      </c>
      <c r="F7">
        <v>3</v>
      </c>
      <c r="G7">
        <v>23478</v>
      </c>
    </row>
    <row r="8" spans="1:7" x14ac:dyDescent="0.35">
      <c r="A8" t="s">
        <v>396</v>
      </c>
      <c r="B8" s="2">
        <v>45806</v>
      </c>
      <c r="C8" t="s">
        <v>35</v>
      </c>
      <c r="D8" t="s">
        <v>239</v>
      </c>
      <c r="E8" t="s">
        <v>389</v>
      </c>
      <c r="F8">
        <v>2</v>
      </c>
      <c r="G8">
        <v>98920</v>
      </c>
    </row>
    <row r="9" spans="1:7" x14ac:dyDescent="0.35">
      <c r="A9" t="s">
        <v>397</v>
      </c>
      <c r="B9" s="2">
        <v>45926</v>
      </c>
      <c r="C9" t="s">
        <v>43</v>
      </c>
      <c r="D9" t="s">
        <v>117</v>
      </c>
      <c r="E9" t="s">
        <v>394</v>
      </c>
      <c r="F9">
        <v>10</v>
      </c>
      <c r="G9">
        <v>378250</v>
      </c>
    </row>
    <row r="10" spans="1:7" x14ac:dyDescent="0.35">
      <c r="A10" t="s">
        <v>398</v>
      </c>
      <c r="B10" s="2">
        <v>45684</v>
      </c>
      <c r="C10" t="s">
        <v>27</v>
      </c>
      <c r="D10" t="s">
        <v>269</v>
      </c>
      <c r="E10" t="s">
        <v>387</v>
      </c>
      <c r="F10">
        <v>8</v>
      </c>
      <c r="G10">
        <v>301472</v>
      </c>
    </row>
    <row r="11" spans="1:7" x14ac:dyDescent="0.35">
      <c r="A11" t="s">
        <v>399</v>
      </c>
      <c r="B11" s="2">
        <v>45690</v>
      </c>
      <c r="C11" t="s">
        <v>65</v>
      </c>
      <c r="D11" t="s">
        <v>127</v>
      </c>
      <c r="E11" t="s">
        <v>391</v>
      </c>
      <c r="F11">
        <v>9</v>
      </c>
      <c r="G11">
        <v>4905</v>
      </c>
    </row>
    <row r="12" spans="1:7" x14ac:dyDescent="0.35">
      <c r="A12" t="s">
        <v>400</v>
      </c>
      <c r="B12" s="2">
        <v>45851</v>
      </c>
      <c r="C12" t="s">
        <v>10</v>
      </c>
      <c r="D12" t="s">
        <v>197</v>
      </c>
      <c r="E12" t="s">
        <v>387</v>
      </c>
      <c r="F12">
        <v>2</v>
      </c>
      <c r="G12">
        <v>9032</v>
      </c>
    </row>
    <row r="13" spans="1:7" x14ac:dyDescent="0.35">
      <c r="A13" t="s">
        <v>401</v>
      </c>
      <c r="B13" s="2">
        <v>45813</v>
      </c>
      <c r="C13" t="s">
        <v>29</v>
      </c>
      <c r="D13" t="s">
        <v>129</v>
      </c>
      <c r="E13" t="s">
        <v>394</v>
      </c>
      <c r="F13">
        <v>7</v>
      </c>
      <c r="G13">
        <v>298508</v>
      </c>
    </row>
    <row r="14" spans="1:7" x14ac:dyDescent="0.35">
      <c r="A14" t="s">
        <v>402</v>
      </c>
      <c r="B14" s="2">
        <v>45886</v>
      </c>
      <c r="C14" t="s">
        <v>41</v>
      </c>
      <c r="D14" t="s">
        <v>105</v>
      </c>
      <c r="E14" t="s">
        <v>403</v>
      </c>
      <c r="F14">
        <v>7</v>
      </c>
      <c r="G14">
        <v>148834</v>
      </c>
    </row>
    <row r="15" spans="1:7" x14ac:dyDescent="0.35">
      <c r="A15" t="s">
        <v>404</v>
      </c>
      <c r="B15" s="2">
        <v>45957</v>
      </c>
      <c r="C15" t="s">
        <v>19</v>
      </c>
      <c r="D15" t="s">
        <v>341</v>
      </c>
      <c r="E15" t="s">
        <v>391</v>
      </c>
      <c r="F15">
        <v>4</v>
      </c>
      <c r="G15">
        <v>168636</v>
      </c>
    </row>
    <row r="16" spans="1:7" x14ac:dyDescent="0.35">
      <c r="A16" t="s">
        <v>405</v>
      </c>
      <c r="B16" s="2">
        <v>45719</v>
      </c>
      <c r="C16" t="s">
        <v>33</v>
      </c>
      <c r="D16" t="s">
        <v>369</v>
      </c>
      <c r="E16" t="s">
        <v>394</v>
      </c>
      <c r="F16">
        <v>7</v>
      </c>
      <c r="G16">
        <v>253771</v>
      </c>
    </row>
    <row r="17" spans="1:7" x14ac:dyDescent="0.35">
      <c r="A17" t="s">
        <v>406</v>
      </c>
      <c r="B17" s="2">
        <v>45747</v>
      </c>
      <c r="C17" t="s">
        <v>63</v>
      </c>
      <c r="D17" t="s">
        <v>285</v>
      </c>
      <c r="E17" t="s">
        <v>394</v>
      </c>
      <c r="F17">
        <v>3</v>
      </c>
      <c r="G17">
        <v>26304</v>
      </c>
    </row>
    <row r="18" spans="1:7" x14ac:dyDescent="0.35">
      <c r="A18" t="s">
        <v>407</v>
      </c>
      <c r="B18" s="2">
        <v>45705</v>
      </c>
      <c r="C18" t="s">
        <v>47</v>
      </c>
      <c r="D18" t="s">
        <v>327</v>
      </c>
      <c r="E18" t="s">
        <v>387</v>
      </c>
      <c r="F18">
        <v>3</v>
      </c>
      <c r="G18">
        <v>66186</v>
      </c>
    </row>
    <row r="19" spans="1:7" x14ac:dyDescent="0.35">
      <c r="A19" t="s">
        <v>408</v>
      </c>
      <c r="B19" s="2">
        <v>45984</v>
      </c>
      <c r="C19" t="s">
        <v>59</v>
      </c>
      <c r="D19" t="s">
        <v>119</v>
      </c>
      <c r="E19" t="s">
        <v>389</v>
      </c>
      <c r="F19">
        <v>8</v>
      </c>
      <c r="G19">
        <v>384848</v>
      </c>
    </row>
    <row r="20" spans="1:7" x14ac:dyDescent="0.35">
      <c r="A20" t="s">
        <v>409</v>
      </c>
      <c r="B20" s="2">
        <v>45884</v>
      </c>
      <c r="C20" t="s">
        <v>7</v>
      </c>
      <c r="D20" t="s">
        <v>335</v>
      </c>
      <c r="E20" t="s">
        <v>403</v>
      </c>
      <c r="F20">
        <v>6</v>
      </c>
      <c r="G20">
        <v>156798</v>
      </c>
    </row>
    <row r="21" spans="1:7" x14ac:dyDescent="0.35">
      <c r="A21" t="s">
        <v>410</v>
      </c>
      <c r="B21" s="2">
        <v>45917</v>
      </c>
      <c r="C21" t="s">
        <v>67</v>
      </c>
      <c r="D21" t="s">
        <v>153</v>
      </c>
      <c r="E21" t="s">
        <v>394</v>
      </c>
      <c r="F21">
        <v>8</v>
      </c>
      <c r="G21">
        <v>172928</v>
      </c>
    </row>
    <row r="22" spans="1:7" x14ac:dyDescent="0.35">
      <c r="A22" t="s">
        <v>411</v>
      </c>
      <c r="B22" s="2">
        <v>45699</v>
      </c>
      <c r="C22" t="s">
        <v>7</v>
      </c>
      <c r="D22" t="s">
        <v>253</v>
      </c>
      <c r="E22" t="s">
        <v>403</v>
      </c>
      <c r="F22">
        <v>6</v>
      </c>
      <c r="G22">
        <v>156798</v>
      </c>
    </row>
    <row r="23" spans="1:7" x14ac:dyDescent="0.35">
      <c r="A23" t="s">
        <v>412</v>
      </c>
      <c r="B23" s="2">
        <v>45795</v>
      </c>
      <c r="C23" t="s">
        <v>63</v>
      </c>
      <c r="D23" t="s">
        <v>369</v>
      </c>
      <c r="E23" t="s">
        <v>389</v>
      </c>
      <c r="F23">
        <v>10</v>
      </c>
      <c r="G23">
        <v>87680</v>
      </c>
    </row>
    <row r="24" spans="1:7" x14ac:dyDescent="0.35">
      <c r="A24" t="s">
        <v>413</v>
      </c>
      <c r="B24" s="2">
        <v>45970</v>
      </c>
      <c r="C24" t="s">
        <v>61</v>
      </c>
      <c r="D24" t="s">
        <v>147</v>
      </c>
      <c r="E24" t="s">
        <v>403</v>
      </c>
      <c r="F24">
        <v>6</v>
      </c>
      <c r="G24">
        <v>150096</v>
      </c>
    </row>
    <row r="25" spans="1:7" x14ac:dyDescent="0.35">
      <c r="A25" t="s">
        <v>414</v>
      </c>
      <c r="B25" s="2">
        <v>45908</v>
      </c>
      <c r="C25" t="s">
        <v>41</v>
      </c>
      <c r="D25" t="s">
        <v>153</v>
      </c>
      <c r="E25" t="s">
        <v>394</v>
      </c>
      <c r="F25">
        <v>7</v>
      </c>
      <c r="G25">
        <v>148834</v>
      </c>
    </row>
    <row r="26" spans="1:7" x14ac:dyDescent="0.35">
      <c r="A26" t="s">
        <v>415</v>
      </c>
      <c r="B26" s="2">
        <v>45689</v>
      </c>
      <c r="C26" t="s">
        <v>55</v>
      </c>
      <c r="D26" t="s">
        <v>275</v>
      </c>
      <c r="E26" t="s">
        <v>391</v>
      </c>
      <c r="F26">
        <v>4</v>
      </c>
      <c r="G26">
        <v>45660</v>
      </c>
    </row>
    <row r="27" spans="1:7" x14ac:dyDescent="0.35">
      <c r="A27" t="s">
        <v>416</v>
      </c>
      <c r="B27" s="2">
        <v>45769</v>
      </c>
      <c r="C27" t="s">
        <v>57</v>
      </c>
      <c r="D27" t="s">
        <v>195</v>
      </c>
      <c r="E27" t="s">
        <v>389</v>
      </c>
      <c r="F27">
        <v>3</v>
      </c>
      <c r="G27">
        <v>146367</v>
      </c>
    </row>
    <row r="28" spans="1:7" x14ac:dyDescent="0.35">
      <c r="A28" t="s">
        <v>417</v>
      </c>
      <c r="B28" s="2">
        <v>45881</v>
      </c>
      <c r="C28" t="s">
        <v>41</v>
      </c>
      <c r="D28" t="s">
        <v>237</v>
      </c>
      <c r="E28" t="s">
        <v>389</v>
      </c>
      <c r="F28">
        <v>7</v>
      </c>
      <c r="G28">
        <v>148834</v>
      </c>
    </row>
    <row r="29" spans="1:7" x14ac:dyDescent="0.35">
      <c r="A29" t="s">
        <v>418</v>
      </c>
      <c r="B29" s="2">
        <v>45765</v>
      </c>
      <c r="C29" t="s">
        <v>27</v>
      </c>
      <c r="D29" t="s">
        <v>321</v>
      </c>
      <c r="E29" t="s">
        <v>403</v>
      </c>
      <c r="F29">
        <v>4</v>
      </c>
      <c r="G29">
        <v>150736</v>
      </c>
    </row>
    <row r="30" spans="1:7" x14ac:dyDescent="0.35">
      <c r="A30" t="s">
        <v>419</v>
      </c>
      <c r="B30" s="2">
        <v>45696</v>
      </c>
      <c r="C30" t="s">
        <v>49</v>
      </c>
      <c r="D30" t="s">
        <v>267</v>
      </c>
      <c r="E30" t="s">
        <v>387</v>
      </c>
      <c r="F30">
        <v>5</v>
      </c>
      <c r="G30">
        <v>227570</v>
      </c>
    </row>
    <row r="31" spans="1:7" x14ac:dyDescent="0.35">
      <c r="A31" t="s">
        <v>420</v>
      </c>
      <c r="B31" s="2">
        <v>45938</v>
      </c>
      <c r="C31" t="s">
        <v>39</v>
      </c>
      <c r="D31" t="s">
        <v>113</v>
      </c>
      <c r="E31" t="s">
        <v>403</v>
      </c>
      <c r="F31">
        <v>1</v>
      </c>
      <c r="G31">
        <v>48288</v>
      </c>
    </row>
    <row r="32" spans="1:7" x14ac:dyDescent="0.35">
      <c r="A32" t="s">
        <v>421</v>
      </c>
      <c r="B32" s="2">
        <v>46015</v>
      </c>
      <c r="C32" t="s">
        <v>61</v>
      </c>
      <c r="D32" t="s">
        <v>353</v>
      </c>
      <c r="E32" t="s">
        <v>387</v>
      </c>
      <c r="F32">
        <v>1</v>
      </c>
      <c r="G32">
        <v>25016</v>
      </c>
    </row>
    <row r="33" spans="1:7" x14ac:dyDescent="0.35">
      <c r="A33" t="s">
        <v>422</v>
      </c>
      <c r="B33" s="2">
        <v>45833</v>
      </c>
      <c r="C33" t="s">
        <v>33</v>
      </c>
      <c r="D33" t="s">
        <v>333</v>
      </c>
      <c r="E33" t="s">
        <v>394</v>
      </c>
      <c r="F33">
        <v>9</v>
      </c>
      <c r="G33">
        <v>326277</v>
      </c>
    </row>
    <row r="34" spans="1:7" x14ac:dyDescent="0.35">
      <c r="A34" t="s">
        <v>423</v>
      </c>
      <c r="B34" s="2">
        <v>45808</v>
      </c>
      <c r="C34" t="s">
        <v>45</v>
      </c>
      <c r="D34" t="s">
        <v>187</v>
      </c>
      <c r="E34" t="s">
        <v>389</v>
      </c>
      <c r="F34">
        <v>2</v>
      </c>
      <c r="G34">
        <v>15652</v>
      </c>
    </row>
    <row r="35" spans="1:7" x14ac:dyDescent="0.35">
      <c r="A35" t="s">
        <v>424</v>
      </c>
      <c r="B35" s="2">
        <v>45769</v>
      </c>
      <c r="C35" t="s">
        <v>10</v>
      </c>
      <c r="D35" t="s">
        <v>303</v>
      </c>
      <c r="E35" t="s">
        <v>403</v>
      </c>
      <c r="F35">
        <v>9</v>
      </c>
      <c r="G35">
        <v>40644</v>
      </c>
    </row>
    <row r="36" spans="1:7" x14ac:dyDescent="0.35">
      <c r="A36" t="s">
        <v>425</v>
      </c>
      <c r="B36" s="2">
        <v>45740</v>
      </c>
      <c r="C36" t="s">
        <v>25</v>
      </c>
      <c r="D36" t="s">
        <v>217</v>
      </c>
      <c r="E36" t="s">
        <v>403</v>
      </c>
      <c r="F36">
        <v>3</v>
      </c>
      <c r="G36">
        <v>54729</v>
      </c>
    </row>
    <row r="37" spans="1:7" x14ac:dyDescent="0.35">
      <c r="A37" t="s">
        <v>426</v>
      </c>
      <c r="B37" s="2">
        <v>45767</v>
      </c>
      <c r="C37" t="s">
        <v>53</v>
      </c>
      <c r="D37" t="s">
        <v>313</v>
      </c>
      <c r="E37" t="s">
        <v>403</v>
      </c>
      <c r="F37">
        <v>9</v>
      </c>
      <c r="G37">
        <v>37872</v>
      </c>
    </row>
    <row r="38" spans="1:7" x14ac:dyDescent="0.35">
      <c r="A38" t="s">
        <v>427</v>
      </c>
      <c r="B38" s="2">
        <v>45805</v>
      </c>
      <c r="C38" t="s">
        <v>59</v>
      </c>
      <c r="D38" t="s">
        <v>123</v>
      </c>
      <c r="E38" t="s">
        <v>387</v>
      </c>
      <c r="F38">
        <v>5</v>
      </c>
      <c r="G38">
        <v>240530</v>
      </c>
    </row>
    <row r="39" spans="1:7" x14ac:dyDescent="0.35">
      <c r="A39" t="s">
        <v>428</v>
      </c>
      <c r="B39" s="2">
        <v>45694</v>
      </c>
      <c r="C39" t="s">
        <v>31</v>
      </c>
      <c r="D39" t="s">
        <v>369</v>
      </c>
      <c r="E39" t="s">
        <v>391</v>
      </c>
      <c r="F39">
        <v>3</v>
      </c>
      <c r="G39">
        <v>89898</v>
      </c>
    </row>
    <row r="40" spans="1:7" x14ac:dyDescent="0.35">
      <c r="A40" t="s">
        <v>429</v>
      </c>
      <c r="B40" s="2">
        <v>45968</v>
      </c>
      <c r="C40" t="s">
        <v>16</v>
      </c>
      <c r="D40" t="s">
        <v>99</v>
      </c>
      <c r="E40" t="s">
        <v>391</v>
      </c>
      <c r="F40">
        <v>2</v>
      </c>
      <c r="G40">
        <v>63924</v>
      </c>
    </row>
    <row r="41" spans="1:7" x14ac:dyDescent="0.35">
      <c r="A41" t="s">
        <v>430</v>
      </c>
      <c r="B41" s="2">
        <v>45976</v>
      </c>
      <c r="C41" t="s">
        <v>45</v>
      </c>
      <c r="D41" t="s">
        <v>329</v>
      </c>
      <c r="E41" t="s">
        <v>387</v>
      </c>
      <c r="F41">
        <v>2</v>
      </c>
      <c r="G41">
        <v>15652</v>
      </c>
    </row>
    <row r="42" spans="1:7" x14ac:dyDescent="0.35">
      <c r="A42" t="s">
        <v>431</v>
      </c>
      <c r="B42" s="2">
        <v>45874</v>
      </c>
      <c r="C42" t="s">
        <v>7</v>
      </c>
      <c r="D42" t="s">
        <v>173</v>
      </c>
      <c r="E42" t="s">
        <v>389</v>
      </c>
      <c r="F42">
        <v>10</v>
      </c>
      <c r="G42">
        <v>261330</v>
      </c>
    </row>
    <row r="43" spans="1:7" x14ac:dyDescent="0.35">
      <c r="A43" t="s">
        <v>432</v>
      </c>
      <c r="B43" s="2">
        <v>45876</v>
      </c>
      <c r="C43" t="s">
        <v>37</v>
      </c>
      <c r="D43" t="s">
        <v>163</v>
      </c>
      <c r="E43" t="s">
        <v>403</v>
      </c>
      <c r="F43">
        <v>7</v>
      </c>
      <c r="G43">
        <v>13671</v>
      </c>
    </row>
    <row r="44" spans="1:7" x14ac:dyDescent="0.35">
      <c r="A44" t="s">
        <v>433</v>
      </c>
      <c r="B44" s="2">
        <v>45816</v>
      </c>
      <c r="C44" t="s">
        <v>35</v>
      </c>
      <c r="D44" t="s">
        <v>101</v>
      </c>
      <c r="E44" t="s">
        <v>389</v>
      </c>
      <c r="F44">
        <v>8</v>
      </c>
      <c r="G44">
        <v>395680</v>
      </c>
    </row>
    <row r="45" spans="1:7" x14ac:dyDescent="0.35">
      <c r="A45" t="s">
        <v>434</v>
      </c>
      <c r="B45" s="2">
        <v>46000</v>
      </c>
      <c r="C45" t="s">
        <v>51</v>
      </c>
      <c r="D45" t="s">
        <v>175</v>
      </c>
      <c r="E45" t="s">
        <v>403</v>
      </c>
      <c r="F45">
        <v>7</v>
      </c>
      <c r="G45">
        <v>220073</v>
      </c>
    </row>
    <row r="46" spans="1:7" x14ac:dyDescent="0.35">
      <c r="A46" t="s">
        <v>435</v>
      </c>
      <c r="B46" s="2">
        <v>45972</v>
      </c>
      <c r="C46" t="s">
        <v>63</v>
      </c>
      <c r="D46" t="s">
        <v>365</v>
      </c>
      <c r="E46" t="s">
        <v>394</v>
      </c>
      <c r="F46">
        <v>1</v>
      </c>
      <c r="G46">
        <v>8768</v>
      </c>
    </row>
    <row r="47" spans="1:7" x14ac:dyDescent="0.35">
      <c r="A47" t="s">
        <v>436</v>
      </c>
      <c r="B47" s="2">
        <v>45725</v>
      </c>
      <c r="C47" t="s">
        <v>10</v>
      </c>
      <c r="D47" t="s">
        <v>295</v>
      </c>
      <c r="E47" t="s">
        <v>389</v>
      </c>
      <c r="F47">
        <v>4</v>
      </c>
      <c r="G47">
        <v>18064</v>
      </c>
    </row>
    <row r="48" spans="1:7" x14ac:dyDescent="0.35">
      <c r="A48" t="s">
        <v>437</v>
      </c>
      <c r="B48" s="2">
        <v>46010</v>
      </c>
      <c r="C48" t="s">
        <v>37</v>
      </c>
      <c r="D48" t="s">
        <v>325</v>
      </c>
      <c r="E48" t="s">
        <v>389</v>
      </c>
      <c r="F48">
        <v>9</v>
      </c>
      <c r="G48">
        <v>17577</v>
      </c>
    </row>
    <row r="49" spans="1:7" x14ac:dyDescent="0.35">
      <c r="A49" t="s">
        <v>438</v>
      </c>
      <c r="B49" s="2">
        <v>45819</v>
      </c>
      <c r="C49" t="s">
        <v>29</v>
      </c>
      <c r="D49" t="s">
        <v>345</v>
      </c>
      <c r="E49" t="s">
        <v>403</v>
      </c>
      <c r="F49">
        <v>1</v>
      </c>
      <c r="G49">
        <v>42644</v>
      </c>
    </row>
    <row r="50" spans="1:7" x14ac:dyDescent="0.35">
      <c r="A50" t="s">
        <v>439</v>
      </c>
      <c r="B50" s="2">
        <v>45745</v>
      </c>
      <c r="C50" t="s">
        <v>21</v>
      </c>
      <c r="D50" t="s">
        <v>197</v>
      </c>
      <c r="E50" t="s">
        <v>391</v>
      </c>
      <c r="F50">
        <v>10</v>
      </c>
      <c r="G50">
        <v>152090</v>
      </c>
    </row>
    <row r="51" spans="1:7" x14ac:dyDescent="0.35">
      <c r="A51" t="s">
        <v>440</v>
      </c>
      <c r="B51" s="2">
        <v>45908</v>
      </c>
      <c r="C51" t="s">
        <v>23</v>
      </c>
      <c r="D51" t="s">
        <v>149</v>
      </c>
      <c r="E51" t="s">
        <v>391</v>
      </c>
      <c r="F51">
        <v>2</v>
      </c>
      <c r="G51">
        <v>12138</v>
      </c>
    </row>
    <row r="52" spans="1:7" x14ac:dyDescent="0.35">
      <c r="A52" t="s">
        <v>441</v>
      </c>
      <c r="B52" s="2">
        <v>45848</v>
      </c>
      <c r="C52" t="s">
        <v>53</v>
      </c>
      <c r="D52" t="s">
        <v>107</v>
      </c>
      <c r="E52" t="s">
        <v>394</v>
      </c>
      <c r="F52">
        <v>6</v>
      </c>
      <c r="G52">
        <v>25248</v>
      </c>
    </row>
    <row r="53" spans="1:7" x14ac:dyDescent="0.35">
      <c r="A53" t="s">
        <v>442</v>
      </c>
      <c r="B53" s="2">
        <v>45946</v>
      </c>
      <c r="C53" t="s">
        <v>29</v>
      </c>
      <c r="D53" t="s">
        <v>227</v>
      </c>
      <c r="E53" t="s">
        <v>394</v>
      </c>
      <c r="F53">
        <v>3</v>
      </c>
      <c r="G53">
        <v>127932</v>
      </c>
    </row>
    <row r="54" spans="1:7" x14ac:dyDescent="0.35">
      <c r="A54" t="s">
        <v>443</v>
      </c>
      <c r="B54" s="2">
        <v>45841</v>
      </c>
      <c r="C54" t="s">
        <v>47</v>
      </c>
      <c r="D54" t="s">
        <v>367</v>
      </c>
      <c r="E54" t="s">
        <v>391</v>
      </c>
      <c r="F54">
        <v>9</v>
      </c>
      <c r="G54">
        <v>198558</v>
      </c>
    </row>
    <row r="55" spans="1:7" x14ac:dyDescent="0.35">
      <c r="A55" t="s">
        <v>444</v>
      </c>
      <c r="B55" s="2">
        <v>45737</v>
      </c>
      <c r="C55" t="s">
        <v>7</v>
      </c>
      <c r="D55" t="s">
        <v>147</v>
      </c>
      <c r="E55" t="s">
        <v>394</v>
      </c>
      <c r="F55">
        <v>2</v>
      </c>
      <c r="G55">
        <v>52266</v>
      </c>
    </row>
    <row r="56" spans="1:7" x14ac:dyDescent="0.35">
      <c r="A56" t="s">
        <v>445</v>
      </c>
      <c r="B56" s="2">
        <v>46009</v>
      </c>
      <c r="C56" t="s">
        <v>61</v>
      </c>
      <c r="D56" t="s">
        <v>269</v>
      </c>
      <c r="E56" t="s">
        <v>391</v>
      </c>
      <c r="F56">
        <v>8</v>
      </c>
      <c r="G56">
        <v>200128</v>
      </c>
    </row>
    <row r="57" spans="1:7" x14ac:dyDescent="0.35">
      <c r="A57" t="s">
        <v>446</v>
      </c>
      <c r="B57" s="2">
        <v>45907</v>
      </c>
      <c r="C57" t="s">
        <v>53</v>
      </c>
      <c r="D57" t="s">
        <v>113</v>
      </c>
      <c r="E57" t="s">
        <v>387</v>
      </c>
      <c r="F57">
        <v>3</v>
      </c>
      <c r="G57">
        <v>12624</v>
      </c>
    </row>
    <row r="58" spans="1:7" x14ac:dyDescent="0.35">
      <c r="A58" t="s">
        <v>447</v>
      </c>
      <c r="B58" s="2">
        <v>45895</v>
      </c>
      <c r="C58" t="s">
        <v>19</v>
      </c>
      <c r="D58" t="s">
        <v>187</v>
      </c>
      <c r="E58" t="s">
        <v>389</v>
      </c>
      <c r="F58">
        <v>10</v>
      </c>
      <c r="G58">
        <v>421590</v>
      </c>
    </row>
    <row r="59" spans="1:7" x14ac:dyDescent="0.35">
      <c r="A59" t="s">
        <v>448</v>
      </c>
      <c r="B59" s="2">
        <v>45908</v>
      </c>
      <c r="C59" t="s">
        <v>61</v>
      </c>
      <c r="D59" t="s">
        <v>315</v>
      </c>
      <c r="E59" t="s">
        <v>403</v>
      </c>
      <c r="F59">
        <v>8</v>
      </c>
      <c r="G59">
        <v>200128</v>
      </c>
    </row>
    <row r="60" spans="1:7" x14ac:dyDescent="0.35">
      <c r="A60" t="s">
        <v>449</v>
      </c>
      <c r="B60" s="2">
        <v>45663</v>
      </c>
      <c r="C60" t="s">
        <v>31</v>
      </c>
      <c r="D60" t="s">
        <v>327</v>
      </c>
      <c r="E60" t="s">
        <v>403</v>
      </c>
      <c r="F60">
        <v>3</v>
      </c>
      <c r="G60">
        <v>89898</v>
      </c>
    </row>
    <row r="61" spans="1:7" x14ac:dyDescent="0.35">
      <c r="A61" t="s">
        <v>450</v>
      </c>
      <c r="B61" s="2">
        <v>45666</v>
      </c>
      <c r="C61" t="s">
        <v>33</v>
      </c>
      <c r="D61" t="s">
        <v>127</v>
      </c>
      <c r="E61" t="s">
        <v>389</v>
      </c>
      <c r="F61">
        <v>7</v>
      </c>
      <c r="G61">
        <v>253771</v>
      </c>
    </row>
    <row r="62" spans="1:7" x14ac:dyDescent="0.35">
      <c r="A62" t="s">
        <v>451</v>
      </c>
      <c r="B62" s="2">
        <v>45834</v>
      </c>
      <c r="C62" t="s">
        <v>4</v>
      </c>
      <c r="D62" t="s">
        <v>309</v>
      </c>
      <c r="E62" t="s">
        <v>389</v>
      </c>
      <c r="F62">
        <v>7</v>
      </c>
      <c r="G62">
        <v>82705</v>
      </c>
    </row>
    <row r="63" spans="1:7" x14ac:dyDescent="0.35">
      <c r="A63" t="s">
        <v>452</v>
      </c>
      <c r="B63" s="2">
        <v>45999</v>
      </c>
      <c r="C63" t="s">
        <v>61</v>
      </c>
      <c r="D63" t="s">
        <v>357</v>
      </c>
      <c r="E63" t="s">
        <v>391</v>
      </c>
      <c r="F63">
        <v>6</v>
      </c>
      <c r="G63">
        <v>150096</v>
      </c>
    </row>
    <row r="64" spans="1:7" x14ac:dyDescent="0.35">
      <c r="A64" t="s">
        <v>453</v>
      </c>
      <c r="B64" s="2">
        <v>45674</v>
      </c>
      <c r="C64" t="s">
        <v>47</v>
      </c>
      <c r="D64" t="s">
        <v>325</v>
      </c>
      <c r="E64" t="s">
        <v>387</v>
      </c>
      <c r="F64">
        <v>10</v>
      </c>
      <c r="G64">
        <v>220620</v>
      </c>
    </row>
    <row r="65" spans="1:7" x14ac:dyDescent="0.35">
      <c r="A65" t="s">
        <v>454</v>
      </c>
      <c r="B65" s="2">
        <v>45857</v>
      </c>
      <c r="C65" t="s">
        <v>35</v>
      </c>
      <c r="D65" t="s">
        <v>88</v>
      </c>
      <c r="E65" t="s">
        <v>391</v>
      </c>
      <c r="F65">
        <v>4</v>
      </c>
      <c r="G65">
        <v>197840</v>
      </c>
    </row>
    <row r="66" spans="1:7" x14ac:dyDescent="0.35">
      <c r="A66" t="s">
        <v>455</v>
      </c>
      <c r="B66" s="2">
        <v>45868</v>
      </c>
      <c r="C66" t="s">
        <v>35</v>
      </c>
      <c r="D66" t="s">
        <v>239</v>
      </c>
      <c r="E66" t="s">
        <v>391</v>
      </c>
      <c r="F66">
        <v>8</v>
      </c>
      <c r="G66">
        <v>395680</v>
      </c>
    </row>
    <row r="67" spans="1:7" x14ac:dyDescent="0.35">
      <c r="A67" t="s">
        <v>456</v>
      </c>
      <c r="B67" s="2">
        <v>45732</v>
      </c>
      <c r="C67" t="s">
        <v>55</v>
      </c>
      <c r="D67" t="s">
        <v>211</v>
      </c>
      <c r="E67" t="s">
        <v>387</v>
      </c>
      <c r="F67">
        <v>8</v>
      </c>
      <c r="G67">
        <v>91320</v>
      </c>
    </row>
    <row r="68" spans="1:7" x14ac:dyDescent="0.35">
      <c r="A68" t="s">
        <v>457</v>
      </c>
      <c r="B68" s="2">
        <v>45839</v>
      </c>
      <c r="C68" t="s">
        <v>59</v>
      </c>
      <c r="D68" t="s">
        <v>233</v>
      </c>
      <c r="E68" t="s">
        <v>403</v>
      </c>
      <c r="F68">
        <v>2</v>
      </c>
      <c r="G68">
        <v>96212</v>
      </c>
    </row>
    <row r="69" spans="1:7" x14ac:dyDescent="0.35">
      <c r="A69" t="s">
        <v>458</v>
      </c>
      <c r="B69" s="2">
        <v>45896</v>
      </c>
      <c r="C69" t="s">
        <v>55</v>
      </c>
      <c r="D69" t="s">
        <v>113</v>
      </c>
      <c r="E69" t="s">
        <v>387</v>
      </c>
      <c r="F69">
        <v>6</v>
      </c>
      <c r="G69">
        <v>68490</v>
      </c>
    </row>
    <row r="70" spans="1:7" x14ac:dyDescent="0.35">
      <c r="A70" t="s">
        <v>459</v>
      </c>
      <c r="B70" s="2">
        <v>45759</v>
      </c>
      <c r="C70" t="s">
        <v>25</v>
      </c>
      <c r="D70" t="s">
        <v>259</v>
      </c>
      <c r="E70" t="s">
        <v>389</v>
      </c>
      <c r="F70">
        <v>2</v>
      </c>
      <c r="G70">
        <v>36486</v>
      </c>
    </row>
    <row r="71" spans="1:7" x14ac:dyDescent="0.35">
      <c r="A71" t="s">
        <v>460</v>
      </c>
      <c r="B71" s="2">
        <v>46013</v>
      </c>
      <c r="C71" t="s">
        <v>21</v>
      </c>
      <c r="D71" t="s">
        <v>237</v>
      </c>
      <c r="E71" t="s">
        <v>403</v>
      </c>
      <c r="F71">
        <v>5</v>
      </c>
      <c r="G71">
        <v>76045</v>
      </c>
    </row>
    <row r="72" spans="1:7" x14ac:dyDescent="0.35">
      <c r="A72" t="s">
        <v>461</v>
      </c>
      <c r="B72" s="2">
        <v>45806</v>
      </c>
      <c r="C72" t="s">
        <v>57</v>
      </c>
      <c r="D72" t="s">
        <v>207</v>
      </c>
      <c r="E72" t="s">
        <v>403</v>
      </c>
      <c r="F72">
        <v>5</v>
      </c>
      <c r="G72">
        <v>243945</v>
      </c>
    </row>
    <row r="73" spans="1:7" x14ac:dyDescent="0.35">
      <c r="A73" t="s">
        <v>462</v>
      </c>
      <c r="B73" s="2">
        <v>45731</v>
      </c>
      <c r="C73" t="s">
        <v>49</v>
      </c>
      <c r="D73" t="s">
        <v>211</v>
      </c>
      <c r="E73" t="s">
        <v>391</v>
      </c>
      <c r="F73">
        <v>9</v>
      </c>
      <c r="G73">
        <v>409626</v>
      </c>
    </row>
    <row r="74" spans="1:7" x14ac:dyDescent="0.35">
      <c r="A74" t="s">
        <v>463</v>
      </c>
      <c r="B74" s="2">
        <v>45778</v>
      </c>
      <c r="C74" t="s">
        <v>53</v>
      </c>
      <c r="D74" t="s">
        <v>255</v>
      </c>
      <c r="E74" t="s">
        <v>391</v>
      </c>
      <c r="F74">
        <v>2</v>
      </c>
      <c r="G74">
        <v>8416</v>
      </c>
    </row>
    <row r="75" spans="1:7" x14ac:dyDescent="0.35">
      <c r="A75" t="s">
        <v>464</v>
      </c>
      <c r="B75" s="2">
        <v>45952</v>
      </c>
      <c r="C75" t="s">
        <v>25</v>
      </c>
      <c r="D75" t="s">
        <v>231</v>
      </c>
      <c r="E75" t="s">
        <v>394</v>
      </c>
      <c r="F75">
        <v>9</v>
      </c>
      <c r="G75">
        <v>164187</v>
      </c>
    </row>
    <row r="76" spans="1:7" x14ac:dyDescent="0.35">
      <c r="A76" t="s">
        <v>465</v>
      </c>
      <c r="B76" s="2">
        <v>45734</v>
      </c>
      <c r="C76" t="s">
        <v>65</v>
      </c>
      <c r="D76" t="s">
        <v>213</v>
      </c>
      <c r="E76" t="s">
        <v>389</v>
      </c>
      <c r="F76">
        <v>10</v>
      </c>
      <c r="G76">
        <v>5450</v>
      </c>
    </row>
    <row r="77" spans="1:7" x14ac:dyDescent="0.35">
      <c r="A77" t="s">
        <v>466</v>
      </c>
      <c r="B77" s="2">
        <v>45932</v>
      </c>
      <c r="C77" t="s">
        <v>53</v>
      </c>
      <c r="D77" t="s">
        <v>145</v>
      </c>
      <c r="E77" t="s">
        <v>394</v>
      </c>
      <c r="F77">
        <v>4</v>
      </c>
      <c r="G77">
        <v>16832</v>
      </c>
    </row>
    <row r="78" spans="1:7" x14ac:dyDescent="0.35">
      <c r="A78" t="s">
        <v>467</v>
      </c>
      <c r="B78" s="2">
        <v>45788</v>
      </c>
      <c r="C78" t="s">
        <v>43</v>
      </c>
      <c r="D78" t="s">
        <v>311</v>
      </c>
      <c r="E78" t="s">
        <v>387</v>
      </c>
      <c r="F78">
        <v>2</v>
      </c>
      <c r="G78">
        <v>75650</v>
      </c>
    </row>
    <row r="79" spans="1:7" x14ac:dyDescent="0.35">
      <c r="A79" t="s">
        <v>468</v>
      </c>
      <c r="B79" s="2">
        <v>45996</v>
      </c>
      <c r="C79" t="s">
        <v>63</v>
      </c>
      <c r="D79" t="s">
        <v>97</v>
      </c>
      <c r="E79" t="s">
        <v>389</v>
      </c>
      <c r="F79">
        <v>8</v>
      </c>
      <c r="G79">
        <v>70144</v>
      </c>
    </row>
    <row r="80" spans="1:7" x14ac:dyDescent="0.35">
      <c r="A80" t="s">
        <v>469</v>
      </c>
      <c r="B80" s="2">
        <v>45710</v>
      </c>
      <c r="C80" t="s">
        <v>51</v>
      </c>
      <c r="D80" t="s">
        <v>217</v>
      </c>
      <c r="E80" t="s">
        <v>394</v>
      </c>
      <c r="F80">
        <v>8</v>
      </c>
      <c r="G80">
        <v>251512</v>
      </c>
    </row>
    <row r="81" spans="1:7" x14ac:dyDescent="0.35">
      <c r="A81" t="s">
        <v>470</v>
      </c>
      <c r="B81" s="2">
        <v>45846</v>
      </c>
      <c r="C81" t="s">
        <v>21</v>
      </c>
      <c r="D81" t="s">
        <v>225</v>
      </c>
      <c r="E81" t="s">
        <v>389</v>
      </c>
      <c r="F81">
        <v>3</v>
      </c>
      <c r="G81">
        <v>45627</v>
      </c>
    </row>
    <row r="82" spans="1:7" x14ac:dyDescent="0.35">
      <c r="A82" t="s">
        <v>471</v>
      </c>
      <c r="B82" s="2">
        <v>45919</v>
      </c>
      <c r="C82" t="s">
        <v>31</v>
      </c>
      <c r="D82" t="s">
        <v>78</v>
      </c>
      <c r="E82" t="s">
        <v>403</v>
      </c>
      <c r="F82">
        <v>1</v>
      </c>
      <c r="G82">
        <v>29966</v>
      </c>
    </row>
    <row r="83" spans="1:7" x14ac:dyDescent="0.35">
      <c r="A83" t="s">
        <v>472</v>
      </c>
      <c r="B83" s="2">
        <v>45822</v>
      </c>
      <c r="C83" t="s">
        <v>21</v>
      </c>
      <c r="D83" t="s">
        <v>199</v>
      </c>
      <c r="E83" t="s">
        <v>394</v>
      </c>
      <c r="F83">
        <v>2</v>
      </c>
      <c r="G83">
        <v>30418</v>
      </c>
    </row>
    <row r="84" spans="1:7" x14ac:dyDescent="0.35">
      <c r="A84" t="s">
        <v>473</v>
      </c>
      <c r="B84" s="2">
        <v>45970</v>
      </c>
      <c r="C84" t="s">
        <v>35</v>
      </c>
      <c r="D84" t="s">
        <v>319</v>
      </c>
      <c r="E84" t="s">
        <v>387</v>
      </c>
      <c r="F84">
        <v>5</v>
      </c>
      <c r="G84">
        <v>247300</v>
      </c>
    </row>
    <row r="85" spans="1:7" x14ac:dyDescent="0.35">
      <c r="A85" t="s">
        <v>474</v>
      </c>
      <c r="B85" s="2">
        <v>45878</v>
      </c>
      <c r="C85" t="s">
        <v>21</v>
      </c>
      <c r="D85" t="s">
        <v>265</v>
      </c>
      <c r="E85" t="s">
        <v>403</v>
      </c>
      <c r="F85">
        <v>1</v>
      </c>
      <c r="G85">
        <v>15209</v>
      </c>
    </row>
    <row r="86" spans="1:7" x14ac:dyDescent="0.35">
      <c r="A86" t="s">
        <v>475</v>
      </c>
      <c r="B86" s="2">
        <v>45696</v>
      </c>
      <c r="C86" t="s">
        <v>45</v>
      </c>
      <c r="D86" t="s">
        <v>99</v>
      </c>
      <c r="E86" t="s">
        <v>389</v>
      </c>
      <c r="F86">
        <v>8</v>
      </c>
      <c r="G86">
        <v>62608</v>
      </c>
    </row>
    <row r="87" spans="1:7" x14ac:dyDescent="0.35">
      <c r="A87" t="s">
        <v>476</v>
      </c>
      <c r="B87" s="2">
        <v>45944</v>
      </c>
      <c r="C87" t="s">
        <v>59</v>
      </c>
      <c r="D87" t="s">
        <v>117</v>
      </c>
      <c r="E87" t="s">
        <v>389</v>
      </c>
      <c r="F87">
        <v>10</v>
      </c>
      <c r="G87">
        <v>481060</v>
      </c>
    </row>
    <row r="88" spans="1:7" x14ac:dyDescent="0.35">
      <c r="A88" t="s">
        <v>477</v>
      </c>
      <c r="B88" s="2">
        <v>45676</v>
      </c>
      <c r="C88" t="s">
        <v>47</v>
      </c>
      <c r="D88" t="s">
        <v>163</v>
      </c>
      <c r="E88" t="s">
        <v>389</v>
      </c>
      <c r="F88">
        <v>5</v>
      </c>
      <c r="G88">
        <v>110310</v>
      </c>
    </row>
    <row r="89" spans="1:7" x14ac:dyDescent="0.35">
      <c r="A89" t="s">
        <v>478</v>
      </c>
      <c r="B89" s="2">
        <v>45802</v>
      </c>
      <c r="C89" t="s">
        <v>47</v>
      </c>
      <c r="D89" t="s">
        <v>281</v>
      </c>
      <c r="E89" t="s">
        <v>394</v>
      </c>
      <c r="F89">
        <v>6</v>
      </c>
      <c r="G89">
        <v>132372</v>
      </c>
    </row>
    <row r="90" spans="1:7" x14ac:dyDescent="0.35">
      <c r="A90" t="s">
        <v>479</v>
      </c>
      <c r="B90" s="2">
        <v>45790</v>
      </c>
      <c r="C90" t="s">
        <v>23</v>
      </c>
      <c r="D90" t="s">
        <v>249</v>
      </c>
      <c r="E90" t="s">
        <v>389</v>
      </c>
      <c r="F90">
        <v>8</v>
      </c>
      <c r="G90">
        <v>48552</v>
      </c>
    </row>
    <row r="91" spans="1:7" x14ac:dyDescent="0.35">
      <c r="A91" t="s">
        <v>480</v>
      </c>
      <c r="B91" s="2">
        <v>45769</v>
      </c>
      <c r="C91" t="s">
        <v>16</v>
      </c>
      <c r="D91" t="s">
        <v>153</v>
      </c>
      <c r="E91" t="s">
        <v>387</v>
      </c>
      <c r="F91">
        <v>2</v>
      </c>
      <c r="G91">
        <v>63924</v>
      </c>
    </row>
    <row r="92" spans="1:7" x14ac:dyDescent="0.35">
      <c r="A92" t="s">
        <v>481</v>
      </c>
      <c r="B92" s="2">
        <v>45955</v>
      </c>
      <c r="C92" t="s">
        <v>57</v>
      </c>
      <c r="D92" t="s">
        <v>345</v>
      </c>
      <c r="E92" t="s">
        <v>403</v>
      </c>
      <c r="F92">
        <v>5</v>
      </c>
      <c r="G92">
        <v>243945</v>
      </c>
    </row>
    <row r="93" spans="1:7" x14ac:dyDescent="0.35">
      <c r="A93" t="s">
        <v>482</v>
      </c>
      <c r="B93" s="2">
        <v>45715</v>
      </c>
      <c r="C93" t="s">
        <v>43</v>
      </c>
      <c r="D93" t="s">
        <v>143</v>
      </c>
      <c r="E93" t="s">
        <v>387</v>
      </c>
      <c r="F93">
        <v>3</v>
      </c>
      <c r="G93">
        <v>113475</v>
      </c>
    </row>
    <row r="94" spans="1:7" x14ac:dyDescent="0.35">
      <c r="A94" t="s">
        <v>483</v>
      </c>
      <c r="B94" s="2">
        <v>45957</v>
      </c>
      <c r="C94" t="s">
        <v>67</v>
      </c>
      <c r="D94" t="s">
        <v>195</v>
      </c>
      <c r="E94" t="s">
        <v>389</v>
      </c>
      <c r="F94">
        <v>5</v>
      </c>
      <c r="G94">
        <v>108080</v>
      </c>
    </row>
    <row r="95" spans="1:7" x14ac:dyDescent="0.35">
      <c r="A95" t="s">
        <v>484</v>
      </c>
      <c r="B95" s="2">
        <v>45911</v>
      </c>
      <c r="C95" t="s">
        <v>33</v>
      </c>
      <c r="D95" t="s">
        <v>315</v>
      </c>
      <c r="E95" t="s">
        <v>391</v>
      </c>
      <c r="F95">
        <v>7</v>
      </c>
      <c r="G95">
        <v>253771</v>
      </c>
    </row>
    <row r="96" spans="1:7" x14ac:dyDescent="0.35">
      <c r="A96" t="s">
        <v>485</v>
      </c>
      <c r="B96" s="2">
        <v>46002</v>
      </c>
      <c r="C96" t="s">
        <v>31</v>
      </c>
      <c r="D96" t="s">
        <v>81</v>
      </c>
      <c r="E96" t="s">
        <v>387</v>
      </c>
      <c r="F96">
        <v>5</v>
      </c>
      <c r="G96">
        <v>149830</v>
      </c>
    </row>
    <row r="97" spans="1:7" x14ac:dyDescent="0.35">
      <c r="A97" t="s">
        <v>486</v>
      </c>
      <c r="B97" s="2">
        <v>45926</v>
      </c>
      <c r="C97" t="s">
        <v>4</v>
      </c>
      <c r="D97" t="s">
        <v>99</v>
      </c>
      <c r="E97" t="s">
        <v>403</v>
      </c>
      <c r="F97">
        <v>9</v>
      </c>
      <c r="G97">
        <v>106335</v>
      </c>
    </row>
    <row r="98" spans="1:7" x14ac:dyDescent="0.35">
      <c r="A98" t="s">
        <v>487</v>
      </c>
      <c r="B98" s="2">
        <v>45713</v>
      </c>
      <c r="C98" t="s">
        <v>13</v>
      </c>
      <c r="D98" t="s">
        <v>131</v>
      </c>
      <c r="E98" t="s">
        <v>387</v>
      </c>
      <c r="F98">
        <v>10</v>
      </c>
      <c r="G98">
        <v>301770</v>
      </c>
    </row>
    <row r="99" spans="1:7" x14ac:dyDescent="0.35">
      <c r="A99" t="s">
        <v>488</v>
      </c>
      <c r="B99" s="2">
        <v>45856</v>
      </c>
      <c r="C99" t="s">
        <v>55</v>
      </c>
      <c r="D99" t="s">
        <v>113</v>
      </c>
      <c r="E99" t="s">
        <v>394</v>
      </c>
      <c r="F99">
        <v>4</v>
      </c>
      <c r="G99">
        <v>45660</v>
      </c>
    </row>
    <row r="100" spans="1:7" x14ac:dyDescent="0.35">
      <c r="A100" t="s">
        <v>489</v>
      </c>
      <c r="B100" s="2">
        <v>45770</v>
      </c>
      <c r="C100" t="s">
        <v>41</v>
      </c>
      <c r="D100" t="s">
        <v>195</v>
      </c>
      <c r="E100" t="s">
        <v>391</v>
      </c>
      <c r="F100">
        <v>6</v>
      </c>
      <c r="G100">
        <v>127572</v>
      </c>
    </row>
    <row r="101" spans="1:7" x14ac:dyDescent="0.35">
      <c r="A101" t="s">
        <v>490</v>
      </c>
      <c r="B101" s="2">
        <v>45691</v>
      </c>
      <c r="C101" t="s">
        <v>7</v>
      </c>
      <c r="D101" t="s">
        <v>311</v>
      </c>
      <c r="E101" t="s">
        <v>389</v>
      </c>
      <c r="F101">
        <v>3</v>
      </c>
      <c r="G101">
        <v>78399</v>
      </c>
    </row>
    <row r="102" spans="1:7" x14ac:dyDescent="0.35">
      <c r="A102" t="s">
        <v>491</v>
      </c>
      <c r="B102" s="2">
        <v>45997</v>
      </c>
      <c r="C102" t="s">
        <v>37</v>
      </c>
      <c r="D102" t="s">
        <v>371</v>
      </c>
      <c r="E102" t="s">
        <v>391</v>
      </c>
      <c r="F102">
        <v>2</v>
      </c>
      <c r="G102">
        <v>3906</v>
      </c>
    </row>
    <row r="103" spans="1:7" x14ac:dyDescent="0.35">
      <c r="A103" t="s">
        <v>492</v>
      </c>
      <c r="B103" s="2">
        <v>45943</v>
      </c>
      <c r="C103" t="s">
        <v>27</v>
      </c>
      <c r="D103" t="s">
        <v>309</v>
      </c>
      <c r="E103" t="s">
        <v>394</v>
      </c>
      <c r="F103">
        <v>7</v>
      </c>
      <c r="G103">
        <v>263788</v>
      </c>
    </row>
    <row r="104" spans="1:7" x14ac:dyDescent="0.35">
      <c r="A104" t="s">
        <v>493</v>
      </c>
      <c r="B104" s="2">
        <v>45977</v>
      </c>
      <c r="C104" t="s">
        <v>59</v>
      </c>
      <c r="D104" t="s">
        <v>181</v>
      </c>
      <c r="E104" t="s">
        <v>403</v>
      </c>
      <c r="F104">
        <v>6</v>
      </c>
      <c r="G104">
        <v>288636</v>
      </c>
    </row>
    <row r="105" spans="1:7" x14ac:dyDescent="0.35">
      <c r="A105" t="s">
        <v>494</v>
      </c>
      <c r="B105" s="2">
        <v>45828</v>
      </c>
      <c r="C105" t="s">
        <v>37</v>
      </c>
      <c r="D105" t="s">
        <v>215</v>
      </c>
      <c r="E105" t="s">
        <v>389</v>
      </c>
      <c r="F105">
        <v>4</v>
      </c>
      <c r="G105">
        <v>7812</v>
      </c>
    </row>
    <row r="106" spans="1:7" x14ac:dyDescent="0.35">
      <c r="A106" t="s">
        <v>495</v>
      </c>
      <c r="B106" s="2">
        <v>45912</v>
      </c>
      <c r="C106" t="s">
        <v>7</v>
      </c>
      <c r="D106" t="s">
        <v>173</v>
      </c>
      <c r="E106" t="s">
        <v>389</v>
      </c>
      <c r="F106">
        <v>10</v>
      </c>
      <c r="G106">
        <v>261330</v>
      </c>
    </row>
    <row r="107" spans="1:7" x14ac:dyDescent="0.35">
      <c r="A107" t="s">
        <v>496</v>
      </c>
      <c r="B107" s="2">
        <v>45877</v>
      </c>
      <c r="C107" t="s">
        <v>59</v>
      </c>
      <c r="D107" t="s">
        <v>243</v>
      </c>
      <c r="E107" t="s">
        <v>389</v>
      </c>
      <c r="F107">
        <v>2</v>
      </c>
      <c r="G107">
        <v>96212</v>
      </c>
    </row>
    <row r="108" spans="1:7" x14ac:dyDescent="0.35">
      <c r="A108" t="s">
        <v>497</v>
      </c>
      <c r="B108" s="2">
        <v>45759</v>
      </c>
      <c r="C108" t="s">
        <v>67</v>
      </c>
      <c r="D108" t="s">
        <v>347</v>
      </c>
      <c r="E108" t="s">
        <v>394</v>
      </c>
      <c r="F108">
        <v>5</v>
      </c>
      <c r="G108">
        <v>108080</v>
      </c>
    </row>
    <row r="109" spans="1:7" x14ac:dyDescent="0.35">
      <c r="A109" t="s">
        <v>498</v>
      </c>
      <c r="B109" s="2">
        <v>46010</v>
      </c>
      <c r="C109" t="s">
        <v>49</v>
      </c>
      <c r="D109" t="s">
        <v>335</v>
      </c>
      <c r="E109" t="s">
        <v>391</v>
      </c>
      <c r="F109">
        <v>7</v>
      </c>
      <c r="G109">
        <v>318598</v>
      </c>
    </row>
    <row r="110" spans="1:7" x14ac:dyDescent="0.35">
      <c r="A110" t="s">
        <v>499</v>
      </c>
      <c r="B110" s="2">
        <v>45866</v>
      </c>
      <c r="C110" t="s">
        <v>29</v>
      </c>
      <c r="D110" t="s">
        <v>84</v>
      </c>
      <c r="E110" t="s">
        <v>403</v>
      </c>
      <c r="F110">
        <v>2</v>
      </c>
      <c r="G110">
        <v>85288</v>
      </c>
    </row>
    <row r="111" spans="1:7" x14ac:dyDescent="0.35">
      <c r="A111" t="s">
        <v>500</v>
      </c>
      <c r="B111" s="2">
        <v>45785</v>
      </c>
      <c r="C111" t="s">
        <v>27</v>
      </c>
      <c r="D111" t="s">
        <v>335</v>
      </c>
      <c r="E111" t="s">
        <v>394</v>
      </c>
      <c r="F111">
        <v>7</v>
      </c>
      <c r="G111">
        <v>263788</v>
      </c>
    </row>
    <row r="112" spans="1:7" x14ac:dyDescent="0.35">
      <c r="A112" t="s">
        <v>501</v>
      </c>
      <c r="B112" s="2">
        <v>45824</v>
      </c>
      <c r="C112" t="s">
        <v>53</v>
      </c>
      <c r="D112" t="s">
        <v>143</v>
      </c>
      <c r="E112" t="s">
        <v>387</v>
      </c>
      <c r="F112">
        <v>8</v>
      </c>
      <c r="G112">
        <v>33664</v>
      </c>
    </row>
    <row r="113" spans="1:7" x14ac:dyDescent="0.35">
      <c r="A113" t="s">
        <v>502</v>
      </c>
      <c r="B113" s="2">
        <v>45899</v>
      </c>
      <c r="C113" t="s">
        <v>51</v>
      </c>
      <c r="D113" t="s">
        <v>293</v>
      </c>
      <c r="E113" t="s">
        <v>394</v>
      </c>
      <c r="F113">
        <v>3</v>
      </c>
      <c r="G113">
        <v>94317</v>
      </c>
    </row>
    <row r="114" spans="1:7" x14ac:dyDescent="0.35">
      <c r="A114" t="s">
        <v>503</v>
      </c>
      <c r="B114" s="2">
        <v>45699</v>
      </c>
      <c r="C114" t="s">
        <v>29</v>
      </c>
      <c r="D114" t="s">
        <v>143</v>
      </c>
      <c r="E114" t="s">
        <v>391</v>
      </c>
      <c r="F114">
        <v>7</v>
      </c>
      <c r="G114">
        <v>298508</v>
      </c>
    </row>
    <row r="115" spans="1:7" x14ac:dyDescent="0.35">
      <c r="A115" t="s">
        <v>504</v>
      </c>
      <c r="B115" s="2">
        <v>45860</v>
      </c>
      <c r="C115" t="s">
        <v>37</v>
      </c>
      <c r="D115" t="s">
        <v>145</v>
      </c>
      <c r="E115" t="s">
        <v>387</v>
      </c>
      <c r="F115">
        <v>2</v>
      </c>
      <c r="G115">
        <v>3906</v>
      </c>
    </row>
    <row r="116" spans="1:7" x14ac:dyDescent="0.35">
      <c r="A116" t="s">
        <v>505</v>
      </c>
      <c r="B116" s="2">
        <v>45949</v>
      </c>
      <c r="C116" t="s">
        <v>59</v>
      </c>
      <c r="D116" t="s">
        <v>211</v>
      </c>
      <c r="E116" t="s">
        <v>387</v>
      </c>
      <c r="F116">
        <v>7</v>
      </c>
      <c r="G116">
        <v>336742</v>
      </c>
    </row>
    <row r="117" spans="1:7" x14ac:dyDescent="0.35">
      <c r="A117" t="s">
        <v>506</v>
      </c>
      <c r="B117" s="2">
        <v>45789</v>
      </c>
      <c r="C117" t="s">
        <v>29</v>
      </c>
      <c r="D117" t="s">
        <v>101</v>
      </c>
      <c r="E117" t="s">
        <v>391</v>
      </c>
      <c r="F117">
        <v>9</v>
      </c>
      <c r="G117">
        <v>383796</v>
      </c>
    </row>
    <row r="118" spans="1:7" x14ac:dyDescent="0.35">
      <c r="A118" t="s">
        <v>507</v>
      </c>
      <c r="B118" s="2">
        <v>45835</v>
      </c>
      <c r="C118" t="s">
        <v>29</v>
      </c>
      <c r="D118" t="s">
        <v>153</v>
      </c>
      <c r="E118" t="s">
        <v>387</v>
      </c>
      <c r="F118">
        <v>9</v>
      </c>
      <c r="G118">
        <v>383796</v>
      </c>
    </row>
    <row r="119" spans="1:7" x14ac:dyDescent="0.35">
      <c r="A119" t="s">
        <v>508</v>
      </c>
      <c r="B119" s="2">
        <v>45879</v>
      </c>
      <c r="C119" t="s">
        <v>57</v>
      </c>
      <c r="D119" t="s">
        <v>341</v>
      </c>
      <c r="E119" t="s">
        <v>394</v>
      </c>
      <c r="F119">
        <v>1</v>
      </c>
      <c r="G119">
        <v>48789</v>
      </c>
    </row>
    <row r="120" spans="1:7" x14ac:dyDescent="0.35">
      <c r="A120" t="s">
        <v>509</v>
      </c>
      <c r="B120" s="2">
        <v>45756</v>
      </c>
      <c r="C120" t="s">
        <v>19</v>
      </c>
      <c r="D120" t="s">
        <v>84</v>
      </c>
      <c r="E120" t="s">
        <v>403</v>
      </c>
      <c r="F120">
        <v>5</v>
      </c>
      <c r="G120">
        <v>210795</v>
      </c>
    </row>
    <row r="121" spans="1:7" x14ac:dyDescent="0.35">
      <c r="A121" t="s">
        <v>510</v>
      </c>
      <c r="B121" s="2">
        <v>45702</v>
      </c>
      <c r="C121" t="s">
        <v>61</v>
      </c>
      <c r="D121" t="s">
        <v>95</v>
      </c>
      <c r="E121" t="s">
        <v>387</v>
      </c>
      <c r="F121">
        <v>3</v>
      </c>
      <c r="G121">
        <v>75048</v>
      </c>
    </row>
    <row r="122" spans="1:7" x14ac:dyDescent="0.35">
      <c r="A122" t="s">
        <v>511</v>
      </c>
      <c r="B122" s="2">
        <v>45724</v>
      </c>
      <c r="C122" t="s">
        <v>63</v>
      </c>
      <c r="D122" t="s">
        <v>193</v>
      </c>
      <c r="E122" t="s">
        <v>387</v>
      </c>
      <c r="F122">
        <v>1</v>
      </c>
      <c r="G122">
        <v>8768</v>
      </c>
    </row>
    <row r="123" spans="1:7" x14ac:dyDescent="0.35">
      <c r="A123" t="s">
        <v>512</v>
      </c>
      <c r="B123" s="2">
        <v>45973</v>
      </c>
      <c r="C123" t="s">
        <v>39</v>
      </c>
      <c r="D123" t="s">
        <v>103</v>
      </c>
      <c r="E123" t="s">
        <v>391</v>
      </c>
      <c r="F123">
        <v>2</v>
      </c>
      <c r="G123">
        <v>96576</v>
      </c>
    </row>
    <row r="124" spans="1:7" x14ac:dyDescent="0.35">
      <c r="A124" t="s">
        <v>513</v>
      </c>
      <c r="B124" s="2">
        <v>45927</v>
      </c>
      <c r="C124" t="s">
        <v>16</v>
      </c>
      <c r="D124" t="s">
        <v>101</v>
      </c>
      <c r="E124" t="s">
        <v>389</v>
      </c>
      <c r="F124">
        <v>8</v>
      </c>
      <c r="G124">
        <v>255696</v>
      </c>
    </row>
    <row r="125" spans="1:7" x14ac:dyDescent="0.35">
      <c r="A125" t="s">
        <v>514</v>
      </c>
      <c r="B125" s="2">
        <v>45962</v>
      </c>
      <c r="C125" t="s">
        <v>39</v>
      </c>
      <c r="D125" t="s">
        <v>247</v>
      </c>
      <c r="E125" t="s">
        <v>387</v>
      </c>
      <c r="F125">
        <v>5</v>
      </c>
      <c r="G125">
        <v>241440</v>
      </c>
    </row>
    <row r="126" spans="1:7" x14ac:dyDescent="0.35">
      <c r="A126" t="s">
        <v>515</v>
      </c>
      <c r="B126" s="2">
        <v>45953</v>
      </c>
      <c r="C126" t="s">
        <v>49</v>
      </c>
      <c r="D126" t="s">
        <v>367</v>
      </c>
      <c r="E126" t="s">
        <v>403</v>
      </c>
      <c r="F126">
        <v>9</v>
      </c>
      <c r="G126">
        <v>409626</v>
      </c>
    </row>
    <row r="127" spans="1:7" x14ac:dyDescent="0.35">
      <c r="A127" t="s">
        <v>516</v>
      </c>
      <c r="B127" s="2">
        <v>45699</v>
      </c>
      <c r="C127" t="s">
        <v>51</v>
      </c>
      <c r="D127" t="s">
        <v>289</v>
      </c>
      <c r="E127" t="s">
        <v>403</v>
      </c>
      <c r="F127">
        <v>3</v>
      </c>
      <c r="G127">
        <v>94317</v>
      </c>
    </row>
    <row r="128" spans="1:7" x14ac:dyDescent="0.35">
      <c r="A128" t="s">
        <v>517</v>
      </c>
      <c r="B128" s="2">
        <v>45863</v>
      </c>
      <c r="C128" t="s">
        <v>4</v>
      </c>
      <c r="D128" t="s">
        <v>361</v>
      </c>
      <c r="E128" t="s">
        <v>389</v>
      </c>
      <c r="F128">
        <v>1</v>
      </c>
      <c r="G128">
        <v>11815</v>
      </c>
    </row>
    <row r="129" spans="1:7" x14ac:dyDescent="0.35">
      <c r="A129" t="s">
        <v>518</v>
      </c>
      <c r="B129" s="2">
        <v>45984</v>
      </c>
      <c r="C129" t="s">
        <v>21</v>
      </c>
      <c r="D129" t="s">
        <v>151</v>
      </c>
      <c r="E129" t="s">
        <v>389</v>
      </c>
      <c r="F129">
        <v>4</v>
      </c>
      <c r="G129">
        <v>60836</v>
      </c>
    </row>
    <row r="130" spans="1:7" x14ac:dyDescent="0.35">
      <c r="A130" t="s">
        <v>519</v>
      </c>
      <c r="B130" s="2">
        <v>45783</v>
      </c>
      <c r="C130" t="s">
        <v>33</v>
      </c>
      <c r="D130" t="s">
        <v>275</v>
      </c>
      <c r="E130" t="s">
        <v>387</v>
      </c>
      <c r="F130">
        <v>10</v>
      </c>
      <c r="G130">
        <v>362530</v>
      </c>
    </row>
    <row r="131" spans="1:7" x14ac:dyDescent="0.35">
      <c r="A131" t="s">
        <v>520</v>
      </c>
      <c r="B131" s="2">
        <v>45844</v>
      </c>
      <c r="C131" t="s">
        <v>67</v>
      </c>
      <c r="D131" t="s">
        <v>155</v>
      </c>
      <c r="E131" t="s">
        <v>387</v>
      </c>
      <c r="F131">
        <v>6</v>
      </c>
      <c r="G131">
        <v>129696</v>
      </c>
    </row>
    <row r="132" spans="1:7" x14ac:dyDescent="0.35">
      <c r="A132" t="s">
        <v>521</v>
      </c>
      <c r="B132" s="2">
        <v>45802</v>
      </c>
      <c r="C132" t="s">
        <v>55</v>
      </c>
      <c r="D132" t="s">
        <v>185</v>
      </c>
      <c r="E132" t="s">
        <v>387</v>
      </c>
      <c r="F132">
        <v>8</v>
      </c>
      <c r="G132">
        <v>91320</v>
      </c>
    </row>
    <row r="133" spans="1:7" x14ac:dyDescent="0.35">
      <c r="A133" t="s">
        <v>522</v>
      </c>
      <c r="B133" s="2">
        <v>45958</v>
      </c>
      <c r="C133" t="s">
        <v>16</v>
      </c>
      <c r="D133" t="s">
        <v>229</v>
      </c>
      <c r="E133" t="s">
        <v>391</v>
      </c>
      <c r="F133">
        <v>5</v>
      </c>
      <c r="G133">
        <v>159810</v>
      </c>
    </row>
    <row r="134" spans="1:7" x14ac:dyDescent="0.35">
      <c r="A134" t="s">
        <v>523</v>
      </c>
      <c r="B134" s="2">
        <v>45685</v>
      </c>
      <c r="C134" t="s">
        <v>63</v>
      </c>
      <c r="D134" t="s">
        <v>339</v>
      </c>
      <c r="E134" t="s">
        <v>389</v>
      </c>
      <c r="F134">
        <v>5</v>
      </c>
      <c r="G134">
        <v>43840</v>
      </c>
    </row>
    <row r="135" spans="1:7" x14ac:dyDescent="0.35">
      <c r="A135" t="s">
        <v>524</v>
      </c>
      <c r="B135" s="2">
        <v>46015</v>
      </c>
      <c r="C135" t="s">
        <v>51</v>
      </c>
      <c r="D135" t="s">
        <v>307</v>
      </c>
      <c r="E135" t="s">
        <v>394</v>
      </c>
      <c r="F135">
        <v>4</v>
      </c>
      <c r="G135">
        <v>125756</v>
      </c>
    </row>
    <row r="136" spans="1:7" x14ac:dyDescent="0.35">
      <c r="A136" t="s">
        <v>525</v>
      </c>
      <c r="B136" s="2">
        <v>45701</v>
      </c>
      <c r="C136" t="s">
        <v>39</v>
      </c>
      <c r="D136" t="s">
        <v>203</v>
      </c>
      <c r="E136" t="s">
        <v>391</v>
      </c>
      <c r="F136">
        <v>2</v>
      </c>
      <c r="G136">
        <v>96576</v>
      </c>
    </row>
    <row r="137" spans="1:7" x14ac:dyDescent="0.35">
      <c r="A137" t="s">
        <v>526</v>
      </c>
      <c r="B137" s="2">
        <v>45907</v>
      </c>
      <c r="C137" t="s">
        <v>57</v>
      </c>
      <c r="D137" t="s">
        <v>147</v>
      </c>
      <c r="E137" t="s">
        <v>391</v>
      </c>
      <c r="F137">
        <v>5</v>
      </c>
      <c r="G137">
        <v>243945</v>
      </c>
    </row>
    <row r="138" spans="1:7" x14ac:dyDescent="0.35">
      <c r="A138" t="s">
        <v>527</v>
      </c>
      <c r="B138" s="2">
        <v>45698</v>
      </c>
      <c r="C138" t="s">
        <v>41</v>
      </c>
      <c r="D138" t="s">
        <v>115</v>
      </c>
      <c r="E138" t="s">
        <v>403</v>
      </c>
      <c r="F138">
        <v>8</v>
      </c>
      <c r="G138">
        <v>170096</v>
      </c>
    </row>
    <row r="139" spans="1:7" x14ac:dyDescent="0.35">
      <c r="A139" t="s">
        <v>528</v>
      </c>
      <c r="B139" s="2">
        <v>45906</v>
      </c>
      <c r="C139" t="s">
        <v>21</v>
      </c>
      <c r="D139" t="s">
        <v>97</v>
      </c>
      <c r="E139" t="s">
        <v>394</v>
      </c>
      <c r="F139">
        <v>3</v>
      </c>
      <c r="G139">
        <v>45627</v>
      </c>
    </row>
    <row r="140" spans="1:7" x14ac:dyDescent="0.35">
      <c r="A140" t="s">
        <v>529</v>
      </c>
      <c r="B140" s="2">
        <v>45666</v>
      </c>
      <c r="C140" t="s">
        <v>25</v>
      </c>
      <c r="D140" t="s">
        <v>135</v>
      </c>
      <c r="E140" t="s">
        <v>387</v>
      </c>
      <c r="F140">
        <v>2</v>
      </c>
      <c r="G140">
        <v>36486</v>
      </c>
    </row>
    <row r="141" spans="1:7" x14ac:dyDescent="0.35">
      <c r="A141" t="s">
        <v>530</v>
      </c>
      <c r="B141" s="2">
        <v>46022</v>
      </c>
      <c r="C141" t="s">
        <v>39</v>
      </c>
      <c r="D141" t="s">
        <v>235</v>
      </c>
      <c r="E141" t="s">
        <v>403</v>
      </c>
      <c r="F141">
        <v>3</v>
      </c>
      <c r="G141">
        <v>144864</v>
      </c>
    </row>
    <row r="142" spans="1:7" x14ac:dyDescent="0.35">
      <c r="A142" t="s">
        <v>531</v>
      </c>
      <c r="B142" s="2">
        <v>45983</v>
      </c>
      <c r="C142" t="s">
        <v>19</v>
      </c>
      <c r="D142" t="s">
        <v>235</v>
      </c>
      <c r="E142" t="s">
        <v>394</v>
      </c>
      <c r="F142">
        <v>5</v>
      </c>
      <c r="G142">
        <v>210795</v>
      </c>
    </row>
    <row r="143" spans="1:7" x14ac:dyDescent="0.35">
      <c r="A143" t="s">
        <v>532</v>
      </c>
      <c r="B143" s="2">
        <v>45780</v>
      </c>
      <c r="C143" t="s">
        <v>13</v>
      </c>
      <c r="D143" t="s">
        <v>351</v>
      </c>
      <c r="E143" t="s">
        <v>389</v>
      </c>
      <c r="F143">
        <v>3</v>
      </c>
      <c r="G143">
        <v>90531</v>
      </c>
    </row>
    <row r="144" spans="1:7" x14ac:dyDescent="0.35">
      <c r="A144" t="s">
        <v>533</v>
      </c>
      <c r="B144" s="2">
        <v>46007</v>
      </c>
      <c r="C144" t="s">
        <v>13</v>
      </c>
      <c r="D144" t="s">
        <v>207</v>
      </c>
      <c r="E144" t="s">
        <v>403</v>
      </c>
      <c r="F144">
        <v>6</v>
      </c>
      <c r="G144">
        <v>181062</v>
      </c>
    </row>
    <row r="145" spans="1:7" x14ac:dyDescent="0.35">
      <c r="A145" t="s">
        <v>534</v>
      </c>
      <c r="B145" s="2">
        <v>45733</v>
      </c>
      <c r="C145" t="s">
        <v>21</v>
      </c>
      <c r="D145" t="s">
        <v>143</v>
      </c>
      <c r="E145" t="s">
        <v>394</v>
      </c>
      <c r="F145">
        <v>6</v>
      </c>
      <c r="G145">
        <v>91254</v>
      </c>
    </row>
    <row r="146" spans="1:7" x14ac:dyDescent="0.35">
      <c r="A146" t="s">
        <v>535</v>
      </c>
      <c r="B146" s="2">
        <v>46001</v>
      </c>
      <c r="C146" t="s">
        <v>45</v>
      </c>
      <c r="D146" t="s">
        <v>191</v>
      </c>
      <c r="E146" t="s">
        <v>387</v>
      </c>
      <c r="F146">
        <v>3</v>
      </c>
      <c r="G146">
        <v>23478</v>
      </c>
    </row>
    <row r="147" spans="1:7" x14ac:dyDescent="0.35">
      <c r="A147" t="s">
        <v>536</v>
      </c>
      <c r="B147" s="2">
        <v>45935</v>
      </c>
      <c r="C147" t="s">
        <v>43</v>
      </c>
      <c r="D147" t="s">
        <v>371</v>
      </c>
      <c r="E147" t="s">
        <v>389</v>
      </c>
      <c r="F147">
        <v>4</v>
      </c>
      <c r="G147">
        <v>151300</v>
      </c>
    </row>
    <row r="148" spans="1:7" x14ac:dyDescent="0.35">
      <c r="A148" t="s">
        <v>537</v>
      </c>
      <c r="B148" s="2">
        <v>45893</v>
      </c>
      <c r="C148" t="s">
        <v>59</v>
      </c>
      <c r="D148" t="s">
        <v>313</v>
      </c>
      <c r="E148" t="s">
        <v>387</v>
      </c>
      <c r="F148">
        <v>10</v>
      </c>
      <c r="G148">
        <v>481060</v>
      </c>
    </row>
    <row r="149" spans="1:7" x14ac:dyDescent="0.35">
      <c r="A149" t="s">
        <v>538</v>
      </c>
      <c r="B149" s="2">
        <v>45855</v>
      </c>
      <c r="C149" t="s">
        <v>65</v>
      </c>
      <c r="D149" t="s">
        <v>311</v>
      </c>
      <c r="E149" t="s">
        <v>391</v>
      </c>
      <c r="F149">
        <v>5</v>
      </c>
      <c r="G149">
        <v>2725</v>
      </c>
    </row>
    <row r="150" spans="1:7" x14ac:dyDescent="0.35">
      <c r="A150" t="s">
        <v>539</v>
      </c>
      <c r="B150" s="2">
        <v>45843</v>
      </c>
      <c r="C150" t="s">
        <v>16</v>
      </c>
      <c r="D150" t="s">
        <v>201</v>
      </c>
      <c r="E150" t="s">
        <v>389</v>
      </c>
      <c r="F150">
        <v>7</v>
      </c>
      <c r="G150">
        <v>223734</v>
      </c>
    </row>
    <row r="151" spans="1:7" x14ac:dyDescent="0.35">
      <c r="A151" t="s">
        <v>540</v>
      </c>
      <c r="B151" s="2">
        <v>45661</v>
      </c>
      <c r="C151" t="s">
        <v>23</v>
      </c>
      <c r="D151" t="s">
        <v>103</v>
      </c>
      <c r="E151" t="s">
        <v>391</v>
      </c>
      <c r="F151">
        <v>5</v>
      </c>
      <c r="G151">
        <v>30345</v>
      </c>
    </row>
    <row r="152" spans="1:7" x14ac:dyDescent="0.35">
      <c r="A152" t="s">
        <v>541</v>
      </c>
      <c r="B152" s="2">
        <v>45942</v>
      </c>
      <c r="C152" t="s">
        <v>25</v>
      </c>
      <c r="D152" t="s">
        <v>211</v>
      </c>
      <c r="E152" t="s">
        <v>387</v>
      </c>
      <c r="F152">
        <v>7</v>
      </c>
      <c r="G152">
        <v>127701</v>
      </c>
    </row>
    <row r="153" spans="1:7" x14ac:dyDescent="0.35">
      <c r="A153" t="s">
        <v>542</v>
      </c>
      <c r="B153" s="2">
        <v>45731</v>
      </c>
      <c r="C153" t="s">
        <v>45</v>
      </c>
      <c r="D153" t="s">
        <v>365</v>
      </c>
      <c r="E153" t="s">
        <v>389</v>
      </c>
      <c r="F153">
        <v>4</v>
      </c>
      <c r="G153">
        <v>31304</v>
      </c>
    </row>
    <row r="154" spans="1:7" x14ac:dyDescent="0.35">
      <c r="A154" t="s">
        <v>543</v>
      </c>
      <c r="B154" s="2">
        <v>45709</v>
      </c>
      <c r="C154" t="s">
        <v>25</v>
      </c>
      <c r="D154" t="s">
        <v>235</v>
      </c>
      <c r="E154" t="s">
        <v>387</v>
      </c>
      <c r="F154">
        <v>10</v>
      </c>
      <c r="G154">
        <v>182430</v>
      </c>
    </row>
    <row r="155" spans="1:7" x14ac:dyDescent="0.35">
      <c r="A155" t="s">
        <v>544</v>
      </c>
      <c r="B155" s="2">
        <v>45903</v>
      </c>
      <c r="C155" t="s">
        <v>25</v>
      </c>
      <c r="D155" t="s">
        <v>199</v>
      </c>
      <c r="E155" t="s">
        <v>403</v>
      </c>
      <c r="F155">
        <v>1</v>
      </c>
      <c r="G155">
        <v>18243</v>
      </c>
    </row>
    <row r="156" spans="1:7" x14ac:dyDescent="0.35">
      <c r="A156" t="s">
        <v>545</v>
      </c>
      <c r="B156" s="2">
        <v>45890</v>
      </c>
      <c r="C156" t="s">
        <v>10</v>
      </c>
      <c r="D156" t="s">
        <v>327</v>
      </c>
      <c r="E156" t="s">
        <v>403</v>
      </c>
      <c r="F156">
        <v>6</v>
      </c>
      <c r="G156">
        <v>27096</v>
      </c>
    </row>
    <row r="157" spans="1:7" x14ac:dyDescent="0.35">
      <c r="A157" t="s">
        <v>546</v>
      </c>
      <c r="B157" s="2">
        <v>45919</v>
      </c>
      <c r="C157" t="s">
        <v>37</v>
      </c>
      <c r="D157" t="s">
        <v>125</v>
      </c>
      <c r="E157" t="s">
        <v>394</v>
      </c>
      <c r="F157">
        <v>1</v>
      </c>
      <c r="G157">
        <v>1953</v>
      </c>
    </row>
    <row r="158" spans="1:7" x14ac:dyDescent="0.35">
      <c r="A158" t="s">
        <v>547</v>
      </c>
      <c r="B158" s="2">
        <v>45953</v>
      </c>
      <c r="C158" t="s">
        <v>16</v>
      </c>
      <c r="D158" t="s">
        <v>255</v>
      </c>
      <c r="E158" t="s">
        <v>394</v>
      </c>
      <c r="F158">
        <v>6</v>
      </c>
      <c r="G158">
        <v>191772</v>
      </c>
    </row>
    <row r="159" spans="1:7" x14ac:dyDescent="0.35">
      <c r="A159" t="s">
        <v>548</v>
      </c>
      <c r="B159" s="2">
        <v>45784</v>
      </c>
      <c r="C159" t="s">
        <v>29</v>
      </c>
      <c r="D159" t="s">
        <v>159</v>
      </c>
      <c r="E159" t="s">
        <v>403</v>
      </c>
      <c r="F159">
        <v>4</v>
      </c>
      <c r="G159">
        <v>170576</v>
      </c>
    </row>
    <row r="160" spans="1:7" x14ac:dyDescent="0.35">
      <c r="A160" t="s">
        <v>549</v>
      </c>
      <c r="B160" s="2">
        <v>45716</v>
      </c>
      <c r="C160" t="s">
        <v>16</v>
      </c>
      <c r="D160" t="s">
        <v>169</v>
      </c>
      <c r="E160" t="s">
        <v>394</v>
      </c>
      <c r="F160">
        <v>1</v>
      </c>
      <c r="G160">
        <v>31962</v>
      </c>
    </row>
    <row r="161" spans="1:7" x14ac:dyDescent="0.35">
      <c r="A161" t="s">
        <v>550</v>
      </c>
      <c r="B161" s="2">
        <v>45671</v>
      </c>
      <c r="C161" t="s">
        <v>41</v>
      </c>
      <c r="D161" t="s">
        <v>105</v>
      </c>
      <c r="E161" t="s">
        <v>387</v>
      </c>
      <c r="F161">
        <v>3</v>
      </c>
      <c r="G161">
        <v>63786</v>
      </c>
    </row>
    <row r="162" spans="1:7" x14ac:dyDescent="0.35">
      <c r="A162" t="s">
        <v>551</v>
      </c>
      <c r="B162" s="2">
        <v>45931</v>
      </c>
      <c r="C162" t="s">
        <v>43</v>
      </c>
      <c r="D162" t="s">
        <v>341</v>
      </c>
      <c r="E162" t="s">
        <v>403</v>
      </c>
      <c r="F162">
        <v>3</v>
      </c>
      <c r="G162">
        <v>113475</v>
      </c>
    </row>
    <row r="163" spans="1:7" x14ac:dyDescent="0.35">
      <c r="A163" t="s">
        <v>552</v>
      </c>
      <c r="B163" s="2">
        <v>45911</v>
      </c>
      <c r="C163" t="s">
        <v>57</v>
      </c>
      <c r="D163" t="s">
        <v>141</v>
      </c>
      <c r="E163" t="s">
        <v>391</v>
      </c>
      <c r="F163">
        <v>1</v>
      </c>
      <c r="G163">
        <v>48789</v>
      </c>
    </row>
    <row r="164" spans="1:7" x14ac:dyDescent="0.35">
      <c r="A164" t="s">
        <v>553</v>
      </c>
      <c r="B164" s="2">
        <v>45906</v>
      </c>
      <c r="C164" t="s">
        <v>23</v>
      </c>
      <c r="D164" t="s">
        <v>377</v>
      </c>
      <c r="E164" t="s">
        <v>387</v>
      </c>
      <c r="F164">
        <v>5</v>
      </c>
      <c r="G164">
        <v>30345</v>
      </c>
    </row>
    <row r="165" spans="1:7" x14ac:dyDescent="0.35">
      <c r="A165" t="s">
        <v>554</v>
      </c>
      <c r="B165" s="2">
        <v>45880</v>
      </c>
      <c r="C165" t="s">
        <v>10</v>
      </c>
      <c r="D165" t="s">
        <v>323</v>
      </c>
      <c r="E165" t="s">
        <v>403</v>
      </c>
      <c r="F165">
        <v>3</v>
      </c>
      <c r="G165">
        <v>13548</v>
      </c>
    </row>
    <row r="166" spans="1:7" x14ac:dyDescent="0.35">
      <c r="A166" t="s">
        <v>555</v>
      </c>
      <c r="B166" s="2">
        <v>45998</v>
      </c>
      <c r="C166" t="s">
        <v>35</v>
      </c>
      <c r="D166" t="s">
        <v>351</v>
      </c>
      <c r="E166" t="s">
        <v>387</v>
      </c>
      <c r="F166">
        <v>3</v>
      </c>
      <c r="G166">
        <v>148380</v>
      </c>
    </row>
    <row r="167" spans="1:7" x14ac:dyDescent="0.35">
      <c r="A167" t="s">
        <v>556</v>
      </c>
      <c r="B167" s="2">
        <v>46008</v>
      </c>
      <c r="C167" t="s">
        <v>43</v>
      </c>
      <c r="D167" t="s">
        <v>169</v>
      </c>
      <c r="E167" t="s">
        <v>389</v>
      </c>
      <c r="F167">
        <v>3</v>
      </c>
      <c r="G167">
        <v>113475</v>
      </c>
    </row>
    <row r="168" spans="1:7" x14ac:dyDescent="0.35">
      <c r="A168" t="s">
        <v>557</v>
      </c>
      <c r="B168" s="2">
        <v>45768</v>
      </c>
      <c r="C168" t="s">
        <v>13</v>
      </c>
      <c r="D168" t="s">
        <v>319</v>
      </c>
      <c r="E168" t="s">
        <v>394</v>
      </c>
      <c r="F168">
        <v>9</v>
      </c>
      <c r="G168">
        <v>271593</v>
      </c>
    </row>
    <row r="169" spans="1:7" x14ac:dyDescent="0.35">
      <c r="A169" t="s">
        <v>558</v>
      </c>
      <c r="B169" s="2">
        <v>45972</v>
      </c>
      <c r="C169" t="s">
        <v>53</v>
      </c>
      <c r="D169" t="s">
        <v>151</v>
      </c>
      <c r="E169" t="s">
        <v>387</v>
      </c>
      <c r="F169">
        <v>9</v>
      </c>
      <c r="G169">
        <v>37872</v>
      </c>
    </row>
    <row r="170" spans="1:7" x14ac:dyDescent="0.35">
      <c r="A170" t="s">
        <v>559</v>
      </c>
      <c r="B170" s="2">
        <v>45996</v>
      </c>
      <c r="C170" t="s">
        <v>61</v>
      </c>
      <c r="D170" t="s">
        <v>281</v>
      </c>
      <c r="E170" t="s">
        <v>391</v>
      </c>
      <c r="F170">
        <v>10</v>
      </c>
      <c r="G170">
        <v>250160</v>
      </c>
    </row>
    <row r="171" spans="1:7" x14ac:dyDescent="0.35">
      <c r="A171" t="s">
        <v>560</v>
      </c>
      <c r="B171" s="2">
        <v>45870</v>
      </c>
      <c r="C171" t="s">
        <v>67</v>
      </c>
      <c r="D171" t="s">
        <v>167</v>
      </c>
      <c r="E171" t="s">
        <v>387</v>
      </c>
      <c r="F171">
        <v>6</v>
      </c>
      <c r="G171">
        <v>129696</v>
      </c>
    </row>
    <row r="172" spans="1:7" x14ac:dyDescent="0.35">
      <c r="A172" t="s">
        <v>561</v>
      </c>
      <c r="B172" s="2">
        <v>45675</v>
      </c>
      <c r="C172" t="s">
        <v>65</v>
      </c>
      <c r="D172" t="s">
        <v>367</v>
      </c>
      <c r="E172" t="s">
        <v>403</v>
      </c>
      <c r="F172">
        <v>4</v>
      </c>
      <c r="G172">
        <v>2180</v>
      </c>
    </row>
    <row r="173" spans="1:7" x14ac:dyDescent="0.35">
      <c r="A173" t="s">
        <v>562</v>
      </c>
      <c r="B173" s="2">
        <v>45969</v>
      </c>
      <c r="C173" t="s">
        <v>49</v>
      </c>
      <c r="D173" t="s">
        <v>235</v>
      </c>
      <c r="E173" t="s">
        <v>403</v>
      </c>
      <c r="F173">
        <v>8</v>
      </c>
      <c r="G173">
        <v>364112</v>
      </c>
    </row>
    <row r="174" spans="1:7" x14ac:dyDescent="0.35">
      <c r="A174" t="s">
        <v>563</v>
      </c>
      <c r="B174" s="2">
        <v>45697</v>
      </c>
      <c r="C174" t="s">
        <v>61</v>
      </c>
      <c r="D174" t="s">
        <v>88</v>
      </c>
      <c r="E174" t="s">
        <v>403</v>
      </c>
      <c r="F174">
        <v>3</v>
      </c>
      <c r="G174">
        <v>75048</v>
      </c>
    </row>
    <row r="175" spans="1:7" x14ac:dyDescent="0.35">
      <c r="A175" t="s">
        <v>564</v>
      </c>
      <c r="B175" s="2">
        <v>45693</v>
      </c>
      <c r="C175" t="s">
        <v>27</v>
      </c>
      <c r="D175" t="s">
        <v>347</v>
      </c>
      <c r="E175" t="s">
        <v>403</v>
      </c>
      <c r="F175">
        <v>10</v>
      </c>
      <c r="G175">
        <v>376840</v>
      </c>
    </row>
    <row r="176" spans="1:7" x14ac:dyDescent="0.35">
      <c r="A176" t="s">
        <v>565</v>
      </c>
      <c r="B176" s="2">
        <v>45913</v>
      </c>
      <c r="C176" t="s">
        <v>10</v>
      </c>
      <c r="D176" t="s">
        <v>243</v>
      </c>
      <c r="E176" t="s">
        <v>387</v>
      </c>
      <c r="F176">
        <v>8</v>
      </c>
      <c r="G176">
        <v>36128</v>
      </c>
    </row>
    <row r="177" spans="1:7" x14ac:dyDescent="0.35">
      <c r="A177" t="s">
        <v>566</v>
      </c>
      <c r="B177" s="2">
        <v>45813</v>
      </c>
      <c r="C177" t="s">
        <v>16</v>
      </c>
      <c r="D177" t="s">
        <v>247</v>
      </c>
      <c r="E177" t="s">
        <v>389</v>
      </c>
      <c r="F177">
        <v>5</v>
      </c>
      <c r="G177">
        <v>159810</v>
      </c>
    </row>
    <row r="178" spans="1:7" x14ac:dyDescent="0.35">
      <c r="A178" t="s">
        <v>567</v>
      </c>
      <c r="B178" s="2">
        <v>45842</v>
      </c>
      <c r="C178" t="s">
        <v>13</v>
      </c>
      <c r="D178" t="s">
        <v>225</v>
      </c>
      <c r="E178" t="s">
        <v>391</v>
      </c>
      <c r="F178">
        <v>3</v>
      </c>
      <c r="G178">
        <v>90531</v>
      </c>
    </row>
    <row r="179" spans="1:7" x14ac:dyDescent="0.35">
      <c r="A179" t="s">
        <v>568</v>
      </c>
      <c r="B179" s="2">
        <v>45885</v>
      </c>
      <c r="C179" t="s">
        <v>51</v>
      </c>
      <c r="D179" t="s">
        <v>247</v>
      </c>
      <c r="E179" t="s">
        <v>403</v>
      </c>
      <c r="F179">
        <v>5</v>
      </c>
      <c r="G179">
        <v>157195</v>
      </c>
    </row>
    <row r="180" spans="1:7" x14ac:dyDescent="0.35">
      <c r="A180" t="s">
        <v>569</v>
      </c>
      <c r="B180" s="2">
        <v>45985</v>
      </c>
      <c r="C180" t="s">
        <v>29</v>
      </c>
      <c r="D180" t="s">
        <v>105</v>
      </c>
      <c r="E180" t="s">
        <v>387</v>
      </c>
      <c r="F180">
        <v>2</v>
      </c>
      <c r="G180">
        <v>85288</v>
      </c>
    </row>
    <row r="181" spans="1:7" x14ac:dyDescent="0.35">
      <c r="A181" t="s">
        <v>570</v>
      </c>
      <c r="B181" s="2">
        <v>45661</v>
      </c>
      <c r="C181" t="s">
        <v>47</v>
      </c>
      <c r="D181" t="s">
        <v>179</v>
      </c>
      <c r="E181" t="s">
        <v>403</v>
      </c>
      <c r="F181">
        <v>3</v>
      </c>
      <c r="G181">
        <v>66186</v>
      </c>
    </row>
    <row r="182" spans="1:7" x14ac:dyDescent="0.35">
      <c r="A182" t="s">
        <v>571</v>
      </c>
      <c r="B182" s="2">
        <v>45857</v>
      </c>
      <c r="C182" t="s">
        <v>51</v>
      </c>
      <c r="D182" t="s">
        <v>303</v>
      </c>
      <c r="E182" t="s">
        <v>387</v>
      </c>
      <c r="F182">
        <v>2</v>
      </c>
      <c r="G182">
        <v>62878</v>
      </c>
    </row>
    <row r="183" spans="1:7" x14ac:dyDescent="0.35">
      <c r="A183" t="s">
        <v>572</v>
      </c>
      <c r="B183" s="2">
        <v>45677</v>
      </c>
      <c r="C183" t="s">
        <v>55</v>
      </c>
      <c r="D183" t="s">
        <v>135</v>
      </c>
      <c r="E183" t="s">
        <v>391</v>
      </c>
      <c r="F183">
        <v>3</v>
      </c>
      <c r="G183">
        <v>34245</v>
      </c>
    </row>
    <row r="184" spans="1:7" x14ac:dyDescent="0.35">
      <c r="A184" t="s">
        <v>573</v>
      </c>
      <c r="B184" s="2">
        <v>45728</v>
      </c>
      <c r="C184" t="s">
        <v>10</v>
      </c>
      <c r="D184" t="s">
        <v>227</v>
      </c>
      <c r="E184" t="s">
        <v>391</v>
      </c>
      <c r="F184">
        <v>8</v>
      </c>
      <c r="G184">
        <v>36128</v>
      </c>
    </row>
    <row r="185" spans="1:7" x14ac:dyDescent="0.35">
      <c r="A185" t="s">
        <v>574</v>
      </c>
      <c r="B185" s="2">
        <v>45927</v>
      </c>
      <c r="C185" t="s">
        <v>51</v>
      </c>
      <c r="D185" t="s">
        <v>235</v>
      </c>
      <c r="E185" t="s">
        <v>403</v>
      </c>
      <c r="F185">
        <v>9</v>
      </c>
      <c r="G185">
        <v>282951</v>
      </c>
    </row>
    <row r="186" spans="1:7" x14ac:dyDescent="0.35">
      <c r="A186" t="s">
        <v>575</v>
      </c>
      <c r="B186" s="2">
        <v>45939</v>
      </c>
      <c r="C186" t="s">
        <v>7</v>
      </c>
      <c r="D186" t="s">
        <v>287</v>
      </c>
      <c r="E186" t="s">
        <v>394</v>
      </c>
      <c r="F186">
        <v>3</v>
      </c>
      <c r="G186">
        <v>78399</v>
      </c>
    </row>
    <row r="187" spans="1:7" x14ac:dyDescent="0.35">
      <c r="A187" t="s">
        <v>576</v>
      </c>
      <c r="B187" s="2">
        <v>45954</v>
      </c>
      <c r="C187" t="s">
        <v>47</v>
      </c>
      <c r="D187" t="s">
        <v>293</v>
      </c>
      <c r="E187" t="s">
        <v>403</v>
      </c>
      <c r="F187">
        <v>3</v>
      </c>
      <c r="G187">
        <v>66186</v>
      </c>
    </row>
    <row r="188" spans="1:7" x14ac:dyDescent="0.35">
      <c r="A188" t="s">
        <v>577</v>
      </c>
      <c r="B188" s="2">
        <v>45758</v>
      </c>
      <c r="C188" t="s">
        <v>23</v>
      </c>
      <c r="D188" t="s">
        <v>327</v>
      </c>
      <c r="E188" t="s">
        <v>391</v>
      </c>
      <c r="F188">
        <v>9</v>
      </c>
      <c r="G188">
        <v>54621</v>
      </c>
    </row>
    <row r="189" spans="1:7" x14ac:dyDescent="0.35">
      <c r="A189" t="s">
        <v>578</v>
      </c>
      <c r="B189" s="2">
        <v>45977</v>
      </c>
      <c r="C189" t="s">
        <v>63</v>
      </c>
      <c r="D189" t="s">
        <v>167</v>
      </c>
      <c r="E189" t="s">
        <v>387</v>
      </c>
      <c r="F189">
        <v>10</v>
      </c>
      <c r="G189">
        <v>87680</v>
      </c>
    </row>
    <row r="190" spans="1:7" x14ac:dyDescent="0.35">
      <c r="A190" t="s">
        <v>579</v>
      </c>
      <c r="B190" s="2">
        <v>45740</v>
      </c>
      <c r="C190" t="s">
        <v>55</v>
      </c>
      <c r="D190" t="s">
        <v>247</v>
      </c>
      <c r="E190" t="s">
        <v>391</v>
      </c>
      <c r="F190">
        <v>4</v>
      </c>
      <c r="G190">
        <v>45660</v>
      </c>
    </row>
    <row r="191" spans="1:7" x14ac:dyDescent="0.35">
      <c r="A191" t="s">
        <v>580</v>
      </c>
      <c r="B191" s="2">
        <v>45921</v>
      </c>
      <c r="C191" t="s">
        <v>19</v>
      </c>
      <c r="D191" t="s">
        <v>195</v>
      </c>
      <c r="E191" t="s">
        <v>394</v>
      </c>
      <c r="F191">
        <v>10</v>
      </c>
      <c r="G191">
        <v>421590</v>
      </c>
    </row>
    <row r="192" spans="1:7" x14ac:dyDescent="0.35">
      <c r="A192" t="s">
        <v>581</v>
      </c>
      <c r="B192" s="2">
        <v>46001</v>
      </c>
      <c r="C192" t="s">
        <v>33</v>
      </c>
      <c r="D192" t="s">
        <v>371</v>
      </c>
      <c r="E192" t="s">
        <v>403</v>
      </c>
      <c r="F192">
        <v>3</v>
      </c>
      <c r="G192">
        <v>108759</v>
      </c>
    </row>
    <row r="193" spans="1:7" x14ac:dyDescent="0.35">
      <c r="A193" t="s">
        <v>582</v>
      </c>
      <c r="B193" s="2">
        <v>45930</v>
      </c>
      <c r="C193" t="s">
        <v>21</v>
      </c>
      <c r="D193" t="s">
        <v>315</v>
      </c>
      <c r="E193" t="s">
        <v>403</v>
      </c>
      <c r="F193">
        <v>2</v>
      </c>
      <c r="G193">
        <v>30418</v>
      </c>
    </row>
    <row r="194" spans="1:7" x14ac:dyDescent="0.35">
      <c r="A194" t="s">
        <v>583</v>
      </c>
      <c r="B194" s="2">
        <v>45819</v>
      </c>
      <c r="C194" t="s">
        <v>19</v>
      </c>
      <c r="D194" t="s">
        <v>255</v>
      </c>
      <c r="E194" t="s">
        <v>389</v>
      </c>
      <c r="F194">
        <v>2</v>
      </c>
      <c r="G194">
        <v>84318</v>
      </c>
    </row>
    <row r="195" spans="1:7" x14ac:dyDescent="0.35">
      <c r="A195" t="s">
        <v>584</v>
      </c>
      <c r="B195" s="2">
        <v>45660</v>
      </c>
      <c r="C195" t="s">
        <v>41</v>
      </c>
      <c r="D195" t="s">
        <v>311</v>
      </c>
      <c r="E195" t="s">
        <v>403</v>
      </c>
      <c r="F195">
        <v>10</v>
      </c>
      <c r="G195">
        <v>212620</v>
      </c>
    </row>
    <row r="196" spans="1:7" x14ac:dyDescent="0.35">
      <c r="A196" t="s">
        <v>585</v>
      </c>
      <c r="B196" s="2">
        <v>45786</v>
      </c>
      <c r="C196" t="s">
        <v>33</v>
      </c>
      <c r="D196" t="s">
        <v>179</v>
      </c>
      <c r="E196" t="s">
        <v>389</v>
      </c>
      <c r="F196">
        <v>7</v>
      </c>
      <c r="G196">
        <v>253771</v>
      </c>
    </row>
    <row r="197" spans="1:7" x14ac:dyDescent="0.35">
      <c r="A197" t="s">
        <v>586</v>
      </c>
      <c r="B197" s="2">
        <v>45908</v>
      </c>
      <c r="C197" t="s">
        <v>41</v>
      </c>
      <c r="D197" t="s">
        <v>173</v>
      </c>
      <c r="E197" t="s">
        <v>394</v>
      </c>
      <c r="F197">
        <v>10</v>
      </c>
      <c r="G197">
        <v>212620</v>
      </c>
    </row>
    <row r="198" spans="1:7" x14ac:dyDescent="0.35">
      <c r="A198" t="s">
        <v>587</v>
      </c>
      <c r="B198" s="2">
        <v>45702</v>
      </c>
      <c r="C198" t="s">
        <v>47</v>
      </c>
      <c r="D198" t="s">
        <v>215</v>
      </c>
      <c r="E198" t="s">
        <v>394</v>
      </c>
      <c r="F198">
        <v>9</v>
      </c>
      <c r="G198">
        <v>198558</v>
      </c>
    </row>
    <row r="199" spans="1:7" x14ac:dyDescent="0.35">
      <c r="A199" t="s">
        <v>588</v>
      </c>
      <c r="B199" s="2">
        <v>45690</v>
      </c>
      <c r="C199" t="s">
        <v>67</v>
      </c>
      <c r="D199" t="s">
        <v>355</v>
      </c>
      <c r="E199" t="s">
        <v>403</v>
      </c>
      <c r="F199">
        <v>3</v>
      </c>
      <c r="G199">
        <v>64848</v>
      </c>
    </row>
    <row r="200" spans="1:7" x14ac:dyDescent="0.35">
      <c r="A200" t="s">
        <v>589</v>
      </c>
      <c r="B200" s="2">
        <v>45834</v>
      </c>
      <c r="C200" t="s">
        <v>53</v>
      </c>
      <c r="D200" t="s">
        <v>351</v>
      </c>
      <c r="E200" t="s">
        <v>403</v>
      </c>
      <c r="F200">
        <v>9</v>
      </c>
      <c r="G200">
        <v>37872</v>
      </c>
    </row>
    <row r="201" spans="1:7" x14ac:dyDescent="0.35">
      <c r="A201" t="s">
        <v>590</v>
      </c>
      <c r="B201" s="2">
        <v>45783</v>
      </c>
      <c r="C201" t="s">
        <v>21</v>
      </c>
      <c r="D201" t="s">
        <v>137</v>
      </c>
      <c r="E201" t="s">
        <v>403</v>
      </c>
      <c r="F201">
        <v>3</v>
      </c>
      <c r="G201">
        <v>45627</v>
      </c>
    </row>
    <row r="202" spans="1:7" x14ac:dyDescent="0.35">
      <c r="A202" t="s">
        <v>591</v>
      </c>
      <c r="B202" s="2">
        <v>45762</v>
      </c>
      <c r="C202" t="s">
        <v>57</v>
      </c>
      <c r="D202" t="s">
        <v>353</v>
      </c>
      <c r="E202" t="s">
        <v>389</v>
      </c>
      <c r="F202">
        <v>9</v>
      </c>
      <c r="G202">
        <v>439101</v>
      </c>
    </row>
    <row r="203" spans="1:7" x14ac:dyDescent="0.35">
      <c r="A203" t="s">
        <v>592</v>
      </c>
      <c r="B203" s="2">
        <v>45956</v>
      </c>
      <c r="C203" t="s">
        <v>35</v>
      </c>
      <c r="D203" t="s">
        <v>271</v>
      </c>
      <c r="E203" t="s">
        <v>394</v>
      </c>
      <c r="F203">
        <v>10</v>
      </c>
      <c r="G203">
        <v>494600</v>
      </c>
    </row>
    <row r="204" spans="1:7" x14ac:dyDescent="0.35">
      <c r="A204" t="s">
        <v>593</v>
      </c>
      <c r="B204" s="2">
        <v>45931</v>
      </c>
      <c r="C204" t="s">
        <v>41</v>
      </c>
      <c r="D204" t="s">
        <v>135</v>
      </c>
      <c r="E204" t="s">
        <v>387</v>
      </c>
      <c r="F204">
        <v>7</v>
      </c>
      <c r="G204">
        <v>148834</v>
      </c>
    </row>
    <row r="205" spans="1:7" x14ac:dyDescent="0.35">
      <c r="A205" t="s">
        <v>594</v>
      </c>
      <c r="B205" s="2">
        <v>45721</v>
      </c>
      <c r="C205" t="s">
        <v>27</v>
      </c>
      <c r="D205" t="s">
        <v>101</v>
      </c>
      <c r="E205" t="s">
        <v>389</v>
      </c>
      <c r="F205">
        <v>2</v>
      </c>
      <c r="G205">
        <v>75368</v>
      </c>
    </row>
    <row r="206" spans="1:7" x14ac:dyDescent="0.35">
      <c r="A206" t="s">
        <v>595</v>
      </c>
      <c r="B206" s="2">
        <v>45823</v>
      </c>
      <c r="C206" t="s">
        <v>33</v>
      </c>
      <c r="D206" t="s">
        <v>165</v>
      </c>
      <c r="E206" t="s">
        <v>387</v>
      </c>
      <c r="F206">
        <v>2</v>
      </c>
      <c r="G206">
        <v>72506</v>
      </c>
    </row>
    <row r="207" spans="1:7" x14ac:dyDescent="0.35">
      <c r="A207" t="s">
        <v>596</v>
      </c>
      <c r="B207" s="2">
        <v>45903</v>
      </c>
      <c r="C207" t="s">
        <v>35</v>
      </c>
      <c r="D207" t="s">
        <v>265</v>
      </c>
      <c r="E207" t="s">
        <v>403</v>
      </c>
      <c r="F207">
        <v>3</v>
      </c>
      <c r="G207">
        <v>148380</v>
      </c>
    </row>
    <row r="208" spans="1:7" x14ac:dyDescent="0.35">
      <c r="A208" t="s">
        <v>597</v>
      </c>
      <c r="B208" s="2">
        <v>45979</v>
      </c>
      <c r="C208" t="s">
        <v>65</v>
      </c>
      <c r="D208" t="s">
        <v>351</v>
      </c>
      <c r="E208" t="s">
        <v>387</v>
      </c>
      <c r="F208">
        <v>9</v>
      </c>
      <c r="G208">
        <v>4905</v>
      </c>
    </row>
    <row r="209" spans="1:7" x14ac:dyDescent="0.35">
      <c r="A209" t="s">
        <v>598</v>
      </c>
      <c r="B209" s="2">
        <v>45916</v>
      </c>
      <c r="C209" t="s">
        <v>7</v>
      </c>
      <c r="D209" t="s">
        <v>333</v>
      </c>
      <c r="E209" t="s">
        <v>389</v>
      </c>
      <c r="F209">
        <v>9</v>
      </c>
      <c r="G209">
        <v>235197</v>
      </c>
    </row>
    <row r="210" spans="1:7" x14ac:dyDescent="0.35">
      <c r="A210" t="s">
        <v>599</v>
      </c>
      <c r="B210" s="2">
        <v>45821</v>
      </c>
      <c r="C210" t="s">
        <v>31</v>
      </c>
      <c r="D210" t="s">
        <v>297</v>
      </c>
      <c r="E210" t="s">
        <v>391</v>
      </c>
      <c r="F210">
        <v>7</v>
      </c>
      <c r="G210">
        <v>209762</v>
      </c>
    </row>
    <row r="211" spans="1:7" x14ac:dyDescent="0.35">
      <c r="A211" t="s">
        <v>600</v>
      </c>
      <c r="B211" s="2">
        <v>45951</v>
      </c>
      <c r="C211" t="s">
        <v>53</v>
      </c>
      <c r="D211" t="s">
        <v>293</v>
      </c>
      <c r="E211" t="s">
        <v>387</v>
      </c>
      <c r="F211">
        <v>7</v>
      </c>
      <c r="G211">
        <v>29456</v>
      </c>
    </row>
    <row r="212" spans="1:7" x14ac:dyDescent="0.35">
      <c r="A212" t="s">
        <v>601</v>
      </c>
      <c r="B212" s="2">
        <v>45887</v>
      </c>
      <c r="C212" t="s">
        <v>16</v>
      </c>
      <c r="D212" t="s">
        <v>259</v>
      </c>
      <c r="E212" t="s">
        <v>391</v>
      </c>
      <c r="F212">
        <v>7</v>
      </c>
      <c r="G212">
        <v>223734</v>
      </c>
    </row>
    <row r="213" spans="1:7" x14ac:dyDescent="0.35">
      <c r="A213" t="s">
        <v>602</v>
      </c>
      <c r="B213" s="2">
        <v>45885</v>
      </c>
      <c r="C213" t="s">
        <v>27</v>
      </c>
      <c r="D213" t="s">
        <v>273</v>
      </c>
      <c r="E213" t="s">
        <v>387</v>
      </c>
      <c r="F213">
        <v>9</v>
      </c>
      <c r="G213">
        <v>339156</v>
      </c>
    </row>
    <row r="214" spans="1:7" x14ac:dyDescent="0.35">
      <c r="A214" t="s">
        <v>603</v>
      </c>
      <c r="B214" s="2">
        <v>45995</v>
      </c>
      <c r="C214" t="s">
        <v>33</v>
      </c>
      <c r="D214" t="s">
        <v>121</v>
      </c>
      <c r="E214" t="s">
        <v>391</v>
      </c>
      <c r="F214">
        <v>3</v>
      </c>
      <c r="G214">
        <v>108759</v>
      </c>
    </row>
    <row r="215" spans="1:7" x14ac:dyDescent="0.35">
      <c r="A215" t="s">
        <v>604</v>
      </c>
      <c r="B215" s="2">
        <v>45713</v>
      </c>
      <c r="C215" t="s">
        <v>4</v>
      </c>
      <c r="D215" t="s">
        <v>275</v>
      </c>
      <c r="E215" t="s">
        <v>403</v>
      </c>
      <c r="F215">
        <v>2</v>
      </c>
      <c r="G215">
        <v>23630</v>
      </c>
    </row>
    <row r="216" spans="1:7" x14ac:dyDescent="0.35">
      <c r="A216" t="s">
        <v>605</v>
      </c>
      <c r="B216" s="2">
        <v>45668</v>
      </c>
      <c r="C216" t="s">
        <v>67</v>
      </c>
      <c r="D216" t="s">
        <v>145</v>
      </c>
      <c r="E216" t="s">
        <v>394</v>
      </c>
      <c r="F216">
        <v>9</v>
      </c>
      <c r="G216">
        <v>194544</v>
      </c>
    </row>
    <row r="217" spans="1:7" x14ac:dyDescent="0.35">
      <c r="A217" t="s">
        <v>606</v>
      </c>
      <c r="B217" s="2">
        <v>45836</v>
      </c>
      <c r="C217" t="s">
        <v>37</v>
      </c>
      <c r="D217" t="s">
        <v>99</v>
      </c>
      <c r="E217" t="s">
        <v>391</v>
      </c>
      <c r="F217">
        <v>6</v>
      </c>
      <c r="G217">
        <v>11718</v>
      </c>
    </row>
    <row r="218" spans="1:7" x14ac:dyDescent="0.35">
      <c r="A218" t="s">
        <v>607</v>
      </c>
      <c r="B218" s="2">
        <v>45767</v>
      </c>
      <c r="C218" t="s">
        <v>41</v>
      </c>
      <c r="D218" t="s">
        <v>139</v>
      </c>
      <c r="E218" t="s">
        <v>389</v>
      </c>
      <c r="F218">
        <v>8</v>
      </c>
      <c r="G218">
        <v>170096</v>
      </c>
    </row>
    <row r="219" spans="1:7" x14ac:dyDescent="0.35">
      <c r="A219" t="s">
        <v>608</v>
      </c>
      <c r="B219" s="2">
        <v>45927</v>
      </c>
      <c r="C219" t="s">
        <v>25</v>
      </c>
      <c r="D219" t="s">
        <v>145</v>
      </c>
      <c r="E219" t="s">
        <v>389</v>
      </c>
      <c r="F219">
        <v>7</v>
      </c>
      <c r="G219">
        <v>127701</v>
      </c>
    </row>
    <row r="220" spans="1:7" x14ac:dyDescent="0.35">
      <c r="A220" t="s">
        <v>609</v>
      </c>
      <c r="B220" s="2">
        <v>45811</v>
      </c>
      <c r="C220" t="s">
        <v>16</v>
      </c>
      <c r="D220" t="s">
        <v>257</v>
      </c>
      <c r="E220" t="s">
        <v>391</v>
      </c>
      <c r="F220">
        <v>10</v>
      </c>
      <c r="G220">
        <v>319620</v>
      </c>
    </row>
    <row r="221" spans="1:7" x14ac:dyDescent="0.35">
      <c r="A221" t="s">
        <v>610</v>
      </c>
      <c r="B221" s="2">
        <v>45843</v>
      </c>
      <c r="C221" t="s">
        <v>7</v>
      </c>
      <c r="D221" t="s">
        <v>275</v>
      </c>
      <c r="E221" t="s">
        <v>389</v>
      </c>
      <c r="F221">
        <v>7</v>
      </c>
      <c r="G221">
        <v>182931</v>
      </c>
    </row>
    <row r="222" spans="1:7" x14ac:dyDescent="0.35">
      <c r="A222" t="s">
        <v>611</v>
      </c>
      <c r="B222" s="2">
        <v>45796</v>
      </c>
      <c r="C222" t="s">
        <v>16</v>
      </c>
      <c r="D222" t="s">
        <v>373</v>
      </c>
      <c r="E222" t="s">
        <v>394</v>
      </c>
      <c r="F222">
        <v>6</v>
      </c>
      <c r="G222">
        <v>191772</v>
      </c>
    </row>
    <row r="223" spans="1:7" x14ac:dyDescent="0.35">
      <c r="A223" t="s">
        <v>612</v>
      </c>
      <c r="B223" s="2">
        <v>45699</v>
      </c>
      <c r="C223" t="s">
        <v>45</v>
      </c>
      <c r="D223" t="s">
        <v>233</v>
      </c>
      <c r="E223" t="s">
        <v>403</v>
      </c>
      <c r="F223">
        <v>7</v>
      </c>
      <c r="G223">
        <v>54782</v>
      </c>
    </row>
    <row r="224" spans="1:7" x14ac:dyDescent="0.35">
      <c r="A224" t="s">
        <v>613</v>
      </c>
      <c r="B224" s="2">
        <v>45787</v>
      </c>
      <c r="C224" t="s">
        <v>39</v>
      </c>
      <c r="D224" t="s">
        <v>245</v>
      </c>
      <c r="E224" t="s">
        <v>391</v>
      </c>
      <c r="F224">
        <v>10</v>
      </c>
      <c r="G224">
        <v>482880</v>
      </c>
    </row>
    <row r="225" spans="1:7" x14ac:dyDescent="0.35">
      <c r="A225" t="s">
        <v>614</v>
      </c>
      <c r="B225" s="2">
        <v>45945</v>
      </c>
      <c r="C225" t="s">
        <v>57</v>
      </c>
      <c r="D225" t="s">
        <v>111</v>
      </c>
      <c r="E225" t="s">
        <v>403</v>
      </c>
      <c r="F225">
        <v>2</v>
      </c>
      <c r="G225">
        <v>97578</v>
      </c>
    </row>
    <row r="226" spans="1:7" x14ac:dyDescent="0.35">
      <c r="A226" t="s">
        <v>615</v>
      </c>
      <c r="B226" s="2">
        <v>45688</v>
      </c>
      <c r="C226" t="s">
        <v>33</v>
      </c>
      <c r="D226" t="s">
        <v>111</v>
      </c>
      <c r="E226" t="s">
        <v>394</v>
      </c>
      <c r="F226">
        <v>6</v>
      </c>
      <c r="G226">
        <v>217518</v>
      </c>
    </row>
    <row r="227" spans="1:7" x14ac:dyDescent="0.35">
      <c r="A227" t="s">
        <v>616</v>
      </c>
      <c r="B227" s="2">
        <v>45824</v>
      </c>
      <c r="C227" t="s">
        <v>29</v>
      </c>
      <c r="D227" t="s">
        <v>379</v>
      </c>
      <c r="E227" t="s">
        <v>391</v>
      </c>
      <c r="F227">
        <v>3</v>
      </c>
      <c r="G227">
        <v>127932</v>
      </c>
    </row>
    <row r="228" spans="1:7" x14ac:dyDescent="0.35">
      <c r="A228" t="s">
        <v>617</v>
      </c>
      <c r="B228" s="2">
        <v>45693</v>
      </c>
      <c r="C228" t="s">
        <v>29</v>
      </c>
      <c r="D228" t="s">
        <v>91</v>
      </c>
      <c r="E228" t="s">
        <v>387</v>
      </c>
      <c r="F228">
        <v>7</v>
      </c>
      <c r="G228">
        <v>298508</v>
      </c>
    </row>
    <row r="229" spans="1:7" x14ac:dyDescent="0.35">
      <c r="A229" t="s">
        <v>618</v>
      </c>
      <c r="B229" s="2">
        <v>45887</v>
      </c>
      <c r="C229" t="s">
        <v>61</v>
      </c>
      <c r="D229" t="s">
        <v>157</v>
      </c>
      <c r="E229" t="s">
        <v>389</v>
      </c>
      <c r="F229">
        <v>3</v>
      </c>
      <c r="G229">
        <v>75048</v>
      </c>
    </row>
    <row r="230" spans="1:7" x14ac:dyDescent="0.35">
      <c r="A230" t="s">
        <v>619</v>
      </c>
      <c r="B230" s="2">
        <v>45839</v>
      </c>
      <c r="C230" t="s">
        <v>57</v>
      </c>
      <c r="D230" t="s">
        <v>243</v>
      </c>
      <c r="E230" t="s">
        <v>391</v>
      </c>
      <c r="F230">
        <v>4</v>
      </c>
      <c r="G230">
        <v>195156</v>
      </c>
    </row>
    <row r="231" spans="1:7" x14ac:dyDescent="0.35">
      <c r="A231" t="s">
        <v>620</v>
      </c>
      <c r="B231" s="2">
        <v>45963</v>
      </c>
      <c r="C231" t="s">
        <v>67</v>
      </c>
      <c r="D231" t="s">
        <v>201</v>
      </c>
      <c r="E231" t="s">
        <v>403</v>
      </c>
      <c r="F231">
        <v>7</v>
      </c>
      <c r="G231">
        <v>151312</v>
      </c>
    </row>
    <row r="232" spans="1:7" x14ac:dyDescent="0.35">
      <c r="A232" t="s">
        <v>621</v>
      </c>
      <c r="B232" s="2">
        <v>45707</v>
      </c>
      <c r="C232" t="s">
        <v>37</v>
      </c>
      <c r="D232" t="s">
        <v>201</v>
      </c>
      <c r="E232" t="s">
        <v>394</v>
      </c>
      <c r="F232">
        <v>3</v>
      </c>
      <c r="G232">
        <v>5859</v>
      </c>
    </row>
    <row r="233" spans="1:7" x14ac:dyDescent="0.35">
      <c r="A233" t="s">
        <v>622</v>
      </c>
      <c r="B233" s="2">
        <v>46012</v>
      </c>
      <c r="C233" t="s">
        <v>63</v>
      </c>
      <c r="D233" t="s">
        <v>213</v>
      </c>
      <c r="E233" t="s">
        <v>403</v>
      </c>
      <c r="F233">
        <v>2</v>
      </c>
      <c r="G233">
        <v>17536</v>
      </c>
    </row>
    <row r="234" spans="1:7" x14ac:dyDescent="0.35">
      <c r="A234" t="s">
        <v>623</v>
      </c>
      <c r="B234" s="2">
        <v>45899</v>
      </c>
      <c r="C234" t="s">
        <v>23</v>
      </c>
      <c r="D234" t="s">
        <v>125</v>
      </c>
      <c r="E234" t="s">
        <v>403</v>
      </c>
      <c r="F234">
        <v>9</v>
      </c>
      <c r="G234">
        <v>54621</v>
      </c>
    </row>
    <row r="235" spans="1:7" x14ac:dyDescent="0.35">
      <c r="A235" t="s">
        <v>624</v>
      </c>
      <c r="B235" s="2">
        <v>46013</v>
      </c>
      <c r="C235" t="s">
        <v>55</v>
      </c>
      <c r="D235" t="s">
        <v>243</v>
      </c>
      <c r="E235" t="s">
        <v>403</v>
      </c>
      <c r="F235">
        <v>5</v>
      </c>
      <c r="G235">
        <v>57075</v>
      </c>
    </row>
    <row r="236" spans="1:7" x14ac:dyDescent="0.35">
      <c r="A236" t="s">
        <v>625</v>
      </c>
      <c r="B236" s="2">
        <v>45960</v>
      </c>
      <c r="C236" t="s">
        <v>23</v>
      </c>
      <c r="D236" t="s">
        <v>281</v>
      </c>
      <c r="E236" t="s">
        <v>403</v>
      </c>
      <c r="F236">
        <v>3</v>
      </c>
      <c r="G236">
        <v>18207</v>
      </c>
    </row>
    <row r="237" spans="1:7" x14ac:dyDescent="0.35">
      <c r="A237" t="s">
        <v>626</v>
      </c>
      <c r="B237" s="2">
        <v>45969</v>
      </c>
      <c r="C237" t="s">
        <v>43</v>
      </c>
      <c r="D237" t="s">
        <v>225</v>
      </c>
      <c r="E237" t="s">
        <v>394</v>
      </c>
      <c r="F237">
        <v>1</v>
      </c>
      <c r="G237">
        <v>37825</v>
      </c>
    </row>
    <row r="238" spans="1:7" x14ac:dyDescent="0.35">
      <c r="A238" t="s">
        <v>627</v>
      </c>
      <c r="B238" s="2">
        <v>46011</v>
      </c>
      <c r="C238" t="s">
        <v>23</v>
      </c>
      <c r="D238" t="s">
        <v>277</v>
      </c>
      <c r="E238" t="s">
        <v>394</v>
      </c>
      <c r="F238">
        <v>7</v>
      </c>
      <c r="G238">
        <v>42483</v>
      </c>
    </row>
    <row r="239" spans="1:7" x14ac:dyDescent="0.35">
      <c r="A239" t="s">
        <v>628</v>
      </c>
      <c r="B239" s="2">
        <v>45810</v>
      </c>
      <c r="C239" t="s">
        <v>55</v>
      </c>
      <c r="D239" t="s">
        <v>223</v>
      </c>
      <c r="E239" t="s">
        <v>387</v>
      </c>
      <c r="F239">
        <v>7</v>
      </c>
      <c r="G239">
        <v>79905</v>
      </c>
    </row>
    <row r="240" spans="1:7" x14ac:dyDescent="0.35">
      <c r="A240" t="s">
        <v>629</v>
      </c>
      <c r="B240" s="2">
        <v>45913</v>
      </c>
      <c r="C240" t="s">
        <v>39</v>
      </c>
      <c r="D240" t="s">
        <v>209</v>
      </c>
      <c r="E240" t="s">
        <v>403</v>
      </c>
      <c r="F240">
        <v>2</v>
      </c>
      <c r="G240">
        <v>96576</v>
      </c>
    </row>
    <row r="241" spans="1:7" x14ac:dyDescent="0.35">
      <c r="A241" t="s">
        <v>630</v>
      </c>
      <c r="B241" s="2">
        <v>45946</v>
      </c>
      <c r="C241" t="s">
        <v>13</v>
      </c>
      <c r="D241" t="s">
        <v>97</v>
      </c>
      <c r="E241" t="s">
        <v>391</v>
      </c>
      <c r="F241">
        <v>3</v>
      </c>
      <c r="G241">
        <v>90531</v>
      </c>
    </row>
    <row r="242" spans="1:7" x14ac:dyDescent="0.35">
      <c r="A242" t="s">
        <v>631</v>
      </c>
      <c r="B242" s="2">
        <v>45861</v>
      </c>
      <c r="C242" t="s">
        <v>43</v>
      </c>
      <c r="D242" t="s">
        <v>169</v>
      </c>
      <c r="E242" t="s">
        <v>391</v>
      </c>
      <c r="F242">
        <v>4</v>
      </c>
      <c r="G242">
        <v>151300</v>
      </c>
    </row>
    <row r="243" spans="1:7" x14ac:dyDescent="0.35">
      <c r="A243" t="s">
        <v>632</v>
      </c>
      <c r="B243" s="2">
        <v>45676</v>
      </c>
      <c r="C243" t="s">
        <v>35</v>
      </c>
      <c r="D243" t="s">
        <v>235</v>
      </c>
      <c r="E243" t="s">
        <v>391</v>
      </c>
      <c r="F243">
        <v>10</v>
      </c>
      <c r="G243">
        <v>494600</v>
      </c>
    </row>
    <row r="244" spans="1:7" x14ac:dyDescent="0.35">
      <c r="A244" t="s">
        <v>633</v>
      </c>
      <c r="B244" s="2">
        <v>46003</v>
      </c>
      <c r="C244" t="s">
        <v>39</v>
      </c>
      <c r="D244" t="s">
        <v>313</v>
      </c>
      <c r="E244" t="s">
        <v>391</v>
      </c>
      <c r="F244">
        <v>1</v>
      </c>
      <c r="G244">
        <v>48288</v>
      </c>
    </row>
    <row r="245" spans="1:7" x14ac:dyDescent="0.35">
      <c r="A245" t="s">
        <v>634</v>
      </c>
      <c r="B245" s="2">
        <v>45702</v>
      </c>
      <c r="C245" t="s">
        <v>39</v>
      </c>
      <c r="D245" t="s">
        <v>357</v>
      </c>
      <c r="E245" t="s">
        <v>389</v>
      </c>
      <c r="F245">
        <v>10</v>
      </c>
      <c r="G245">
        <v>482880</v>
      </c>
    </row>
    <row r="246" spans="1:7" x14ac:dyDescent="0.35">
      <c r="A246" t="s">
        <v>635</v>
      </c>
      <c r="B246" s="2">
        <v>45852</v>
      </c>
      <c r="C246" t="s">
        <v>63</v>
      </c>
      <c r="D246" t="s">
        <v>173</v>
      </c>
      <c r="E246" t="s">
        <v>387</v>
      </c>
      <c r="F246">
        <v>8</v>
      </c>
      <c r="G246">
        <v>70144</v>
      </c>
    </row>
    <row r="247" spans="1:7" x14ac:dyDescent="0.35">
      <c r="A247" t="s">
        <v>636</v>
      </c>
      <c r="B247" s="2">
        <v>45771</v>
      </c>
      <c r="C247" t="s">
        <v>65</v>
      </c>
      <c r="D247" t="s">
        <v>211</v>
      </c>
      <c r="E247" t="s">
        <v>394</v>
      </c>
      <c r="F247">
        <v>3</v>
      </c>
      <c r="G247">
        <v>1635</v>
      </c>
    </row>
    <row r="248" spans="1:7" x14ac:dyDescent="0.35">
      <c r="A248" t="s">
        <v>637</v>
      </c>
      <c r="B248" s="2">
        <v>45997</v>
      </c>
      <c r="C248" t="s">
        <v>23</v>
      </c>
      <c r="D248" t="s">
        <v>95</v>
      </c>
      <c r="E248" t="s">
        <v>403</v>
      </c>
      <c r="F248">
        <v>2</v>
      </c>
      <c r="G248">
        <v>12138</v>
      </c>
    </row>
    <row r="249" spans="1:7" x14ac:dyDescent="0.35">
      <c r="A249" t="s">
        <v>638</v>
      </c>
      <c r="B249" s="2">
        <v>45930</v>
      </c>
      <c r="C249" t="s">
        <v>35</v>
      </c>
      <c r="D249" t="s">
        <v>81</v>
      </c>
      <c r="E249" t="s">
        <v>394</v>
      </c>
      <c r="F249">
        <v>7</v>
      </c>
      <c r="G249">
        <v>346220</v>
      </c>
    </row>
    <row r="250" spans="1:7" x14ac:dyDescent="0.35">
      <c r="A250" t="s">
        <v>639</v>
      </c>
      <c r="B250" s="2">
        <v>45985</v>
      </c>
      <c r="C250" t="s">
        <v>27</v>
      </c>
      <c r="D250" t="s">
        <v>241</v>
      </c>
      <c r="E250" t="s">
        <v>403</v>
      </c>
      <c r="F250">
        <v>1</v>
      </c>
      <c r="G250">
        <v>37684</v>
      </c>
    </row>
    <row r="251" spans="1:7" x14ac:dyDescent="0.35">
      <c r="A251" t="s">
        <v>640</v>
      </c>
      <c r="B251" s="2">
        <v>45958</v>
      </c>
      <c r="C251" t="s">
        <v>29</v>
      </c>
      <c r="D251" t="s">
        <v>277</v>
      </c>
      <c r="E251" t="s">
        <v>403</v>
      </c>
      <c r="F251">
        <v>3</v>
      </c>
      <c r="G251">
        <v>127932</v>
      </c>
    </row>
    <row r="252" spans="1:7" x14ac:dyDescent="0.35">
      <c r="A252" t="s">
        <v>641</v>
      </c>
      <c r="B252" s="2">
        <v>45806</v>
      </c>
      <c r="C252" t="s">
        <v>19</v>
      </c>
      <c r="D252" t="s">
        <v>249</v>
      </c>
      <c r="E252" t="s">
        <v>394</v>
      </c>
      <c r="F252">
        <v>10</v>
      </c>
      <c r="G252">
        <v>421590</v>
      </c>
    </row>
    <row r="253" spans="1:7" x14ac:dyDescent="0.35">
      <c r="A253" t="s">
        <v>642</v>
      </c>
      <c r="B253" s="2">
        <v>45877</v>
      </c>
      <c r="C253" t="s">
        <v>49</v>
      </c>
      <c r="D253" t="s">
        <v>275</v>
      </c>
      <c r="E253" t="s">
        <v>403</v>
      </c>
      <c r="F253">
        <v>5</v>
      </c>
      <c r="G253">
        <v>227570</v>
      </c>
    </row>
    <row r="254" spans="1:7" x14ac:dyDescent="0.35">
      <c r="A254" t="s">
        <v>643</v>
      </c>
      <c r="B254" s="2">
        <v>45875</v>
      </c>
      <c r="C254" t="s">
        <v>45</v>
      </c>
      <c r="D254" t="s">
        <v>145</v>
      </c>
      <c r="E254" t="s">
        <v>391</v>
      </c>
      <c r="F254">
        <v>6</v>
      </c>
      <c r="G254">
        <v>46956</v>
      </c>
    </row>
    <row r="255" spans="1:7" x14ac:dyDescent="0.35">
      <c r="A255" t="s">
        <v>644</v>
      </c>
      <c r="B255" s="2">
        <v>45936</v>
      </c>
      <c r="C255" t="s">
        <v>10</v>
      </c>
      <c r="D255" t="s">
        <v>265</v>
      </c>
      <c r="E255" t="s">
        <v>389</v>
      </c>
      <c r="F255">
        <v>10</v>
      </c>
      <c r="G255">
        <v>45160</v>
      </c>
    </row>
    <row r="256" spans="1:7" x14ac:dyDescent="0.35">
      <c r="A256" t="s">
        <v>645</v>
      </c>
      <c r="B256" s="2">
        <v>46021</v>
      </c>
      <c r="C256" t="s">
        <v>4</v>
      </c>
      <c r="D256" t="s">
        <v>259</v>
      </c>
      <c r="E256" t="s">
        <v>389</v>
      </c>
      <c r="F256">
        <v>3</v>
      </c>
      <c r="G256">
        <v>35445</v>
      </c>
    </row>
    <row r="257" spans="1:7" x14ac:dyDescent="0.35">
      <c r="A257" t="s">
        <v>646</v>
      </c>
      <c r="B257" s="2">
        <v>45711</v>
      </c>
      <c r="C257" t="s">
        <v>31</v>
      </c>
      <c r="D257" t="s">
        <v>209</v>
      </c>
      <c r="E257" t="s">
        <v>394</v>
      </c>
      <c r="F257">
        <v>4</v>
      </c>
      <c r="G257">
        <v>119864</v>
      </c>
    </row>
    <row r="258" spans="1:7" x14ac:dyDescent="0.35">
      <c r="A258" t="s">
        <v>647</v>
      </c>
      <c r="B258" s="2">
        <v>45821</v>
      </c>
      <c r="C258" t="s">
        <v>47</v>
      </c>
      <c r="D258" t="s">
        <v>303</v>
      </c>
      <c r="E258" t="s">
        <v>394</v>
      </c>
      <c r="F258">
        <v>8</v>
      </c>
      <c r="G258">
        <v>176496</v>
      </c>
    </row>
    <row r="259" spans="1:7" x14ac:dyDescent="0.35">
      <c r="A259" t="s">
        <v>648</v>
      </c>
      <c r="B259" s="2">
        <v>45936</v>
      </c>
      <c r="C259" t="s">
        <v>25</v>
      </c>
      <c r="D259" t="s">
        <v>169</v>
      </c>
      <c r="E259" t="s">
        <v>387</v>
      </c>
      <c r="F259">
        <v>1</v>
      </c>
      <c r="G259">
        <v>18243</v>
      </c>
    </row>
    <row r="260" spans="1:7" x14ac:dyDescent="0.35">
      <c r="A260" t="s">
        <v>649</v>
      </c>
      <c r="B260" s="2">
        <v>45976</v>
      </c>
      <c r="C260" t="s">
        <v>35</v>
      </c>
      <c r="D260" t="s">
        <v>103</v>
      </c>
      <c r="E260" t="s">
        <v>403</v>
      </c>
      <c r="F260">
        <v>9</v>
      </c>
      <c r="G260">
        <v>445140</v>
      </c>
    </row>
    <row r="261" spans="1:7" x14ac:dyDescent="0.35">
      <c r="A261" t="s">
        <v>650</v>
      </c>
      <c r="B261" s="2">
        <v>45978</v>
      </c>
      <c r="C261" t="s">
        <v>43</v>
      </c>
      <c r="D261" t="s">
        <v>199</v>
      </c>
      <c r="E261" t="s">
        <v>389</v>
      </c>
      <c r="F261">
        <v>2</v>
      </c>
      <c r="G261">
        <v>75650</v>
      </c>
    </row>
    <row r="262" spans="1:7" x14ac:dyDescent="0.35">
      <c r="A262" t="s">
        <v>651</v>
      </c>
      <c r="B262" s="2">
        <v>45708</v>
      </c>
      <c r="C262" t="s">
        <v>65</v>
      </c>
      <c r="D262" t="s">
        <v>307</v>
      </c>
      <c r="E262" t="s">
        <v>391</v>
      </c>
      <c r="F262">
        <v>9</v>
      </c>
      <c r="G262">
        <v>4905</v>
      </c>
    </row>
    <row r="263" spans="1:7" x14ac:dyDescent="0.35">
      <c r="A263" t="s">
        <v>652</v>
      </c>
      <c r="B263" s="2">
        <v>45869</v>
      </c>
      <c r="C263" t="s">
        <v>4</v>
      </c>
      <c r="D263" t="s">
        <v>367</v>
      </c>
      <c r="E263" t="s">
        <v>389</v>
      </c>
      <c r="F263">
        <v>7</v>
      </c>
      <c r="G263">
        <v>82705</v>
      </c>
    </row>
    <row r="264" spans="1:7" x14ac:dyDescent="0.35">
      <c r="A264" t="s">
        <v>653</v>
      </c>
      <c r="B264" s="2">
        <v>45858</v>
      </c>
      <c r="C264" t="s">
        <v>25</v>
      </c>
      <c r="D264" t="s">
        <v>299</v>
      </c>
      <c r="E264" t="s">
        <v>391</v>
      </c>
      <c r="F264">
        <v>4</v>
      </c>
      <c r="G264">
        <v>72972</v>
      </c>
    </row>
    <row r="265" spans="1:7" x14ac:dyDescent="0.35">
      <c r="A265" t="s">
        <v>654</v>
      </c>
      <c r="B265" s="2">
        <v>45708</v>
      </c>
      <c r="C265" t="s">
        <v>27</v>
      </c>
      <c r="D265" t="s">
        <v>335</v>
      </c>
      <c r="E265" t="s">
        <v>394</v>
      </c>
      <c r="F265">
        <v>10</v>
      </c>
      <c r="G265">
        <v>376840</v>
      </c>
    </row>
    <row r="266" spans="1:7" x14ac:dyDescent="0.35">
      <c r="A266" t="s">
        <v>655</v>
      </c>
      <c r="B266" s="2">
        <v>45890</v>
      </c>
      <c r="C266" t="s">
        <v>13</v>
      </c>
      <c r="D266" t="s">
        <v>215</v>
      </c>
      <c r="E266" t="s">
        <v>391</v>
      </c>
      <c r="F266">
        <v>7</v>
      </c>
      <c r="G266">
        <v>211239</v>
      </c>
    </row>
    <row r="267" spans="1:7" x14ac:dyDescent="0.35">
      <c r="A267" t="s">
        <v>656</v>
      </c>
      <c r="B267" s="2">
        <v>45680</v>
      </c>
      <c r="C267" t="s">
        <v>33</v>
      </c>
      <c r="D267" t="s">
        <v>293</v>
      </c>
      <c r="E267" t="s">
        <v>391</v>
      </c>
      <c r="F267">
        <v>3</v>
      </c>
      <c r="G267">
        <v>108759</v>
      </c>
    </row>
    <row r="268" spans="1:7" x14ac:dyDescent="0.35">
      <c r="A268" t="s">
        <v>657</v>
      </c>
      <c r="B268" s="2">
        <v>45674</v>
      </c>
      <c r="C268" t="s">
        <v>63</v>
      </c>
      <c r="D268" t="s">
        <v>141</v>
      </c>
      <c r="E268" t="s">
        <v>394</v>
      </c>
      <c r="F268">
        <v>9</v>
      </c>
      <c r="G268">
        <v>78912</v>
      </c>
    </row>
    <row r="269" spans="1:7" x14ac:dyDescent="0.35">
      <c r="A269" t="s">
        <v>658</v>
      </c>
      <c r="B269" s="2">
        <v>45830</v>
      </c>
      <c r="C269" t="s">
        <v>43</v>
      </c>
      <c r="D269" t="s">
        <v>121</v>
      </c>
      <c r="E269" t="s">
        <v>403</v>
      </c>
      <c r="F269">
        <v>4</v>
      </c>
      <c r="G269">
        <v>151300</v>
      </c>
    </row>
    <row r="270" spans="1:7" x14ac:dyDescent="0.35">
      <c r="A270" t="s">
        <v>659</v>
      </c>
      <c r="B270" s="2">
        <v>45985</v>
      </c>
      <c r="C270" t="s">
        <v>23</v>
      </c>
      <c r="D270" t="s">
        <v>305</v>
      </c>
      <c r="E270" t="s">
        <v>387</v>
      </c>
      <c r="F270">
        <v>7</v>
      </c>
      <c r="G270">
        <v>42483</v>
      </c>
    </row>
    <row r="271" spans="1:7" x14ac:dyDescent="0.35">
      <c r="A271" t="s">
        <v>660</v>
      </c>
      <c r="B271" s="2">
        <v>45817</v>
      </c>
      <c r="C271" t="s">
        <v>37</v>
      </c>
      <c r="D271" t="s">
        <v>345</v>
      </c>
      <c r="E271" t="s">
        <v>394</v>
      </c>
      <c r="F271">
        <v>9</v>
      </c>
      <c r="G271">
        <v>17577</v>
      </c>
    </row>
    <row r="272" spans="1:7" x14ac:dyDescent="0.35">
      <c r="A272" t="s">
        <v>661</v>
      </c>
      <c r="B272" s="2">
        <v>45732</v>
      </c>
      <c r="C272" t="s">
        <v>33</v>
      </c>
      <c r="D272" t="s">
        <v>291</v>
      </c>
      <c r="E272" t="s">
        <v>394</v>
      </c>
      <c r="F272">
        <v>5</v>
      </c>
      <c r="G272">
        <v>181265</v>
      </c>
    </row>
    <row r="273" spans="1:7" x14ac:dyDescent="0.35">
      <c r="A273" t="s">
        <v>662</v>
      </c>
      <c r="B273" s="2">
        <v>45728</v>
      </c>
      <c r="C273" t="s">
        <v>35</v>
      </c>
      <c r="D273" t="s">
        <v>361</v>
      </c>
      <c r="E273" t="s">
        <v>403</v>
      </c>
      <c r="F273">
        <v>5</v>
      </c>
      <c r="G273">
        <v>247300</v>
      </c>
    </row>
    <row r="274" spans="1:7" x14ac:dyDescent="0.35">
      <c r="A274" t="s">
        <v>663</v>
      </c>
      <c r="B274" s="2">
        <v>45750</v>
      </c>
      <c r="C274" t="s">
        <v>53</v>
      </c>
      <c r="D274" t="s">
        <v>173</v>
      </c>
      <c r="E274" t="s">
        <v>389</v>
      </c>
      <c r="F274">
        <v>4</v>
      </c>
      <c r="G274">
        <v>16832</v>
      </c>
    </row>
    <row r="275" spans="1:7" x14ac:dyDescent="0.35">
      <c r="A275" t="s">
        <v>664</v>
      </c>
      <c r="B275" s="2">
        <v>45799</v>
      </c>
      <c r="C275" t="s">
        <v>37</v>
      </c>
      <c r="D275" t="s">
        <v>117</v>
      </c>
      <c r="E275" t="s">
        <v>394</v>
      </c>
      <c r="F275">
        <v>9</v>
      </c>
      <c r="G275">
        <v>17577</v>
      </c>
    </row>
    <row r="276" spans="1:7" x14ac:dyDescent="0.35">
      <c r="A276" t="s">
        <v>665</v>
      </c>
      <c r="B276" s="2">
        <v>45835</v>
      </c>
      <c r="C276" t="s">
        <v>13</v>
      </c>
      <c r="D276" t="s">
        <v>199</v>
      </c>
      <c r="E276" t="s">
        <v>394</v>
      </c>
      <c r="F276">
        <v>10</v>
      </c>
      <c r="G276">
        <v>301770</v>
      </c>
    </row>
    <row r="277" spans="1:7" x14ac:dyDescent="0.35">
      <c r="A277" t="s">
        <v>666</v>
      </c>
      <c r="B277" s="2">
        <v>45763</v>
      </c>
      <c r="C277" t="s">
        <v>10</v>
      </c>
      <c r="D277" t="s">
        <v>287</v>
      </c>
      <c r="E277" t="s">
        <v>394</v>
      </c>
      <c r="F277">
        <v>10</v>
      </c>
      <c r="G277">
        <v>45160</v>
      </c>
    </row>
    <row r="278" spans="1:7" x14ac:dyDescent="0.35">
      <c r="A278" t="s">
        <v>667</v>
      </c>
      <c r="B278" s="2">
        <v>45829</v>
      </c>
      <c r="C278" t="s">
        <v>39</v>
      </c>
      <c r="D278" t="s">
        <v>297</v>
      </c>
      <c r="E278" t="s">
        <v>403</v>
      </c>
      <c r="F278">
        <v>10</v>
      </c>
      <c r="G278">
        <v>482880</v>
      </c>
    </row>
    <row r="279" spans="1:7" x14ac:dyDescent="0.35">
      <c r="A279" t="s">
        <v>668</v>
      </c>
      <c r="B279" s="2">
        <v>45988</v>
      </c>
      <c r="C279" t="s">
        <v>35</v>
      </c>
      <c r="D279" t="s">
        <v>285</v>
      </c>
      <c r="E279" t="s">
        <v>403</v>
      </c>
      <c r="F279">
        <v>1</v>
      </c>
      <c r="G279">
        <v>49460</v>
      </c>
    </row>
    <row r="280" spans="1:7" x14ac:dyDescent="0.35">
      <c r="A280" t="s">
        <v>669</v>
      </c>
      <c r="B280" s="2">
        <v>45675</v>
      </c>
      <c r="C280" t="s">
        <v>4</v>
      </c>
      <c r="D280" t="s">
        <v>235</v>
      </c>
      <c r="E280" t="s">
        <v>403</v>
      </c>
      <c r="F280">
        <v>3</v>
      </c>
      <c r="G280">
        <v>35445</v>
      </c>
    </row>
    <row r="281" spans="1:7" x14ac:dyDescent="0.35">
      <c r="A281" t="s">
        <v>670</v>
      </c>
      <c r="B281" s="2">
        <v>45737</v>
      </c>
      <c r="C281" t="s">
        <v>7</v>
      </c>
      <c r="D281" t="s">
        <v>143</v>
      </c>
      <c r="E281" t="s">
        <v>394</v>
      </c>
      <c r="F281">
        <v>3</v>
      </c>
      <c r="G281">
        <v>78399</v>
      </c>
    </row>
    <row r="282" spans="1:7" x14ac:dyDescent="0.35">
      <c r="A282" t="s">
        <v>671</v>
      </c>
      <c r="B282" s="2">
        <v>45827</v>
      </c>
      <c r="C282" t="s">
        <v>53</v>
      </c>
      <c r="D282" t="s">
        <v>339</v>
      </c>
      <c r="E282" t="s">
        <v>403</v>
      </c>
      <c r="F282">
        <v>5</v>
      </c>
      <c r="G282">
        <v>21040</v>
      </c>
    </row>
    <row r="283" spans="1:7" x14ac:dyDescent="0.35">
      <c r="A283" t="s">
        <v>672</v>
      </c>
      <c r="B283" s="2">
        <v>45894</v>
      </c>
      <c r="C283" t="s">
        <v>10</v>
      </c>
      <c r="D283" t="s">
        <v>333</v>
      </c>
      <c r="E283" t="s">
        <v>391</v>
      </c>
      <c r="F283">
        <v>10</v>
      </c>
      <c r="G283">
        <v>45160</v>
      </c>
    </row>
    <row r="284" spans="1:7" x14ac:dyDescent="0.35">
      <c r="A284" t="s">
        <v>673</v>
      </c>
      <c r="B284" s="2">
        <v>45960</v>
      </c>
      <c r="C284" t="s">
        <v>21</v>
      </c>
      <c r="D284" t="s">
        <v>139</v>
      </c>
      <c r="E284" t="s">
        <v>391</v>
      </c>
      <c r="F284">
        <v>5</v>
      </c>
      <c r="G284">
        <v>76045</v>
      </c>
    </row>
    <row r="285" spans="1:7" x14ac:dyDescent="0.35">
      <c r="A285" t="s">
        <v>674</v>
      </c>
      <c r="B285" s="2">
        <v>45817</v>
      </c>
      <c r="C285" t="s">
        <v>53</v>
      </c>
      <c r="D285" t="s">
        <v>189</v>
      </c>
      <c r="E285" t="s">
        <v>389</v>
      </c>
      <c r="F285">
        <v>2</v>
      </c>
      <c r="G285">
        <v>8416</v>
      </c>
    </row>
    <row r="286" spans="1:7" x14ac:dyDescent="0.35">
      <c r="A286" t="s">
        <v>675</v>
      </c>
      <c r="B286" s="2">
        <v>45839</v>
      </c>
      <c r="C286" t="s">
        <v>59</v>
      </c>
      <c r="D286" t="s">
        <v>117</v>
      </c>
      <c r="E286" t="s">
        <v>391</v>
      </c>
      <c r="F286">
        <v>8</v>
      </c>
      <c r="G286">
        <v>384848</v>
      </c>
    </row>
    <row r="287" spans="1:7" x14ac:dyDescent="0.35">
      <c r="A287" t="s">
        <v>676</v>
      </c>
      <c r="B287" s="2">
        <v>45798</v>
      </c>
      <c r="C287" t="s">
        <v>33</v>
      </c>
      <c r="D287" t="s">
        <v>91</v>
      </c>
      <c r="E287" t="s">
        <v>387</v>
      </c>
      <c r="F287">
        <v>1</v>
      </c>
      <c r="G287">
        <v>36253</v>
      </c>
    </row>
    <row r="288" spans="1:7" x14ac:dyDescent="0.35">
      <c r="A288" t="s">
        <v>677</v>
      </c>
      <c r="B288" s="2">
        <v>45767</v>
      </c>
      <c r="C288" t="s">
        <v>61</v>
      </c>
      <c r="D288" t="s">
        <v>375</v>
      </c>
      <c r="E288" t="s">
        <v>389</v>
      </c>
      <c r="F288">
        <v>2</v>
      </c>
      <c r="G288">
        <v>50032</v>
      </c>
    </row>
    <row r="289" spans="1:7" x14ac:dyDescent="0.35">
      <c r="A289" t="s">
        <v>678</v>
      </c>
      <c r="B289" s="2">
        <v>45675</v>
      </c>
      <c r="C289" t="s">
        <v>7</v>
      </c>
      <c r="D289" t="s">
        <v>279</v>
      </c>
      <c r="E289" t="s">
        <v>387</v>
      </c>
      <c r="F289">
        <v>7</v>
      </c>
      <c r="G289">
        <v>182931</v>
      </c>
    </row>
    <row r="290" spans="1:7" x14ac:dyDescent="0.35">
      <c r="A290" t="s">
        <v>679</v>
      </c>
      <c r="B290" s="2">
        <v>45749</v>
      </c>
      <c r="C290" t="s">
        <v>31</v>
      </c>
      <c r="D290" t="s">
        <v>281</v>
      </c>
      <c r="E290" t="s">
        <v>403</v>
      </c>
      <c r="F290">
        <v>9</v>
      </c>
      <c r="G290">
        <v>269694</v>
      </c>
    </row>
    <row r="291" spans="1:7" x14ac:dyDescent="0.35">
      <c r="A291" t="s">
        <v>680</v>
      </c>
      <c r="B291" s="2">
        <v>45851</v>
      </c>
      <c r="C291" t="s">
        <v>27</v>
      </c>
      <c r="D291" t="s">
        <v>145</v>
      </c>
      <c r="E291" t="s">
        <v>394</v>
      </c>
      <c r="F291">
        <v>1</v>
      </c>
      <c r="G291">
        <v>37684</v>
      </c>
    </row>
    <row r="292" spans="1:7" x14ac:dyDescent="0.35">
      <c r="A292" t="s">
        <v>681</v>
      </c>
      <c r="B292" s="2">
        <v>45905</v>
      </c>
      <c r="C292" t="s">
        <v>49</v>
      </c>
      <c r="D292" t="s">
        <v>221</v>
      </c>
      <c r="E292" t="s">
        <v>403</v>
      </c>
      <c r="F292">
        <v>1</v>
      </c>
      <c r="G292">
        <v>45514</v>
      </c>
    </row>
    <row r="293" spans="1:7" x14ac:dyDescent="0.35">
      <c r="A293" t="s">
        <v>682</v>
      </c>
      <c r="B293" s="2">
        <v>45777</v>
      </c>
      <c r="C293" t="s">
        <v>47</v>
      </c>
      <c r="D293" t="s">
        <v>217</v>
      </c>
      <c r="E293" t="s">
        <v>394</v>
      </c>
      <c r="F293">
        <v>2</v>
      </c>
      <c r="G293">
        <v>44124</v>
      </c>
    </row>
    <row r="294" spans="1:7" x14ac:dyDescent="0.35">
      <c r="A294" t="s">
        <v>683</v>
      </c>
      <c r="B294" s="2">
        <v>45939</v>
      </c>
      <c r="C294" t="s">
        <v>13</v>
      </c>
      <c r="D294" t="s">
        <v>367</v>
      </c>
      <c r="E294" t="s">
        <v>391</v>
      </c>
      <c r="F294">
        <v>5</v>
      </c>
      <c r="G294">
        <v>150885</v>
      </c>
    </row>
    <row r="295" spans="1:7" x14ac:dyDescent="0.35">
      <c r="A295" t="s">
        <v>684</v>
      </c>
      <c r="B295" s="2">
        <v>45943</v>
      </c>
      <c r="C295" t="s">
        <v>67</v>
      </c>
      <c r="D295" t="s">
        <v>283</v>
      </c>
      <c r="E295" t="s">
        <v>394</v>
      </c>
      <c r="F295">
        <v>2</v>
      </c>
      <c r="G295">
        <v>43232</v>
      </c>
    </row>
    <row r="296" spans="1:7" x14ac:dyDescent="0.35">
      <c r="A296" t="s">
        <v>685</v>
      </c>
      <c r="B296" s="2">
        <v>45750</v>
      </c>
      <c r="C296" t="s">
        <v>65</v>
      </c>
      <c r="D296" t="s">
        <v>279</v>
      </c>
      <c r="E296" t="s">
        <v>403</v>
      </c>
      <c r="F296">
        <v>10</v>
      </c>
      <c r="G296">
        <v>5450</v>
      </c>
    </row>
    <row r="297" spans="1:7" x14ac:dyDescent="0.35">
      <c r="A297" t="s">
        <v>686</v>
      </c>
      <c r="B297" s="2">
        <v>45917</v>
      </c>
      <c r="C297" t="s">
        <v>25</v>
      </c>
      <c r="D297" t="s">
        <v>197</v>
      </c>
      <c r="E297" t="s">
        <v>389</v>
      </c>
      <c r="F297">
        <v>6</v>
      </c>
      <c r="G297">
        <v>109458</v>
      </c>
    </row>
    <row r="298" spans="1:7" x14ac:dyDescent="0.35">
      <c r="A298" t="s">
        <v>687</v>
      </c>
      <c r="B298" s="2">
        <v>45865</v>
      </c>
      <c r="C298" t="s">
        <v>65</v>
      </c>
      <c r="D298" t="s">
        <v>343</v>
      </c>
      <c r="E298" t="s">
        <v>391</v>
      </c>
      <c r="F298">
        <v>9</v>
      </c>
      <c r="G298">
        <v>4905</v>
      </c>
    </row>
    <row r="299" spans="1:7" x14ac:dyDescent="0.35">
      <c r="A299" t="s">
        <v>688</v>
      </c>
      <c r="B299" s="2">
        <v>45799</v>
      </c>
      <c r="C299" t="s">
        <v>63</v>
      </c>
      <c r="D299" t="s">
        <v>207</v>
      </c>
      <c r="E299" t="s">
        <v>387</v>
      </c>
      <c r="F299">
        <v>4</v>
      </c>
      <c r="G299">
        <v>35072</v>
      </c>
    </row>
    <row r="300" spans="1:7" x14ac:dyDescent="0.35">
      <c r="A300" t="s">
        <v>689</v>
      </c>
      <c r="B300" s="2">
        <v>45855</v>
      </c>
      <c r="C300" t="s">
        <v>10</v>
      </c>
      <c r="D300" t="s">
        <v>271</v>
      </c>
      <c r="E300" t="s">
        <v>391</v>
      </c>
      <c r="F300">
        <v>7</v>
      </c>
      <c r="G300">
        <v>31612</v>
      </c>
    </row>
    <row r="301" spans="1:7" x14ac:dyDescent="0.35">
      <c r="A301" t="s">
        <v>690</v>
      </c>
      <c r="B301" s="2">
        <v>45726</v>
      </c>
      <c r="C301" t="s">
        <v>47</v>
      </c>
      <c r="D301" t="s">
        <v>305</v>
      </c>
      <c r="E301" t="s">
        <v>391</v>
      </c>
      <c r="F301">
        <v>5</v>
      </c>
      <c r="G301">
        <v>110310</v>
      </c>
    </row>
    <row r="302" spans="1:7" x14ac:dyDescent="0.35">
      <c r="A302" t="s">
        <v>691</v>
      </c>
      <c r="B302" s="2">
        <v>45984</v>
      </c>
      <c r="C302" t="s">
        <v>10</v>
      </c>
      <c r="D302" t="s">
        <v>181</v>
      </c>
      <c r="E302" t="s">
        <v>403</v>
      </c>
      <c r="F302">
        <v>9</v>
      </c>
      <c r="G302">
        <v>40644</v>
      </c>
    </row>
    <row r="303" spans="1:7" x14ac:dyDescent="0.35">
      <c r="A303" t="s">
        <v>692</v>
      </c>
      <c r="B303" s="2">
        <v>45891</v>
      </c>
      <c r="C303" t="s">
        <v>49</v>
      </c>
      <c r="D303" t="s">
        <v>237</v>
      </c>
      <c r="E303" t="s">
        <v>403</v>
      </c>
      <c r="F303">
        <v>5</v>
      </c>
      <c r="G303">
        <v>227570</v>
      </c>
    </row>
    <row r="304" spans="1:7" x14ac:dyDescent="0.35">
      <c r="A304" t="s">
        <v>693</v>
      </c>
      <c r="B304" s="2">
        <v>45719</v>
      </c>
      <c r="C304" t="s">
        <v>45</v>
      </c>
      <c r="D304" t="s">
        <v>133</v>
      </c>
      <c r="E304" t="s">
        <v>391</v>
      </c>
      <c r="F304">
        <v>4</v>
      </c>
      <c r="G304">
        <v>31304</v>
      </c>
    </row>
    <row r="305" spans="1:7" x14ac:dyDescent="0.35">
      <c r="A305" t="s">
        <v>694</v>
      </c>
      <c r="B305" s="2">
        <v>45704</v>
      </c>
      <c r="C305" t="s">
        <v>27</v>
      </c>
      <c r="D305" t="s">
        <v>179</v>
      </c>
      <c r="E305" t="s">
        <v>389</v>
      </c>
      <c r="F305">
        <v>2</v>
      </c>
      <c r="G305">
        <v>75368</v>
      </c>
    </row>
    <row r="306" spans="1:7" x14ac:dyDescent="0.35">
      <c r="A306" t="s">
        <v>695</v>
      </c>
      <c r="B306" s="2">
        <v>45860</v>
      </c>
      <c r="C306" t="s">
        <v>47</v>
      </c>
      <c r="D306" t="s">
        <v>305</v>
      </c>
      <c r="E306" t="s">
        <v>403</v>
      </c>
      <c r="F306">
        <v>5</v>
      </c>
      <c r="G306">
        <v>110310</v>
      </c>
    </row>
    <row r="307" spans="1:7" x14ac:dyDescent="0.35">
      <c r="A307" t="s">
        <v>696</v>
      </c>
      <c r="B307" s="2">
        <v>45835</v>
      </c>
      <c r="C307" t="s">
        <v>16</v>
      </c>
      <c r="D307" t="s">
        <v>371</v>
      </c>
      <c r="E307" t="s">
        <v>389</v>
      </c>
      <c r="F307">
        <v>1</v>
      </c>
      <c r="G307">
        <v>31962</v>
      </c>
    </row>
    <row r="308" spans="1:7" x14ac:dyDescent="0.35">
      <c r="A308" t="s">
        <v>697</v>
      </c>
      <c r="B308" s="2">
        <v>45714</v>
      </c>
      <c r="C308" t="s">
        <v>39</v>
      </c>
      <c r="D308" t="s">
        <v>153</v>
      </c>
      <c r="E308" t="s">
        <v>403</v>
      </c>
      <c r="F308">
        <v>1</v>
      </c>
      <c r="G308">
        <v>48288</v>
      </c>
    </row>
    <row r="309" spans="1:7" x14ac:dyDescent="0.35">
      <c r="A309" t="s">
        <v>698</v>
      </c>
      <c r="B309" s="2">
        <v>45711</v>
      </c>
      <c r="C309" t="s">
        <v>37</v>
      </c>
      <c r="D309" t="s">
        <v>167</v>
      </c>
      <c r="E309" t="s">
        <v>389</v>
      </c>
      <c r="F309">
        <v>9</v>
      </c>
      <c r="G309">
        <v>17577</v>
      </c>
    </row>
    <row r="310" spans="1:7" x14ac:dyDescent="0.35">
      <c r="A310" t="s">
        <v>699</v>
      </c>
      <c r="B310" s="2">
        <v>46012</v>
      </c>
      <c r="C310" t="s">
        <v>67</v>
      </c>
      <c r="D310" t="s">
        <v>123</v>
      </c>
      <c r="E310" t="s">
        <v>389</v>
      </c>
      <c r="F310">
        <v>2</v>
      </c>
      <c r="G310">
        <v>43232</v>
      </c>
    </row>
    <row r="311" spans="1:7" x14ac:dyDescent="0.35">
      <c r="A311" t="s">
        <v>700</v>
      </c>
      <c r="B311" s="2">
        <v>45910</v>
      </c>
      <c r="C311" t="s">
        <v>27</v>
      </c>
      <c r="D311" t="s">
        <v>227</v>
      </c>
      <c r="E311" t="s">
        <v>394</v>
      </c>
      <c r="F311">
        <v>9</v>
      </c>
      <c r="G311">
        <v>339156</v>
      </c>
    </row>
    <row r="312" spans="1:7" x14ac:dyDescent="0.35">
      <c r="A312" t="s">
        <v>701</v>
      </c>
      <c r="B312" s="2">
        <v>45832</v>
      </c>
      <c r="C312" t="s">
        <v>41</v>
      </c>
      <c r="D312" t="s">
        <v>173</v>
      </c>
      <c r="E312" t="s">
        <v>389</v>
      </c>
      <c r="F312">
        <v>7</v>
      </c>
      <c r="G312">
        <v>148834</v>
      </c>
    </row>
    <row r="313" spans="1:7" x14ac:dyDescent="0.35">
      <c r="A313" t="s">
        <v>702</v>
      </c>
      <c r="B313" s="2">
        <v>45696</v>
      </c>
      <c r="C313" t="s">
        <v>49</v>
      </c>
      <c r="D313" t="s">
        <v>113</v>
      </c>
      <c r="E313" t="s">
        <v>403</v>
      </c>
      <c r="F313">
        <v>4</v>
      </c>
      <c r="G313">
        <v>182056</v>
      </c>
    </row>
    <row r="314" spans="1:7" x14ac:dyDescent="0.35">
      <c r="A314" t="s">
        <v>703</v>
      </c>
      <c r="B314" s="2">
        <v>45684</v>
      </c>
      <c r="C314" t="s">
        <v>57</v>
      </c>
      <c r="D314" t="s">
        <v>97</v>
      </c>
      <c r="E314" t="s">
        <v>387</v>
      </c>
      <c r="F314">
        <v>1</v>
      </c>
      <c r="G314">
        <v>48789</v>
      </c>
    </row>
    <row r="315" spans="1:7" x14ac:dyDescent="0.35">
      <c r="A315" t="s">
        <v>704</v>
      </c>
      <c r="B315" s="2">
        <v>45863</v>
      </c>
      <c r="C315" t="s">
        <v>45</v>
      </c>
      <c r="D315" t="s">
        <v>255</v>
      </c>
      <c r="E315" t="s">
        <v>391</v>
      </c>
      <c r="F315">
        <v>2</v>
      </c>
      <c r="G315">
        <v>15652</v>
      </c>
    </row>
    <row r="316" spans="1:7" x14ac:dyDescent="0.35">
      <c r="A316" t="s">
        <v>705</v>
      </c>
      <c r="B316" s="2">
        <v>45750</v>
      </c>
      <c r="C316" t="s">
        <v>65</v>
      </c>
      <c r="D316" t="s">
        <v>293</v>
      </c>
      <c r="E316" t="s">
        <v>391</v>
      </c>
      <c r="F316">
        <v>3</v>
      </c>
      <c r="G316">
        <v>1635</v>
      </c>
    </row>
    <row r="317" spans="1:7" x14ac:dyDescent="0.35">
      <c r="A317" t="s">
        <v>706</v>
      </c>
      <c r="B317" s="2">
        <v>45714</v>
      </c>
      <c r="C317" t="s">
        <v>61</v>
      </c>
      <c r="D317" t="s">
        <v>191</v>
      </c>
      <c r="E317" t="s">
        <v>391</v>
      </c>
      <c r="F317">
        <v>9</v>
      </c>
      <c r="G317">
        <v>225144</v>
      </c>
    </row>
    <row r="318" spans="1:7" x14ac:dyDescent="0.35">
      <c r="A318" t="s">
        <v>707</v>
      </c>
      <c r="B318" s="2">
        <v>45982</v>
      </c>
      <c r="C318" t="s">
        <v>65</v>
      </c>
      <c r="D318" t="s">
        <v>151</v>
      </c>
      <c r="E318" t="s">
        <v>394</v>
      </c>
      <c r="F318">
        <v>6</v>
      </c>
      <c r="G318">
        <v>3270</v>
      </c>
    </row>
    <row r="319" spans="1:7" x14ac:dyDescent="0.35">
      <c r="A319" t="s">
        <v>708</v>
      </c>
      <c r="B319" s="2">
        <v>45853</v>
      </c>
      <c r="C319" t="s">
        <v>53</v>
      </c>
      <c r="D319" t="s">
        <v>179</v>
      </c>
      <c r="E319" t="s">
        <v>403</v>
      </c>
      <c r="F319">
        <v>7</v>
      </c>
      <c r="G319">
        <v>29456</v>
      </c>
    </row>
    <row r="320" spans="1:7" x14ac:dyDescent="0.35">
      <c r="A320" t="s">
        <v>709</v>
      </c>
      <c r="B320" s="2">
        <v>45672</v>
      </c>
      <c r="C320" t="s">
        <v>13</v>
      </c>
      <c r="D320" t="s">
        <v>177</v>
      </c>
      <c r="E320" t="s">
        <v>387</v>
      </c>
      <c r="F320">
        <v>7</v>
      </c>
      <c r="G320">
        <v>211239</v>
      </c>
    </row>
    <row r="321" spans="1:7" x14ac:dyDescent="0.35">
      <c r="A321" t="s">
        <v>710</v>
      </c>
      <c r="B321" s="2">
        <v>45924</v>
      </c>
      <c r="C321" t="s">
        <v>10</v>
      </c>
      <c r="D321" t="s">
        <v>351</v>
      </c>
      <c r="E321" t="s">
        <v>403</v>
      </c>
      <c r="F321">
        <v>10</v>
      </c>
      <c r="G321">
        <v>45160</v>
      </c>
    </row>
    <row r="322" spans="1:7" x14ac:dyDescent="0.35">
      <c r="A322" t="s">
        <v>711</v>
      </c>
      <c r="B322" s="2">
        <v>45689</v>
      </c>
      <c r="C322" t="s">
        <v>49</v>
      </c>
      <c r="D322" t="s">
        <v>329</v>
      </c>
      <c r="E322" t="s">
        <v>387</v>
      </c>
      <c r="F322">
        <v>5</v>
      </c>
      <c r="G322">
        <v>227570</v>
      </c>
    </row>
    <row r="323" spans="1:7" x14ac:dyDescent="0.35">
      <c r="A323" t="s">
        <v>712</v>
      </c>
      <c r="B323" s="2">
        <v>45959</v>
      </c>
      <c r="C323" t="s">
        <v>53</v>
      </c>
      <c r="D323" t="s">
        <v>227</v>
      </c>
      <c r="E323" t="s">
        <v>387</v>
      </c>
      <c r="F323">
        <v>6</v>
      </c>
      <c r="G323">
        <v>25248</v>
      </c>
    </row>
    <row r="324" spans="1:7" x14ac:dyDescent="0.35">
      <c r="A324" t="s">
        <v>713</v>
      </c>
      <c r="B324" s="2">
        <v>45867</v>
      </c>
      <c r="C324" t="s">
        <v>35</v>
      </c>
      <c r="D324" t="s">
        <v>213</v>
      </c>
      <c r="E324" t="s">
        <v>391</v>
      </c>
      <c r="F324">
        <v>6</v>
      </c>
      <c r="G324">
        <v>296760</v>
      </c>
    </row>
    <row r="325" spans="1:7" x14ac:dyDescent="0.35">
      <c r="A325" t="s">
        <v>714</v>
      </c>
      <c r="B325" s="2">
        <v>45919</v>
      </c>
      <c r="C325" t="s">
        <v>35</v>
      </c>
      <c r="D325" t="s">
        <v>295</v>
      </c>
      <c r="E325" t="s">
        <v>389</v>
      </c>
      <c r="F325">
        <v>4</v>
      </c>
      <c r="G325">
        <v>197840</v>
      </c>
    </row>
    <row r="326" spans="1:7" x14ac:dyDescent="0.35">
      <c r="A326" t="s">
        <v>715</v>
      </c>
      <c r="B326" s="2">
        <v>45728</v>
      </c>
      <c r="C326" t="s">
        <v>61</v>
      </c>
      <c r="D326" t="s">
        <v>109</v>
      </c>
      <c r="E326" t="s">
        <v>387</v>
      </c>
      <c r="F326">
        <v>4</v>
      </c>
      <c r="G326">
        <v>100064</v>
      </c>
    </row>
    <row r="327" spans="1:7" x14ac:dyDescent="0.35">
      <c r="A327" t="s">
        <v>716</v>
      </c>
      <c r="B327" s="2">
        <v>45672</v>
      </c>
      <c r="C327" t="s">
        <v>29</v>
      </c>
      <c r="D327" t="s">
        <v>305</v>
      </c>
      <c r="E327" t="s">
        <v>394</v>
      </c>
      <c r="F327">
        <v>1</v>
      </c>
      <c r="G327">
        <v>42644</v>
      </c>
    </row>
    <row r="328" spans="1:7" x14ac:dyDescent="0.35">
      <c r="A328" t="s">
        <v>717</v>
      </c>
      <c r="B328" s="2">
        <v>45667</v>
      </c>
      <c r="C328" t="s">
        <v>45</v>
      </c>
      <c r="D328" t="s">
        <v>109</v>
      </c>
      <c r="E328" t="s">
        <v>394</v>
      </c>
      <c r="F328">
        <v>8</v>
      </c>
      <c r="G328">
        <v>62608</v>
      </c>
    </row>
    <row r="329" spans="1:7" x14ac:dyDescent="0.35">
      <c r="A329" t="s">
        <v>718</v>
      </c>
      <c r="B329" s="2">
        <v>45881</v>
      </c>
      <c r="C329" t="s">
        <v>67</v>
      </c>
      <c r="D329" t="s">
        <v>349</v>
      </c>
      <c r="E329" t="s">
        <v>403</v>
      </c>
      <c r="F329">
        <v>5</v>
      </c>
      <c r="G329">
        <v>108080</v>
      </c>
    </row>
    <row r="330" spans="1:7" x14ac:dyDescent="0.35">
      <c r="A330" t="s">
        <v>719</v>
      </c>
      <c r="B330" s="2">
        <v>45873</v>
      </c>
      <c r="C330" t="s">
        <v>43</v>
      </c>
      <c r="D330" t="s">
        <v>175</v>
      </c>
      <c r="E330" t="s">
        <v>391</v>
      </c>
      <c r="F330">
        <v>9</v>
      </c>
      <c r="G330">
        <v>340425</v>
      </c>
    </row>
    <row r="331" spans="1:7" x14ac:dyDescent="0.35">
      <c r="A331" t="s">
        <v>720</v>
      </c>
      <c r="B331" s="2">
        <v>45736</v>
      </c>
      <c r="C331" t="s">
        <v>19</v>
      </c>
      <c r="D331" t="s">
        <v>227</v>
      </c>
      <c r="E331" t="s">
        <v>394</v>
      </c>
      <c r="F331">
        <v>7</v>
      </c>
      <c r="G331">
        <v>295113</v>
      </c>
    </row>
    <row r="332" spans="1:7" x14ac:dyDescent="0.35">
      <c r="A332" t="s">
        <v>721</v>
      </c>
      <c r="B332" s="2">
        <v>45944</v>
      </c>
      <c r="C332" t="s">
        <v>41</v>
      </c>
      <c r="D332" t="s">
        <v>217</v>
      </c>
      <c r="E332" t="s">
        <v>394</v>
      </c>
      <c r="F332">
        <v>5</v>
      </c>
      <c r="G332">
        <v>106310</v>
      </c>
    </row>
    <row r="333" spans="1:7" x14ac:dyDescent="0.35">
      <c r="A333" t="s">
        <v>722</v>
      </c>
      <c r="B333" s="2">
        <v>45747</v>
      </c>
      <c r="C333" t="s">
        <v>10</v>
      </c>
      <c r="D333" t="s">
        <v>323</v>
      </c>
      <c r="E333" t="s">
        <v>389</v>
      </c>
      <c r="F333">
        <v>10</v>
      </c>
      <c r="G333">
        <v>45160</v>
      </c>
    </row>
    <row r="334" spans="1:7" x14ac:dyDescent="0.35">
      <c r="A334" t="s">
        <v>723</v>
      </c>
      <c r="B334" s="2">
        <v>45844</v>
      </c>
      <c r="C334" t="s">
        <v>27</v>
      </c>
      <c r="D334" t="s">
        <v>189</v>
      </c>
      <c r="E334" t="s">
        <v>387</v>
      </c>
      <c r="F334">
        <v>9</v>
      </c>
      <c r="G334">
        <v>339156</v>
      </c>
    </row>
    <row r="335" spans="1:7" x14ac:dyDescent="0.35">
      <c r="A335" t="s">
        <v>724</v>
      </c>
      <c r="B335" s="2">
        <v>45991</v>
      </c>
      <c r="C335" t="s">
        <v>51</v>
      </c>
      <c r="D335" t="s">
        <v>343</v>
      </c>
      <c r="E335" t="s">
        <v>389</v>
      </c>
      <c r="F335">
        <v>4</v>
      </c>
      <c r="G335">
        <v>125756</v>
      </c>
    </row>
    <row r="336" spans="1:7" x14ac:dyDescent="0.35">
      <c r="A336" t="s">
        <v>725</v>
      </c>
      <c r="B336" s="2">
        <v>45664</v>
      </c>
      <c r="C336" t="s">
        <v>31</v>
      </c>
      <c r="D336" t="s">
        <v>145</v>
      </c>
      <c r="E336" t="s">
        <v>391</v>
      </c>
      <c r="F336">
        <v>7</v>
      </c>
      <c r="G336">
        <v>209762</v>
      </c>
    </row>
    <row r="337" spans="1:7" x14ac:dyDescent="0.35">
      <c r="A337" t="s">
        <v>726</v>
      </c>
      <c r="B337" s="2">
        <v>45827</v>
      </c>
      <c r="C337" t="s">
        <v>39</v>
      </c>
      <c r="D337" t="s">
        <v>131</v>
      </c>
      <c r="E337" t="s">
        <v>391</v>
      </c>
      <c r="F337">
        <v>1</v>
      </c>
      <c r="G337">
        <v>48288</v>
      </c>
    </row>
    <row r="338" spans="1:7" x14ac:dyDescent="0.35">
      <c r="A338" t="s">
        <v>727</v>
      </c>
      <c r="B338" s="2">
        <v>45794</v>
      </c>
      <c r="C338" t="s">
        <v>63</v>
      </c>
      <c r="D338" t="s">
        <v>283</v>
      </c>
      <c r="E338" t="s">
        <v>403</v>
      </c>
      <c r="F338">
        <v>5</v>
      </c>
      <c r="G338">
        <v>43840</v>
      </c>
    </row>
    <row r="339" spans="1:7" x14ac:dyDescent="0.35">
      <c r="A339" t="s">
        <v>728</v>
      </c>
      <c r="B339" s="2">
        <v>45767</v>
      </c>
      <c r="C339" t="s">
        <v>41</v>
      </c>
      <c r="D339" t="s">
        <v>159</v>
      </c>
      <c r="E339" t="s">
        <v>389</v>
      </c>
      <c r="F339">
        <v>8</v>
      </c>
      <c r="G339">
        <v>170096</v>
      </c>
    </row>
    <row r="340" spans="1:7" x14ac:dyDescent="0.35">
      <c r="A340" t="s">
        <v>729</v>
      </c>
      <c r="B340" s="2">
        <v>45920</v>
      </c>
      <c r="C340" t="s">
        <v>41</v>
      </c>
      <c r="D340" t="s">
        <v>177</v>
      </c>
      <c r="E340" t="s">
        <v>394</v>
      </c>
      <c r="F340">
        <v>2</v>
      </c>
      <c r="G340">
        <v>42524</v>
      </c>
    </row>
    <row r="341" spans="1:7" x14ac:dyDescent="0.35">
      <c r="A341" t="s">
        <v>730</v>
      </c>
      <c r="B341" s="2">
        <v>45694</v>
      </c>
      <c r="C341" t="s">
        <v>37</v>
      </c>
      <c r="D341" t="s">
        <v>359</v>
      </c>
      <c r="E341" t="s">
        <v>391</v>
      </c>
      <c r="F341">
        <v>2</v>
      </c>
      <c r="G341">
        <v>3906</v>
      </c>
    </row>
    <row r="342" spans="1:7" x14ac:dyDescent="0.35">
      <c r="A342" t="s">
        <v>731</v>
      </c>
      <c r="B342" s="2">
        <v>45846</v>
      </c>
      <c r="C342" t="s">
        <v>57</v>
      </c>
      <c r="D342" t="s">
        <v>353</v>
      </c>
      <c r="E342" t="s">
        <v>391</v>
      </c>
      <c r="F342">
        <v>7</v>
      </c>
      <c r="G342">
        <v>341523</v>
      </c>
    </row>
    <row r="343" spans="1:7" x14ac:dyDescent="0.35">
      <c r="A343" t="s">
        <v>732</v>
      </c>
      <c r="B343" s="2">
        <v>46009</v>
      </c>
      <c r="C343" t="s">
        <v>7</v>
      </c>
      <c r="D343" t="s">
        <v>301</v>
      </c>
      <c r="E343" t="s">
        <v>391</v>
      </c>
      <c r="F343">
        <v>5</v>
      </c>
      <c r="G343">
        <v>130665</v>
      </c>
    </row>
    <row r="344" spans="1:7" x14ac:dyDescent="0.35">
      <c r="A344" t="s">
        <v>733</v>
      </c>
      <c r="B344" s="2">
        <v>46003</v>
      </c>
      <c r="C344" t="s">
        <v>13</v>
      </c>
      <c r="D344" t="s">
        <v>339</v>
      </c>
      <c r="E344" t="s">
        <v>387</v>
      </c>
      <c r="F344">
        <v>2</v>
      </c>
      <c r="G344">
        <v>60354</v>
      </c>
    </row>
    <row r="345" spans="1:7" x14ac:dyDescent="0.35">
      <c r="A345" t="s">
        <v>734</v>
      </c>
      <c r="B345" s="2">
        <v>45916</v>
      </c>
      <c r="C345" t="s">
        <v>57</v>
      </c>
      <c r="D345" t="s">
        <v>269</v>
      </c>
      <c r="E345" t="s">
        <v>389</v>
      </c>
      <c r="F345">
        <v>1</v>
      </c>
      <c r="G345">
        <v>48789</v>
      </c>
    </row>
    <row r="346" spans="1:7" x14ac:dyDescent="0.35">
      <c r="A346" t="s">
        <v>735</v>
      </c>
      <c r="B346" s="2">
        <v>45927</v>
      </c>
      <c r="C346" t="s">
        <v>31</v>
      </c>
      <c r="D346" t="s">
        <v>139</v>
      </c>
      <c r="E346" t="s">
        <v>394</v>
      </c>
      <c r="F346">
        <v>5</v>
      </c>
      <c r="G346">
        <v>149830</v>
      </c>
    </row>
    <row r="347" spans="1:7" x14ac:dyDescent="0.35">
      <c r="A347" t="s">
        <v>736</v>
      </c>
      <c r="B347" s="2">
        <v>45933</v>
      </c>
      <c r="C347" t="s">
        <v>35</v>
      </c>
      <c r="D347" t="s">
        <v>145</v>
      </c>
      <c r="E347" t="s">
        <v>391</v>
      </c>
      <c r="F347">
        <v>10</v>
      </c>
      <c r="G347">
        <v>494600</v>
      </c>
    </row>
    <row r="348" spans="1:7" x14ac:dyDescent="0.35">
      <c r="A348" t="s">
        <v>737</v>
      </c>
      <c r="B348" s="2">
        <v>45782</v>
      </c>
      <c r="C348" t="s">
        <v>63</v>
      </c>
      <c r="D348" t="s">
        <v>81</v>
      </c>
      <c r="E348" t="s">
        <v>387</v>
      </c>
      <c r="F348">
        <v>7</v>
      </c>
      <c r="G348">
        <v>61376</v>
      </c>
    </row>
    <row r="349" spans="1:7" x14ac:dyDescent="0.35">
      <c r="A349" t="s">
        <v>738</v>
      </c>
      <c r="B349" s="2">
        <v>45686</v>
      </c>
      <c r="C349" t="s">
        <v>19</v>
      </c>
      <c r="D349" t="s">
        <v>319</v>
      </c>
      <c r="E349" t="s">
        <v>387</v>
      </c>
      <c r="F349">
        <v>1</v>
      </c>
      <c r="G349">
        <v>42159</v>
      </c>
    </row>
    <row r="350" spans="1:7" x14ac:dyDescent="0.35">
      <c r="A350" t="s">
        <v>739</v>
      </c>
      <c r="B350" s="2">
        <v>45872</v>
      </c>
      <c r="C350" t="s">
        <v>53</v>
      </c>
      <c r="D350" t="s">
        <v>165</v>
      </c>
      <c r="E350" t="s">
        <v>403</v>
      </c>
      <c r="F350">
        <v>6</v>
      </c>
      <c r="G350">
        <v>25248</v>
      </c>
    </row>
    <row r="351" spans="1:7" x14ac:dyDescent="0.35">
      <c r="A351" t="s">
        <v>740</v>
      </c>
      <c r="B351" s="2">
        <v>45764</v>
      </c>
      <c r="C351" t="s">
        <v>63</v>
      </c>
      <c r="D351" t="s">
        <v>209</v>
      </c>
      <c r="E351" t="s">
        <v>391</v>
      </c>
      <c r="F351">
        <v>6</v>
      </c>
      <c r="G351">
        <v>52608</v>
      </c>
    </row>
    <row r="352" spans="1:7" x14ac:dyDescent="0.35">
      <c r="A352" t="s">
        <v>741</v>
      </c>
      <c r="B352" s="2">
        <v>45956</v>
      </c>
      <c r="C352" t="s">
        <v>23</v>
      </c>
      <c r="D352" t="s">
        <v>91</v>
      </c>
      <c r="E352" t="s">
        <v>391</v>
      </c>
      <c r="F352">
        <v>6</v>
      </c>
      <c r="G352">
        <v>36414</v>
      </c>
    </row>
    <row r="353" spans="1:7" x14ac:dyDescent="0.35">
      <c r="A353" t="s">
        <v>742</v>
      </c>
      <c r="B353" s="2">
        <v>45911</v>
      </c>
      <c r="C353" t="s">
        <v>51</v>
      </c>
      <c r="D353" t="s">
        <v>307</v>
      </c>
      <c r="E353" t="s">
        <v>387</v>
      </c>
      <c r="F353">
        <v>4</v>
      </c>
      <c r="G353">
        <v>125756</v>
      </c>
    </row>
    <row r="354" spans="1:7" x14ac:dyDescent="0.35">
      <c r="A354" t="s">
        <v>743</v>
      </c>
      <c r="B354" s="2">
        <v>45814</v>
      </c>
      <c r="C354" t="s">
        <v>49</v>
      </c>
      <c r="D354" t="s">
        <v>115</v>
      </c>
      <c r="E354" t="s">
        <v>387</v>
      </c>
      <c r="F354">
        <v>6</v>
      </c>
      <c r="G354">
        <v>273084</v>
      </c>
    </row>
    <row r="355" spans="1:7" x14ac:dyDescent="0.35">
      <c r="A355" t="s">
        <v>744</v>
      </c>
      <c r="B355" s="2">
        <v>45784</v>
      </c>
      <c r="C355" t="s">
        <v>19</v>
      </c>
      <c r="D355" t="s">
        <v>329</v>
      </c>
      <c r="E355" t="s">
        <v>391</v>
      </c>
      <c r="F355">
        <v>7</v>
      </c>
      <c r="G355">
        <v>295113</v>
      </c>
    </row>
    <row r="356" spans="1:7" x14ac:dyDescent="0.35">
      <c r="A356" t="s">
        <v>745</v>
      </c>
      <c r="B356" s="2">
        <v>45747</v>
      </c>
      <c r="C356" t="s">
        <v>25</v>
      </c>
      <c r="D356" t="s">
        <v>331</v>
      </c>
      <c r="E356" t="s">
        <v>394</v>
      </c>
      <c r="F356">
        <v>9</v>
      </c>
      <c r="G356">
        <v>164187</v>
      </c>
    </row>
    <row r="357" spans="1:7" x14ac:dyDescent="0.35">
      <c r="A357" t="s">
        <v>746</v>
      </c>
      <c r="B357" s="2">
        <v>45712</v>
      </c>
      <c r="C357" t="s">
        <v>57</v>
      </c>
      <c r="D357" t="s">
        <v>239</v>
      </c>
      <c r="E357" t="s">
        <v>389</v>
      </c>
      <c r="F357">
        <v>6</v>
      </c>
      <c r="G357">
        <v>292734</v>
      </c>
    </row>
    <row r="358" spans="1:7" x14ac:dyDescent="0.35">
      <c r="A358" t="s">
        <v>747</v>
      </c>
      <c r="B358" s="2">
        <v>45835</v>
      </c>
      <c r="C358" t="s">
        <v>31</v>
      </c>
      <c r="D358" t="s">
        <v>141</v>
      </c>
      <c r="E358" t="s">
        <v>403</v>
      </c>
      <c r="F358">
        <v>8</v>
      </c>
      <c r="G358">
        <v>239728</v>
      </c>
    </row>
    <row r="359" spans="1:7" x14ac:dyDescent="0.35">
      <c r="A359" t="s">
        <v>748</v>
      </c>
      <c r="B359" s="2">
        <v>45999</v>
      </c>
      <c r="C359" t="s">
        <v>4</v>
      </c>
      <c r="D359" t="s">
        <v>101</v>
      </c>
      <c r="E359" t="s">
        <v>391</v>
      </c>
      <c r="F359">
        <v>7</v>
      </c>
      <c r="G359">
        <v>82705</v>
      </c>
    </row>
    <row r="360" spans="1:7" x14ac:dyDescent="0.35">
      <c r="A360" t="s">
        <v>749</v>
      </c>
      <c r="B360" s="2">
        <v>45662</v>
      </c>
      <c r="C360" t="s">
        <v>49</v>
      </c>
      <c r="D360" t="s">
        <v>91</v>
      </c>
      <c r="E360" t="s">
        <v>391</v>
      </c>
      <c r="F360">
        <v>3</v>
      </c>
      <c r="G360">
        <v>136542</v>
      </c>
    </row>
    <row r="361" spans="1:7" x14ac:dyDescent="0.35">
      <c r="A361" t="s">
        <v>750</v>
      </c>
      <c r="B361" s="2">
        <v>45660</v>
      </c>
      <c r="C361" t="s">
        <v>47</v>
      </c>
      <c r="D361" t="s">
        <v>279</v>
      </c>
      <c r="E361" t="s">
        <v>387</v>
      </c>
      <c r="F361">
        <v>4</v>
      </c>
      <c r="G361">
        <v>88248</v>
      </c>
    </row>
    <row r="362" spans="1:7" x14ac:dyDescent="0.35">
      <c r="A362" t="s">
        <v>751</v>
      </c>
      <c r="B362" s="2">
        <v>45845</v>
      </c>
      <c r="C362" t="s">
        <v>41</v>
      </c>
      <c r="D362" t="s">
        <v>157</v>
      </c>
      <c r="E362" t="s">
        <v>391</v>
      </c>
      <c r="F362">
        <v>3</v>
      </c>
      <c r="G362">
        <v>63786</v>
      </c>
    </row>
    <row r="363" spans="1:7" x14ac:dyDescent="0.35">
      <c r="A363" t="s">
        <v>752</v>
      </c>
      <c r="B363" s="2">
        <v>45713</v>
      </c>
      <c r="C363" t="s">
        <v>13</v>
      </c>
      <c r="D363" t="s">
        <v>115</v>
      </c>
      <c r="E363" t="s">
        <v>389</v>
      </c>
      <c r="F363">
        <v>1</v>
      </c>
      <c r="G363">
        <v>30177</v>
      </c>
    </row>
    <row r="364" spans="1:7" x14ac:dyDescent="0.35">
      <c r="A364" t="s">
        <v>753</v>
      </c>
      <c r="B364" s="2">
        <v>45876</v>
      </c>
      <c r="C364" t="s">
        <v>63</v>
      </c>
      <c r="D364" t="s">
        <v>193</v>
      </c>
      <c r="E364" t="s">
        <v>403</v>
      </c>
      <c r="F364">
        <v>9</v>
      </c>
      <c r="G364">
        <v>78912</v>
      </c>
    </row>
    <row r="365" spans="1:7" x14ac:dyDescent="0.35">
      <c r="A365" t="s">
        <v>754</v>
      </c>
      <c r="B365" s="2">
        <v>45791</v>
      </c>
      <c r="C365" t="s">
        <v>41</v>
      </c>
      <c r="D365" t="s">
        <v>151</v>
      </c>
      <c r="E365" t="s">
        <v>394</v>
      </c>
      <c r="F365">
        <v>8</v>
      </c>
      <c r="G365">
        <v>170096</v>
      </c>
    </row>
    <row r="366" spans="1:7" x14ac:dyDescent="0.35">
      <c r="A366" t="s">
        <v>755</v>
      </c>
      <c r="B366" s="2">
        <v>45740</v>
      </c>
      <c r="C366" t="s">
        <v>25</v>
      </c>
      <c r="D366" t="s">
        <v>257</v>
      </c>
      <c r="E366" t="s">
        <v>387</v>
      </c>
      <c r="F366">
        <v>10</v>
      </c>
      <c r="G366">
        <v>182430</v>
      </c>
    </row>
    <row r="367" spans="1:7" x14ac:dyDescent="0.35">
      <c r="A367" t="s">
        <v>756</v>
      </c>
      <c r="B367" s="2">
        <v>45835</v>
      </c>
      <c r="C367" t="s">
        <v>25</v>
      </c>
      <c r="D367" t="s">
        <v>343</v>
      </c>
      <c r="E367" t="s">
        <v>403</v>
      </c>
      <c r="F367">
        <v>5</v>
      </c>
      <c r="G367">
        <v>91215</v>
      </c>
    </row>
    <row r="368" spans="1:7" x14ac:dyDescent="0.35">
      <c r="A368" t="s">
        <v>757</v>
      </c>
      <c r="B368" s="2">
        <v>45691</v>
      </c>
      <c r="C368" t="s">
        <v>67</v>
      </c>
      <c r="D368" t="s">
        <v>315</v>
      </c>
      <c r="E368" t="s">
        <v>391</v>
      </c>
      <c r="F368">
        <v>4</v>
      </c>
      <c r="G368">
        <v>86464</v>
      </c>
    </row>
    <row r="369" spans="1:7" x14ac:dyDescent="0.35">
      <c r="A369" t="s">
        <v>758</v>
      </c>
      <c r="B369" s="2">
        <v>45689</v>
      </c>
      <c r="C369" t="s">
        <v>59</v>
      </c>
      <c r="D369" t="s">
        <v>309</v>
      </c>
      <c r="E369" t="s">
        <v>394</v>
      </c>
      <c r="F369">
        <v>1</v>
      </c>
      <c r="G369">
        <v>48106</v>
      </c>
    </row>
    <row r="370" spans="1:7" x14ac:dyDescent="0.35">
      <c r="A370" t="s">
        <v>759</v>
      </c>
      <c r="B370" s="2">
        <v>45791</v>
      </c>
      <c r="C370" t="s">
        <v>43</v>
      </c>
      <c r="D370" t="s">
        <v>74</v>
      </c>
      <c r="E370" t="s">
        <v>403</v>
      </c>
      <c r="F370">
        <v>4</v>
      </c>
      <c r="G370">
        <v>151300</v>
      </c>
    </row>
    <row r="371" spans="1:7" x14ac:dyDescent="0.35">
      <c r="A371" t="s">
        <v>760</v>
      </c>
      <c r="B371" s="2">
        <v>45731</v>
      </c>
      <c r="C371" t="s">
        <v>7</v>
      </c>
      <c r="D371" t="s">
        <v>107</v>
      </c>
      <c r="E371" t="s">
        <v>391</v>
      </c>
      <c r="F371">
        <v>8</v>
      </c>
      <c r="G371">
        <v>209064</v>
      </c>
    </row>
    <row r="372" spans="1:7" x14ac:dyDescent="0.35">
      <c r="A372" t="s">
        <v>761</v>
      </c>
      <c r="B372" s="2">
        <v>45678</v>
      </c>
      <c r="C372" t="s">
        <v>65</v>
      </c>
      <c r="D372" t="s">
        <v>235</v>
      </c>
      <c r="E372" t="s">
        <v>389</v>
      </c>
      <c r="F372">
        <v>4</v>
      </c>
      <c r="G372">
        <v>2180</v>
      </c>
    </row>
    <row r="373" spans="1:7" x14ac:dyDescent="0.35">
      <c r="A373" t="s">
        <v>762</v>
      </c>
      <c r="B373" s="2">
        <v>45756</v>
      </c>
      <c r="C373" t="s">
        <v>53</v>
      </c>
      <c r="D373" t="s">
        <v>361</v>
      </c>
      <c r="E373" t="s">
        <v>389</v>
      </c>
      <c r="F373">
        <v>4</v>
      </c>
      <c r="G373">
        <v>16832</v>
      </c>
    </row>
    <row r="374" spans="1:7" x14ac:dyDescent="0.35">
      <c r="A374" t="s">
        <v>763</v>
      </c>
      <c r="B374" s="2">
        <v>45723</v>
      </c>
      <c r="C374" t="s">
        <v>21</v>
      </c>
      <c r="D374" t="s">
        <v>273</v>
      </c>
      <c r="E374" t="s">
        <v>387</v>
      </c>
      <c r="F374">
        <v>10</v>
      </c>
      <c r="G374">
        <v>152090</v>
      </c>
    </row>
    <row r="375" spans="1:7" x14ac:dyDescent="0.35">
      <c r="A375" t="s">
        <v>764</v>
      </c>
      <c r="B375" s="2">
        <v>45983</v>
      </c>
      <c r="C375" t="s">
        <v>51</v>
      </c>
      <c r="D375" t="s">
        <v>183</v>
      </c>
      <c r="E375" t="s">
        <v>391</v>
      </c>
      <c r="F375">
        <v>5</v>
      </c>
      <c r="G375">
        <v>157195</v>
      </c>
    </row>
    <row r="376" spans="1:7" x14ac:dyDescent="0.35">
      <c r="A376" t="s">
        <v>765</v>
      </c>
      <c r="B376" s="2">
        <v>45939</v>
      </c>
      <c r="C376" t="s">
        <v>23</v>
      </c>
      <c r="D376" t="s">
        <v>251</v>
      </c>
      <c r="E376" t="s">
        <v>391</v>
      </c>
      <c r="F376">
        <v>6</v>
      </c>
      <c r="G376">
        <v>36414</v>
      </c>
    </row>
    <row r="377" spans="1:7" x14ac:dyDescent="0.35">
      <c r="A377" t="s">
        <v>766</v>
      </c>
      <c r="B377" s="2">
        <v>45708</v>
      </c>
      <c r="C377" t="s">
        <v>27</v>
      </c>
      <c r="D377" t="s">
        <v>357</v>
      </c>
      <c r="E377" t="s">
        <v>391</v>
      </c>
      <c r="F377">
        <v>1</v>
      </c>
      <c r="G377">
        <v>37684</v>
      </c>
    </row>
    <row r="378" spans="1:7" x14ac:dyDescent="0.35">
      <c r="A378" t="s">
        <v>767</v>
      </c>
      <c r="B378" s="2">
        <v>46000</v>
      </c>
      <c r="C378" t="s">
        <v>51</v>
      </c>
      <c r="D378" t="s">
        <v>237</v>
      </c>
      <c r="E378" t="s">
        <v>389</v>
      </c>
      <c r="F378">
        <v>1</v>
      </c>
      <c r="G378">
        <v>31439</v>
      </c>
    </row>
    <row r="379" spans="1:7" x14ac:dyDescent="0.35">
      <c r="A379" t="s">
        <v>768</v>
      </c>
      <c r="B379" s="2">
        <v>45897</v>
      </c>
      <c r="C379" t="s">
        <v>7</v>
      </c>
      <c r="D379" t="s">
        <v>343</v>
      </c>
      <c r="E379" t="s">
        <v>394</v>
      </c>
      <c r="F379">
        <v>9</v>
      </c>
      <c r="G379">
        <v>235197</v>
      </c>
    </row>
    <row r="380" spans="1:7" x14ac:dyDescent="0.35">
      <c r="A380" t="s">
        <v>769</v>
      </c>
      <c r="B380" s="2">
        <v>45967</v>
      </c>
      <c r="C380" t="s">
        <v>47</v>
      </c>
      <c r="D380" t="s">
        <v>183</v>
      </c>
      <c r="E380" t="s">
        <v>394</v>
      </c>
      <c r="F380">
        <v>4</v>
      </c>
      <c r="G380">
        <v>88248</v>
      </c>
    </row>
    <row r="381" spans="1:7" x14ac:dyDescent="0.35">
      <c r="A381" t="s">
        <v>770</v>
      </c>
      <c r="B381" s="2">
        <v>45894</v>
      </c>
      <c r="C381" t="s">
        <v>65</v>
      </c>
      <c r="D381" t="s">
        <v>107</v>
      </c>
      <c r="E381" t="s">
        <v>391</v>
      </c>
      <c r="F381">
        <v>4</v>
      </c>
      <c r="G381">
        <v>2180</v>
      </c>
    </row>
    <row r="382" spans="1:7" x14ac:dyDescent="0.35">
      <c r="A382" t="s">
        <v>771</v>
      </c>
      <c r="B382" s="2">
        <v>45850</v>
      </c>
      <c r="C382" t="s">
        <v>33</v>
      </c>
      <c r="D382" t="s">
        <v>323</v>
      </c>
      <c r="E382" t="s">
        <v>391</v>
      </c>
      <c r="F382">
        <v>7</v>
      </c>
      <c r="G382">
        <v>253771</v>
      </c>
    </row>
    <row r="383" spans="1:7" x14ac:dyDescent="0.35">
      <c r="A383" t="s">
        <v>772</v>
      </c>
      <c r="B383" s="2">
        <v>45878</v>
      </c>
      <c r="C383" t="s">
        <v>27</v>
      </c>
      <c r="D383" t="s">
        <v>353</v>
      </c>
      <c r="E383" t="s">
        <v>394</v>
      </c>
      <c r="F383">
        <v>9</v>
      </c>
      <c r="G383">
        <v>339156</v>
      </c>
    </row>
    <row r="384" spans="1:7" x14ac:dyDescent="0.35">
      <c r="A384" t="s">
        <v>773</v>
      </c>
      <c r="B384" s="2">
        <v>45755</v>
      </c>
      <c r="C384" t="s">
        <v>59</v>
      </c>
      <c r="D384" t="s">
        <v>189</v>
      </c>
      <c r="E384" t="s">
        <v>391</v>
      </c>
      <c r="F384">
        <v>2</v>
      </c>
      <c r="G384">
        <v>96212</v>
      </c>
    </row>
    <row r="385" spans="1:7" x14ac:dyDescent="0.35">
      <c r="A385" t="s">
        <v>774</v>
      </c>
      <c r="B385" s="2">
        <v>45816</v>
      </c>
      <c r="C385" t="s">
        <v>33</v>
      </c>
      <c r="D385" t="s">
        <v>173</v>
      </c>
      <c r="E385" t="s">
        <v>387</v>
      </c>
      <c r="F385">
        <v>5</v>
      </c>
      <c r="G385">
        <v>181265</v>
      </c>
    </row>
    <row r="386" spans="1:7" x14ac:dyDescent="0.35">
      <c r="A386" t="s">
        <v>775</v>
      </c>
      <c r="B386" s="2">
        <v>45949</v>
      </c>
      <c r="C386" t="s">
        <v>21</v>
      </c>
      <c r="D386" t="s">
        <v>107</v>
      </c>
      <c r="E386" t="s">
        <v>403</v>
      </c>
      <c r="F386">
        <v>9</v>
      </c>
      <c r="G386">
        <v>136881</v>
      </c>
    </row>
    <row r="387" spans="1:7" x14ac:dyDescent="0.35">
      <c r="A387" t="s">
        <v>776</v>
      </c>
      <c r="B387" s="2">
        <v>45735</v>
      </c>
      <c r="C387" t="s">
        <v>53</v>
      </c>
      <c r="D387" t="s">
        <v>361</v>
      </c>
      <c r="E387" t="s">
        <v>391</v>
      </c>
      <c r="F387">
        <v>8</v>
      </c>
      <c r="G387">
        <v>33664</v>
      </c>
    </row>
    <row r="388" spans="1:7" x14ac:dyDescent="0.35">
      <c r="A388" t="s">
        <v>777</v>
      </c>
      <c r="B388" s="2">
        <v>45688</v>
      </c>
      <c r="C388" t="s">
        <v>23</v>
      </c>
      <c r="D388" t="s">
        <v>213</v>
      </c>
      <c r="E388" t="s">
        <v>391</v>
      </c>
      <c r="F388">
        <v>8</v>
      </c>
      <c r="G388">
        <v>48552</v>
      </c>
    </row>
    <row r="389" spans="1:7" x14ac:dyDescent="0.35">
      <c r="A389" t="s">
        <v>778</v>
      </c>
      <c r="B389" s="2">
        <v>45964</v>
      </c>
      <c r="C389" t="s">
        <v>7</v>
      </c>
      <c r="D389" t="s">
        <v>353</v>
      </c>
      <c r="E389" t="s">
        <v>394</v>
      </c>
      <c r="F389">
        <v>4</v>
      </c>
      <c r="G389">
        <v>104532</v>
      </c>
    </row>
    <row r="390" spans="1:7" x14ac:dyDescent="0.35">
      <c r="A390" t="s">
        <v>779</v>
      </c>
      <c r="B390" s="2">
        <v>45916</v>
      </c>
      <c r="C390" t="s">
        <v>55</v>
      </c>
      <c r="D390" t="s">
        <v>173</v>
      </c>
      <c r="E390" t="s">
        <v>387</v>
      </c>
      <c r="F390">
        <v>7</v>
      </c>
      <c r="G390">
        <v>79905</v>
      </c>
    </row>
    <row r="391" spans="1:7" x14ac:dyDescent="0.35">
      <c r="A391" t="s">
        <v>780</v>
      </c>
      <c r="B391" s="2">
        <v>45897</v>
      </c>
      <c r="C391" t="s">
        <v>41</v>
      </c>
      <c r="D391" t="s">
        <v>311</v>
      </c>
      <c r="E391" t="s">
        <v>391</v>
      </c>
      <c r="F391">
        <v>6</v>
      </c>
      <c r="G391">
        <v>127572</v>
      </c>
    </row>
    <row r="392" spans="1:7" x14ac:dyDescent="0.35">
      <c r="A392" t="s">
        <v>781</v>
      </c>
      <c r="B392" s="2">
        <v>46019</v>
      </c>
      <c r="C392" t="s">
        <v>55</v>
      </c>
      <c r="D392" t="s">
        <v>309</v>
      </c>
      <c r="E392" t="s">
        <v>391</v>
      </c>
      <c r="F392">
        <v>4</v>
      </c>
      <c r="G392">
        <v>45660</v>
      </c>
    </row>
    <row r="393" spans="1:7" x14ac:dyDescent="0.35">
      <c r="A393" t="s">
        <v>782</v>
      </c>
      <c r="B393" s="2">
        <v>45778</v>
      </c>
      <c r="C393" t="s">
        <v>41</v>
      </c>
      <c r="D393" t="s">
        <v>139</v>
      </c>
      <c r="E393" t="s">
        <v>389</v>
      </c>
      <c r="F393">
        <v>2</v>
      </c>
      <c r="G393">
        <v>42524</v>
      </c>
    </row>
    <row r="394" spans="1:7" x14ac:dyDescent="0.35">
      <c r="A394" t="s">
        <v>783</v>
      </c>
      <c r="B394" s="2">
        <v>45802</v>
      </c>
      <c r="C394" t="s">
        <v>23</v>
      </c>
      <c r="D394" t="s">
        <v>367</v>
      </c>
      <c r="E394" t="s">
        <v>394</v>
      </c>
      <c r="F394">
        <v>7</v>
      </c>
      <c r="G394">
        <v>42483</v>
      </c>
    </row>
    <row r="395" spans="1:7" x14ac:dyDescent="0.35">
      <c r="A395" t="s">
        <v>784</v>
      </c>
      <c r="B395" s="2">
        <v>45998</v>
      </c>
      <c r="C395" t="s">
        <v>43</v>
      </c>
      <c r="D395" t="s">
        <v>311</v>
      </c>
      <c r="E395" t="s">
        <v>391</v>
      </c>
      <c r="F395">
        <v>9</v>
      </c>
      <c r="G395">
        <v>340425</v>
      </c>
    </row>
    <row r="396" spans="1:7" x14ac:dyDescent="0.35">
      <c r="A396" t="s">
        <v>785</v>
      </c>
      <c r="B396" s="2">
        <v>45819</v>
      </c>
      <c r="C396" t="s">
        <v>16</v>
      </c>
      <c r="D396" t="s">
        <v>275</v>
      </c>
      <c r="E396" t="s">
        <v>403</v>
      </c>
      <c r="F396">
        <v>1</v>
      </c>
      <c r="G396">
        <v>31962</v>
      </c>
    </row>
    <row r="397" spans="1:7" x14ac:dyDescent="0.35">
      <c r="A397" t="s">
        <v>786</v>
      </c>
      <c r="B397" s="2">
        <v>45754</v>
      </c>
      <c r="C397" t="s">
        <v>21</v>
      </c>
      <c r="D397" t="s">
        <v>227</v>
      </c>
      <c r="E397" t="s">
        <v>391</v>
      </c>
      <c r="F397">
        <v>7</v>
      </c>
      <c r="G397">
        <v>106463</v>
      </c>
    </row>
    <row r="398" spans="1:7" x14ac:dyDescent="0.35">
      <c r="A398" t="s">
        <v>787</v>
      </c>
      <c r="B398" s="2">
        <v>45873</v>
      </c>
      <c r="C398" t="s">
        <v>45</v>
      </c>
      <c r="D398" t="s">
        <v>109</v>
      </c>
      <c r="E398" t="s">
        <v>403</v>
      </c>
      <c r="F398">
        <v>9</v>
      </c>
      <c r="G398">
        <v>70434</v>
      </c>
    </row>
    <row r="399" spans="1:7" x14ac:dyDescent="0.35">
      <c r="A399" t="s">
        <v>788</v>
      </c>
      <c r="B399" s="2">
        <v>45953</v>
      </c>
      <c r="C399" t="s">
        <v>43</v>
      </c>
      <c r="D399" t="s">
        <v>235</v>
      </c>
      <c r="E399" t="s">
        <v>403</v>
      </c>
      <c r="F399">
        <v>10</v>
      </c>
      <c r="G399">
        <v>378250</v>
      </c>
    </row>
    <row r="400" spans="1:7" x14ac:dyDescent="0.35">
      <c r="A400" t="s">
        <v>789</v>
      </c>
      <c r="B400" s="2">
        <v>45747</v>
      </c>
      <c r="C400" t="s">
        <v>41</v>
      </c>
      <c r="D400" t="s">
        <v>111</v>
      </c>
      <c r="E400" t="s">
        <v>394</v>
      </c>
      <c r="F400">
        <v>8</v>
      </c>
      <c r="G400">
        <v>170096</v>
      </c>
    </row>
    <row r="401" spans="1:7" x14ac:dyDescent="0.35">
      <c r="A401" t="s">
        <v>790</v>
      </c>
      <c r="B401" s="2">
        <v>45751</v>
      </c>
      <c r="C401" t="s">
        <v>19</v>
      </c>
      <c r="D401" t="s">
        <v>247</v>
      </c>
      <c r="E401" t="s">
        <v>389</v>
      </c>
      <c r="F401">
        <v>6</v>
      </c>
      <c r="G401">
        <v>252954</v>
      </c>
    </row>
    <row r="402" spans="1:7" x14ac:dyDescent="0.35">
      <c r="A402" t="s">
        <v>791</v>
      </c>
      <c r="B402" s="2">
        <v>45769</v>
      </c>
      <c r="C402" t="s">
        <v>25</v>
      </c>
      <c r="D402" t="s">
        <v>355</v>
      </c>
      <c r="E402" t="s">
        <v>403</v>
      </c>
      <c r="F402">
        <v>10</v>
      </c>
      <c r="G402">
        <v>182430</v>
      </c>
    </row>
    <row r="403" spans="1:7" x14ac:dyDescent="0.35">
      <c r="A403" t="s">
        <v>792</v>
      </c>
      <c r="B403" s="2">
        <v>45670</v>
      </c>
      <c r="C403" t="s">
        <v>16</v>
      </c>
      <c r="D403" t="s">
        <v>321</v>
      </c>
      <c r="E403" t="s">
        <v>394</v>
      </c>
      <c r="F403">
        <v>6</v>
      </c>
      <c r="G403">
        <v>191772</v>
      </c>
    </row>
    <row r="404" spans="1:7" x14ac:dyDescent="0.35">
      <c r="A404" t="s">
        <v>793</v>
      </c>
      <c r="B404" s="2">
        <v>45732</v>
      </c>
      <c r="C404" t="s">
        <v>4</v>
      </c>
      <c r="D404" t="s">
        <v>353</v>
      </c>
      <c r="E404" t="s">
        <v>387</v>
      </c>
      <c r="F404">
        <v>10</v>
      </c>
      <c r="G404">
        <v>118150</v>
      </c>
    </row>
    <row r="405" spans="1:7" x14ac:dyDescent="0.35">
      <c r="A405" t="s">
        <v>794</v>
      </c>
      <c r="B405" s="2">
        <v>45841</v>
      </c>
      <c r="C405" t="s">
        <v>23</v>
      </c>
      <c r="D405" t="s">
        <v>221</v>
      </c>
      <c r="E405" t="s">
        <v>387</v>
      </c>
      <c r="F405">
        <v>2</v>
      </c>
      <c r="G405">
        <v>12138</v>
      </c>
    </row>
    <row r="406" spans="1:7" x14ac:dyDescent="0.35">
      <c r="A406" t="s">
        <v>795</v>
      </c>
      <c r="B406" s="2">
        <v>46022</v>
      </c>
      <c r="C406" t="s">
        <v>55</v>
      </c>
      <c r="D406" t="s">
        <v>271</v>
      </c>
      <c r="E406" t="s">
        <v>389</v>
      </c>
      <c r="F406">
        <v>7</v>
      </c>
      <c r="G406">
        <v>79905</v>
      </c>
    </row>
    <row r="407" spans="1:7" x14ac:dyDescent="0.35">
      <c r="A407" t="s">
        <v>796</v>
      </c>
      <c r="B407" s="2">
        <v>45726</v>
      </c>
      <c r="C407" t="s">
        <v>59</v>
      </c>
      <c r="D407" t="s">
        <v>221</v>
      </c>
      <c r="E407" t="s">
        <v>387</v>
      </c>
      <c r="F407">
        <v>3</v>
      </c>
      <c r="G407">
        <v>144318</v>
      </c>
    </row>
    <row r="408" spans="1:7" x14ac:dyDescent="0.35">
      <c r="A408" t="s">
        <v>797</v>
      </c>
      <c r="B408" s="2">
        <v>45810</v>
      </c>
      <c r="C408" t="s">
        <v>55</v>
      </c>
      <c r="D408" t="s">
        <v>151</v>
      </c>
      <c r="E408" t="s">
        <v>387</v>
      </c>
      <c r="F408">
        <v>3</v>
      </c>
      <c r="G408">
        <v>34245</v>
      </c>
    </row>
    <row r="409" spans="1:7" x14ac:dyDescent="0.35">
      <c r="A409" t="s">
        <v>798</v>
      </c>
      <c r="B409" s="2">
        <v>45763</v>
      </c>
      <c r="C409" t="s">
        <v>41</v>
      </c>
      <c r="D409" t="s">
        <v>101</v>
      </c>
      <c r="E409" t="s">
        <v>391</v>
      </c>
      <c r="F409">
        <v>8</v>
      </c>
      <c r="G409">
        <v>170096</v>
      </c>
    </row>
    <row r="410" spans="1:7" x14ac:dyDescent="0.35">
      <c r="A410" t="s">
        <v>799</v>
      </c>
      <c r="B410" s="2">
        <v>45930</v>
      </c>
      <c r="C410" t="s">
        <v>59</v>
      </c>
      <c r="D410" t="s">
        <v>103</v>
      </c>
      <c r="E410" t="s">
        <v>391</v>
      </c>
      <c r="F410">
        <v>5</v>
      </c>
      <c r="G410">
        <v>240530</v>
      </c>
    </row>
    <row r="411" spans="1:7" x14ac:dyDescent="0.35">
      <c r="A411" t="s">
        <v>800</v>
      </c>
      <c r="B411" s="2">
        <v>45880</v>
      </c>
      <c r="C411" t="s">
        <v>65</v>
      </c>
      <c r="D411" t="s">
        <v>377</v>
      </c>
      <c r="E411" t="s">
        <v>391</v>
      </c>
      <c r="F411">
        <v>6</v>
      </c>
      <c r="G411">
        <v>3270</v>
      </c>
    </row>
    <row r="412" spans="1:7" x14ac:dyDescent="0.35">
      <c r="A412" t="s">
        <v>801</v>
      </c>
      <c r="B412" s="2">
        <v>45714</v>
      </c>
      <c r="C412" t="s">
        <v>45</v>
      </c>
      <c r="D412" t="s">
        <v>133</v>
      </c>
      <c r="E412" t="s">
        <v>389</v>
      </c>
      <c r="F412">
        <v>10</v>
      </c>
      <c r="G412">
        <v>78260</v>
      </c>
    </row>
    <row r="413" spans="1:7" x14ac:dyDescent="0.35">
      <c r="A413" t="s">
        <v>802</v>
      </c>
      <c r="B413" s="2">
        <v>45849</v>
      </c>
      <c r="C413" t="s">
        <v>4</v>
      </c>
      <c r="D413" t="s">
        <v>237</v>
      </c>
      <c r="E413" t="s">
        <v>391</v>
      </c>
      <c r="F413">
        <v>8</v>
      </c>
      <c r="G413">
        <v>94520</v>
      </c>
    </row>
    <row r="414" spans="1:7" x14ac:dyDescent="0.35">
      <c r="A414" t="s">
        <v>803</v>
      </c>
      <c r="B414" s="2">
        <v>45995</v>
      </c>
      <c r="C414" t="s">
        <v>31</v>
      </c>
      <c r="D414" t="s">
        <v>165</v>
      </c>
      <c r="E414" t="s">
        <v>391</v>
      </c>
      <c r="F414">
        <v>7</v>
      </c>
      <c r="G414">
        <v>209762</v>
      </c>
    </row>
    <row r="415" spans="1:7" x14ac:dyDescent="0.35">
      <c r="A415" t="s">
        <v>804</v>
      </c>
      <c r="B415" s="2">
        <v>45726</v>
      </c>
      <c r="C415" t="s">
        <v>45</v>
      </c>
      <c r="D415" t="s">
        <v>101</v>
      </c>
      <c r="E415" t="s">
        <v>389</v>
      </c>
      <c r="F415">
        <v>10</v>
      </c>
      <c r="G415">
        <v>78260</v>
      </c>
    </row>
    <row r="416" spans="1:7" x14ac:dyDescent="0.35">
      <c r="A416" t="s">
        <v>805</v>
      </c>
      <c r="B416" s="2">
        <v>45944</v>
      </c>
      <c r="C416" t="s">
        <v>43</v>
      </c>
      <c r="D416" t="s">
        <v>375</v>
      </c>
      <c r="E416" t="s">
        <v>387</v>
      </c>
      <c r="F416">
        <v>6</v>
      </c>
      <c r="G416">
        <v>226950</v>
      </c>
    </row>
    <row r="417" spans="1:7" x14ac:dyDescent="0.35">
      <c r="A417" t="s">
        <v>806</v>
      </c>
      <c r="B417" s="2">
        <v>45710</v>
      </c>
      <c r="C417" t="s">
        <v>39</v>
      </c>
      <c r="D417" t="s">
        <v>113</v>
      </c>
      <c r="E417" t="s">
        <v>387</v>
      </c>
      <c r="F417">
        <v>1</v>
      </c>
      <c r="G417">
        <v>48288</v>
      </c>
    </row>
    <row r="418" spans="1:7" x14ac:dyDescent="0.35">
      <c r="A418" t="s">
        <v>807</v>
      </c>
      <c r="B418" s="2">
        <v>46018</v>
      </c>
      <c r="C418" t="s">
        <v>33</v>
      </c>
      <c r="D418" t="s">
        <v>245</v>
      </c>
      <c r="E418" t="s">
        <v>387</v>
      </c>
      <c r="F418">
        <v>9</v>
      </c>
      <c r="G418">
        <v>326277</v>
      </c>
    </row>
    <row r="419" spans="1:7" x14ac:dyDescent="0.35">
      <c r="A419" t="s">
        <v>808</v>
      </c>
      <c r="B419" s="2">
        <v>45819</v>
      </c>
      <c r="C419" t="s">
        <v>37</v>
      </c>
      <c r="D419" t="s">
        <v>99</v>
      </c>
      <c r="E419" t="s">
        <v>387</v>
      </c>
      <c r="F419">
        <v>6</v>
      </c>
      <c r="G419">
        <v>11718</v>
      </c>
    </row>
    <row r="420" spans="1:7" x14ac:dyDescent="0.35">
      <c r="A420" t="s">
        <v>809</v>
      </c>
      <c r="B420" s="2">
        <v>45981</v>
      </c>
      <c r="C420" t="s">
        <v>29</v>
      </c>
      <c r="D420" t="s">
        <v>305</v>
      </c>
      <c r="E420" t="s">
        <v>389</v>
      </c>
      <c r="F420">
        <v>9</v>
      </c>
      <c r="G420">
        <v>383796</v>
      </c>
    </row>
    <row r="421" spans="1:7" x14ac:dyDescent="0.35">
      <c r="A421" t="s">
        <v>810</v>
      </c>
      <c r="B421" s="2">
        <v>45900</v>
      </c>
      <c r="C421" t="s">
        <v>63</v>
      </c>
      <c r="D421" t="s">
        <v>277</v>
      </c>
      <c r="E421" t="s">
        <v>403</v>
      </c>
      <c r="F421">
        <v>5</v>
      </c>
      <c r="G421">
        <v>43840</v>
      </c>
    </row>
    <row r="422" spans="1:7" x14ac:dyDescent="0.35">
      <c r="A422" t="s">
        <v>811</v>
      </c>
      <c r="B422" s="2">
        <v>45849</v>
      </c>
      <c r="C422" t="s">
        <v>37</v>
      </c>
      <c r="D422" t="s">
        <v>167</v>
      </c>
      <c r="E422" t="s">
        <v>403</v>
      </c>
      <c r="F422">
        <v>1</v>
      </c>
      <c r="G422">
        <v>1953</v>
      </c>
    </row>
    <row r="423" spans="1:7" x14ac:dyDescent="0.35">
      <c r="A423" t="s">
        <v>812</v>
      </c>
      <c r="B423" s="2">
        <v>45830</v>
      </c>
      <c r="C423" t="s">
        <v>53</v>
      </c>
      <c r="D423" t="s">
        <v>145</v>
      </c>
      <c r="E423" t="s">
        <v>391</v>
      </c>
      <c r="F423">
        <v>6</v>
      </c>
      <c r="G423">
        <v>25248</v>
      </c>
    </row>
    <row r="424" spans="1:7" x14ac:dyDescent="0.35">
      <c r="A424" t="s">
        <v>813</v>
      </c>
      <c r="B424" s="2">
        <v>45886</v>
      </c>
      <c r="C424" t="s">
        <v>31</v>
      </c>
      <c r="D424" t="s">
        <v>307</v>
      </c>
      <c r="E424" t="s">
        <v>387</v>
      </c>
      <c r="F424">
        <v>10</v>
      </c>
      <c r="G424">
        <v>299660</v>
      </c>
    </row>
    <row r="425" spans="1:7" x14ac:dyDescent="0.35">
      <c r="A425" t="s">
        <v>814</v>
      </c>
      <c r="B425" s="2">
        <v>45914</v>
      </c>
      <c r="C425" t="s">
        <v>10</v>
      </c>
      <c r="D425" t="s">
        <v>81</v>
      </c>
      <c r="E425" t="s">
        <v>391</v>
      </c>
      <c r="F425">
        <v>8</v>
      </c>
      <c r="G425">
        <v>36128</v>
      </c>
    </row>
    <row r="426" spans="1:7" x14ac:dyDescent="0.35">
      <c r="A426" t="s">
        <v>815</v>
      </c>
      <c r="B426" s="2">
        <v>45938</v>
      </c>
      <c r="C426" t="s">
        <v>4</v>
      </c>
      <c r="D426" t="s">
        <v>327</v>
      </c>
      <c r="E426" t="s">
        <v>389</v>
      </c>
      <c r="F426">
        <v>1</v>
      </c>
      <c r="G426">
        <v>11815</v>
      </c>
    </row>
    <row r="427" spans="1:7" x14ac:dyDescent="0.35">
      <c r="A427" t="s">
        <v>816</v>
      </c>
      <c r="B427" s="2">
        <v>45739</v>
      </c>
      <c r="C427" t="s">
        <v>49</v>
      </c>
      <c r="D427" t="s">
        <v>78</v>
      </c>
      <c r="E427" t="s">
        <v>389</v>
      </c>
      <c r="F427">
        <v>3</v>
      </c>
      <c r="G427">
        <v>136542</v>
      </c>
    </row>
    <row r="428" spans="1:7" x14ac:dyDescent="0.35">
      <c r="A428" t="s">
        <v>817</v>
      </c>
      <c r="B428" s="2">
        <v>45719</v>
      </c>
      <c r="C428" t="s">
        <v>27</v>
      </c>
      <c r="D428" t="s">
        <v>357</v>
      </c>
      <c r="E428" t="s">
        <v>387</v>
      </c>
      <c r="F428">
        <v>2</v>
      </c>
      <c r="G428">
        <v>75368</v>
      </c>
    </row>
    <row r="429" spans="1:7" x14ac:dyDescent="0.35">
      <c r="A429" t="s">
        <v>818</v>
      </c>
      <c r="B429" s="2">
        <v>45747</v>
      </c>
      <c r="C429" t="s">
        <v>10</v>
      </c>
      <c r="D429" t="s">
        <v>201</v>
      </c>
      <c r="E429" t="s">
        <v>394</v>
      </c>
      <c r="F429">
        <v>3</v>
      </c>
      <c r="G429">
        <v>13548</v>
      </c>
    </row>
    <row r="430" spans="1:7" x14ac:dyDescent="0.35">
      <c r="A430" t="s">
        <v>819</v>
      </c>
      <c r="B430" s="2">
        <v>45952</v>
      </c>
      <c r="C430" t="s">
        <v>16</v>
      </c>
      <c r="D430" t="s">
        <v>329</v>
      </c>
      <c r="E430" t="s">
        <v>387</v>
      </c>
      <c r="F430">
        <v>5</v>
      </c>
      <c r="G430">
        <v>159810</v>
      </c>
    </row>
    <row r="431" spans="1:7" x14ac:dyDescent="0.35">
      <c r="A431" t="s">
        <v>820</v>
      </c>
      <c r="B431" s="2">
        <v>45808</v>
      </c>
      <c r="C431" t="s">
        <v>25</v>
      </c>
      <c r="D431" t="s">
        <v>241</v>
      </c>
      <c r="E431" t="s">
        <v>403</v>
      </c>
      <c r="F431">
        <v>2</v>
      </c>
      <c r="G431">
        <v>36486</v>
      </c>
    </row>
    <row r="432" spans="1:7" x14ac:dyDescent="0.35">
      <c r="A432" t="s">
        <v>821</v>
      </c>
      <c r="B432" s="2">
        <v>45729</v>
      </c>
      <c r="C432" t="s">
        <v>51</v>
      </c>
      <c r="D432" t="s">
        <v>251</v>
      </c>
      <c r="E432" t="s">
        <v>389</v>
      </c>
      <c r="F432">
        <v>3</v>
      </c>
      <c r="G432">
        <v>94317</v>
      </c>
    </row>
    <row r="433" spans="1:7" x14ac:dyDescent="0.35">
      <c r="A433" t="s">
        <v>822</v>
      </c>
      <c r="B433" s="2">
        <v>45930</v>
      </c>
      <c r="C433" t="s">
        <v>23</v>
      </c>
      <c r="D433" t="s">
        <v>323</v>
      </c>
      <c r="E433" t="s">
        <v>391</v>
      </c>
      <c r="F433">
        <v>8</v>
      </c>
      <c r="G433">
        <v>48552</v>
      </c>
    </row>
    <row r="434" spans="1:7" x14ac:dyDescent="0.35">
      <c r="A434" t="s">
        <v>823</v>
      </c>
      <c r="B434" s="2">
        <v>45827</v>
      </c>
      <c r="C434" t="s">
        <v>45</v>
      </c>
      <c r="D434" t="s">
        <v>209</v>
      </c>
      <c r="E434" t="s">
        <v>387</v>
      </c>
      <c r="F434">
        <v>1</v>
      </c>
      <c r="G434">
        <v>7826</v>
      </c>
    </row>
    <row r="435" spans="1:7" x14ac:dyDescent="0.35">
      <c r="A435" t="s">
        <v>824</v>
      </c>
      <c r="B435" s="2">
        <v>45815</v>
      </c>
      <c r="C435" t="s">
        <v>25</v>
      </c>
      <c r="D435" t="s">
        <v>353</v>
      </c>
      <c r="E435" t="s">
        <v>394</v>
      </c>
      <c r="F435">
        <v>7</v>
      </c>
      <c r="G435">
        <v>127701</v>
      </c>
    </row>
    <row r="436" spans="1:7" x14ac:dyDescent="0.35">
      <c r="A436" t="s">
        <v>825</v>
      </c>
      <c r="B436" s="2">
        <v>45807</v>
      </c>
      <c r="C436" t="s">
        <v>13</v>
      </c>
      <c r="D436" t="s">
        <v>373</v>
      </c>
      <c r="E436" t="s">
        <v>394</v>
      </c>
      <c r="F436">
        <v>4</v>
      </c>
      <c r="G436">
        <v>120708</v>
      </c>
    </row>
    <row r="437" spans="1:7" x14ac:dyDescent="0.35">
      <c r="A437" t="s">
        <v>826</v>
      </c>
      <c r="B437" s="2">
        <v>45995</v>
      </c>
      <c r="C437" t="s">
        <v>29</v>
      </c>
      <c r="D437" t="s">
        <v>115</v>
      </c>
      <c r="E437" t="s">
        <v>391</v>
      </c>
      <c r="F437">
        <v>4</v>
      </c>
      <c r="G437">
        <v>170576</v>
      </c>
    </row>
    <row r="438" spans="1:7" x14ac:dyDescent="0.35">
      <c r="A438" t="s">
        <v>827</v>
      </c>
      <c r="B438" s="2">
        <v>45799</v>
      </c>
      <c r="C438" t="s">
        <v>10</v>
      </c>
      <c r="D438" t="s">
        <v>373</v>
      </c>
      <c r="E438" t="s">
        <v>394</v>
      </c>
      <c r="F438">
        <v>5</v>
      </c>
      <c r="G438">
        <v>22580</v>
      </c>
    </row>
    <row r="439" spans="1:7" x14ac:dyDescent="0.35">
      <c r="A439" t="s">
        <v>828</v>
      </c>
      <c r="B439" s="2">
        <v>45666</v>
      </c>
      <c r="C439" t="s">
        <v>45</v>
      </c>
      <c r="D439" t="s">
        <v>379</v>
      </c>
      <c r="E439" t="s">
        <v>387</v>
      </c>
      <c r="F439">
        <v>10</v>
      </c>
      <c r="G439">
        <v>78260</v>
      </c>
    </row>
    <row r="440" spans="1:7" x14ac:dyDescent="0.35">
      <c r="A440" t="s">
        <v>829</v>
      </c>
      <c r="B440" s="2">
        <v>45976</v>
      </c>
      <c r="C440" t="s">
        <v>65</v>
      </c>
      <c r="D440" t="s">
        <v>311</v>
      </c>
      <c r="E440" t="s">
        <v>389</v>
      </c>
      <c r="F440">
        <v>10</v>
      </c>
      <c r="G440">
        <v>5450</v>
      </c>
    </row>
    <row r="441" spans="1:7" x14ac:dyDescent="0.35">
      <c r="A441" t="s">
        <v>830</v>
      </c>
      <c r="B441" s="2">
        <v>45766</v>
      </c>
      <c r="C441" t="s">
        <v>63</v>
      </c>
      <c r="D441" t="s">
        <v>307</v>
      </c>
      <c r="E441" t="s">
        <v>391</v>
      </c>
      <c r="F441">
        <v>10</v>
      </c>
      <c r="G441">
        <v>87680</v>
      </c>
    </row>
    <row r="442" spans="1:7" x14ac:dyDescent="0.35">
      <c r="A442" t="s">
        <v>831</v>
      </c>
      <c r="B442" s="2">
        <v>45794</v>
      </c>
      <c r="C442" t="s">
        <v>27</v>
      </c>
      <c r="D442" t="s">
        <v>365</v>
      </c>
      <c r="E442" t="s">
        <v>394</v>
      </c>
      <c r="F442">
        <v>1</v>
      </c>
      <c r="G442">
        <v>37684</v>
      </c>
    </row>
    <row r="443" spans="1:7" x14ac:dyDescent="0.35">
      <c r="A443" t="s">
        <v>832</v>
      </c>
      <c r="B443" s="2">
        <v>45743</v>
      </c>
      <c r="C443" t="s">
        <v>19</v>
      </c>
      <c r="D443" t="s">
        <v>151</v>
      </c>
      <c r="E443" t="s">
        <v>391</v>
      </c>
      <c r="F443">
        <v>10</v>
      </c>
      <c r="G443">
        <v>421590</v>
      </c>
    </row>
    <row r="444" spans="1:7" x14ac:dyDescent="0.35">
      <c r="A444" t="s">
        <v>833</v>
      </c>
      <c r="B444" s="2">
        <v>45953</v>
      </c>
      <c r="C444" t="s">
        <v>49</v>
      </c>
      <c r="D444" t="s">
        <v>319</v>
      </c>
      <c r="E444" t="s">
        <v>391</v>
      </c>
      <c r="F444">
        <v>4</v>
      </c>
      <c r="G444">
        <v>182056</v>
      </c>
    </row>
    <row r="445" spans="1:7" x14ac:dyDescent="0.35">
      <c r="A445" t="s">
        <v>834</v>
      </c>
      <c r="B445" s="2">
        <v>45677</v>
      </c>
      <c r="C445" t="s">
        <v>53</v>
      </c>
      <c r="D445" t="s">
        <v>239</v>
      </c>
      <c r="E445" t="s">
        <v>387</v>
      </c>
      <c r="F445">
        <v>2</v>
      </c>
      <c r="G445">
        <v>8416</v>
      </c>
    </row>
    <row r="446" spans="1:7" x14ac:dyDescent="0.35">
      <c r="A446" t="s">
        <v>835</v>
      </c>
      <c r="B446" s="2">
        <v>45890</v>
      </c>
      <c r="C446" t="s">
        <v>63</v>
      </c>
      <c r="D446" t="s">
        <v>159</v>
      </c>
      <c r="E446" t="s">
        <v>391</v>
      </c>
      <c r="F446">
        <v>9</v>
      </c>
      <c r="G446">
        <v>78912</v>
      </c>
    </row>
    <row r="447" spans="1:7" x14ac:dyDescent="0.35">
      <c r="A447" t="s">
        <v>836</v>
      </c>
      <c r="B447" s="2">
        <v>45753</v>
      </c>
      <c r="C447" t="s">
        <v>33</v>
      </c>
      <c r="D447" t="s">
        <v>171</v>
      </c>
      <c r="E447" t="s">
        <v>403</v>
      </c>
      <c r="F447">
        <v>10</v>
      </c>
      <c r="G447">
        <v>362530</v>
      </c>
    </row>
    <row r="448" spans="1:7" x14ac:dyDescent="0.35">
      <c r="A448" t="s">
        <v>837</v>
      </c>
      <c r="B448" s="2">
        <v>45701</v>
      </c>
      <c r="C448" t="s">
        <v>13</v>
      </c>
      <c r="D448" t="s">
        <v>349</v>
      </c>
      <c r="E448" t="s">
        <v>387</v>
      </c>
      <c r="F448">
        <v>9</v>
      </c>
      <c r="G448">
        <v>271593</v>
      </c>
    </row>
    <row r="449" spans="1:7" x14ac:dyDescent="0.35">
      <c r="A449" t="s">
        <v>838</v>
      </c>
      <c r="B449" s="2">
        <v>45700</v>
      </c>
      <c r="C449" t="s">
        <v>33</v>
      </c>
      <c r="D449" t="s">
        <v>325</v>
      </c>
      <c r="E449" t="s">
        <v>387</v>
      </c>
      <c r="F449">
        <v>2</v>
      </c>
      <c r="G449">
        <v>72506</v>
      </c>
    </row>
    <row r="450" spans="1:7" x14ac:dyDescent="0.35">
      <c r="A450" t="s">
        <v>839</v>
      </c>
      <c r="B450" s="2">
        <v>45837</v>
      </c>
      <c r="C450" t="s">
        <v>49</v>
      </c>
      <c r="D450" t="s">
        <v>167</v>
      </c>
      <c r="E450" t="s">
        <v>403</v>
      </c>
      <c r="F450">
        <v>9</v>
      </c>
      <c r="G450">
        <v>409626</v>
      </c>
    </row>
    <row r="451" spans="1:7" x14ac:dyDescent="0.35">
      <c r="A451" t="s">
        <v>840</v>
      </c>
      <c r="B451" s="2">
        <v>46010</v>
      </c>
      <c r="C451" t="s">
        <v>37</v>
      </c>
      <c r="D451" t="s">
        <v>361</v>
      </c>
      <c r="E451" t="s">
        <v>391</v>
      </c>
      <c r="F451">
        <v>5</v>
      </c>
      <c r="G451">
        <v>9765</v>
      </c>
    </row>
    <row r="452" spans="1:7" x14ac:dyDescent="0.35">
      <c r="A452" t="s">
        <v>841</v>
      </c>
      <c r="B452" s="2">
        <v>45908</v>
      </c>
      <c r="C452" t="s">
        <v>51</v>
      </c>
      <c r="D452" t="s">
        <v>291</v>
      </c>
      <c r="E452" t="s">
        <v>389</v>
      </c>
      <c r="F452">
        <v>7</v>
      </c>
      <c r="G452">
        <v>220073</v>
      </c>
    </row>
    <row r="453" spans="1:7" x14ac:dyDescent="0.35">
      <c r="A453" t="s">
        <v>842</v>
      </c>
      <c r="B453" s="2">
        <v>45973</v>
      </c>
      <c r="C453" t="s">
        <v>39</v>
      </c>
      <c r="D453" t="s">
        <v>91</v>
      </c>
      <c r="E453" t="s">
        <v>394</v>
      </c>
      <c r="F453">
        <v>6</v>
      </c>
      <c r="G453">
        <v>289728</v>
      </c>
    </row>
    <row r="454" spans="1:7" x14ac:dyDescent="0.35">
      <c r="A454" t="s">
        <v>843</v>
      </c>
      <c r="B454" s="2">
        <v>45895</v>
      </c>
      <c r="C454" t="s">
        <v>47</v>
      </c>
      <c r="D454" t="s">
        <v>171</v>
      </c>
      <c r="E454" t="s">
        <v>394</v>
      </c>
      <c r="F454">
        <v>5</v>
      </c>
      <c r="G454">
        <v>110310</v>
      </c>
    </row>
    <row r="455" spans="1:7" x14ac:dyDescent="0.35">
      <c r="A455" t="s">
        <v>844</v>
      </c>
      <c r="B455" s="2">
        <v>45863</v>
      </c>
      <c r="C455" t="s">
        <v>55</v>
      </c>
      <c r="D455" t="s">
        <v>161</v>
      </c>
      <c r="E455" t="s">
        <v>389</v>
      </c>
      <c r="F455">
        <v>4</v>
      </c>
      <c r="G455">
        <v>45660</v>
      </c>
    </row>
    <row r="456" spans="1:7" x14ac:dyDescent="0.35">
      <c r="A456" t="s">
        <v>845</v>
      </c>
      <c r="B456" s="2">
        <v>46017</v>
      </c>
      <c r="C456" t="s">
        <v>21</v>
      </c>
      <c r="D456" t="s">
        <v>317</v>
      </c>
      <c r="E456" t="s">
        <v>394</v>
      </c>
      <c r="F456">
        <v>7</v>
      </c>
      <c r="G456">
        <v>106463</v>
      </c>
    </row>
    <row r="457" spans="1:7" x14ac:dyDescent="0.35">
      <c r="A457" t="s">
        <v>846</v>
      </c>
      <c r="B457" s="2">
        <v>45838</v>
      </c>
      <c r="C457" t="s">
        <v>21</v>
      </c>
      <c r="D457" t="s">
        <v>195</v>
      </c>
      <c r="E457" t="s">
        <v>394</v>
      </c>
      <c r="F457">
        <v>4</v>
      </c>
      <c r="G457">
        <v>60836</v>
      </c>
    </row>
    <row r="458" spans="1:7" x14ac:dyDescent="0.35">
      <c r="A458" t="s">
        <v>847</v>
      </c>
      <c r="B458" s="2">
        <v>45813</v>
      </c>
      <c r="C458" t="s">
        <v>51</v>
      </c>
      <c r="D458" t="s">
        <v>233</v>
      </c>
      <c r="E458" t="s">
        <v>389</v>
      </c>
      <c r="F458">
        <v>6</v>
      </c>
      <c r="G458">
        <v>188634</v>
      </c>
    </row>
    <row r="459" spans="1:7" x14ac:dyDescent="0.35">
      <c r="A459" t="s">
        <v>848</v>
      </c>
      <c r="B459" s="2">
        <v>45943</v>
      </c>
      <c r="C459" t="s">
        <v>39</v>
      </c>
      <c r="D459" t="s">
        <v>229</v>
      </c>
      <c r="E459" t="s">
        <v>391</v>
      </c>
      <c r="F459">
        <v>4</v>
      </c>
      <c r="G459">
        <v>193152</v>
      </c>
    </row>
    <row r="460" spans="1:7" x14ac:dyDescent="0.35">
      <c r="A460" t="s">
        <v>849</v>
      </c>
      <c r="B460" s="2">
        <v>45689</v>
      </c>
      <c r="C460" t="s">
        <v>43</v>
      </c>
      <c r="D460" t="s">
        <v>199</v>
      </c>
      <c r="E460" t="s">
        <v>403</v>
      </c>
      <c r="F460">
        <v>2</v>
      </c>
      <c r="G460">
        <v>75650</v>
      </c>
    </row>
    <row r="461" spans="1:7" x14ac:dyDescent="0.35">
      <c r="A461" t="s">
        <v>850</v>
      </c>
      <c r="B461" s="2">
        <v>45791</v>
      </c>
      <c r="C461" t="s">
        <v>57</v>
      </c>
      <c r="D461" t="s">
        <v>165</v>
      </c>
      <c r="E461" t="s">
        <v>389</v>
      </c>
      <c r="F461">
        <v>1</v>
      </c>
      <c r="G461">
        <v>48789</v>
      </c>
    </row>
    <row r="462" spans="1:7" x14ac:dyDescent="0.35">
      <c r="A462" t="s">
        <v>851</v>
      </c>
      <c r="B462" s="2">
        <v>45907</v>
      </c>
      <c r="C462" t="s">
        <v>43</v>
      </c>
      <c r="D462" t="s">
        <v>311</v>
      </c>
      <c r="E462" t="s">
        <v>387</v>
      </c>
      <c r="F462">
        <v>4</v>
      </c>
      <c r="G462">
        <v>151300</v>
      </c>
    </row>
    <row r="463" spans="1:7" x14ac:dyDescent="0.35">
      <c r="A463" t="s">
        <v>852</v>
      </c>
      <c r="B463" s="2">
        <v>45828</v>
      </c>
      <c r="C463" t="s">
        <v>35</v>
      </c>
      <c r="D463" t="s">
        <v>127</v>
      </c>
      <c r="E463" t="s">
        <v>389</v>
      </c>
      <c r="F463">
        <v>4</v>
      </c>
      <c r="G463">
        <v>197840</v>
      </c>
    </row>
    <row r="464" spans="1:7" x14ac:dyDescent="0.35">
      <c r="A464" t="s">
        <v>853</v>
      </c>
      <c r="B464" s="2">
        <v>45667</v>
      </c>
      <c r="C464" t="s">
        <v>51</v>
      </c>
      <c r="D464" t="s">
        <v>377</v>
      </c>
      <c r="E464" t="s">
        <v>387</v>
      </c>
      <c r="F464">
        <v>3</v>
      </c>
      <c r="G464">
        <v>94317</v>
      </c>
    </row>
    <row r="465" spans="1:7" x14ac:dyDescent="0.35">
      <c r="A465" t="s">
        <v>854</v>
      </c>
      <c r="B465" s="2">
        <v>45927</v>
      </c>
      <c r="C465" t="s">
        <v>47</v>
      </c>
      <c r="D465" t="s">
        <v>129</v>
      </c>
      <c r="E465" t="s">
        <v>394</v>
      </c>
      <c r="F465">
        <v>7</v>
      </c>
      <c r="G465">
        <v>154434</v>
      </c>
    </row>
    <row r="466" spans="1:7" x14ac:dyDescent="0.35">
      <c r="A466" t="s">
        <v>855</v>
      </c>
      <c r="B466" s="2">
        <v>45830</v>
      </c>
      <c r="C466" t="s">
        <v>41</v>
      </c>
      <c r="D466" t="s">
        <v>103</v>
      </c>
      <c r="E466" t="s">
        <v>403</v>
      </c>
      <c r="F466">
        <v>10</v>
      </c>
      <c r="G466">
        <v>212620</v>
      </c>
    </row>
    <row r="467" spans="1:7" x14ac:dyDescent="0.35">
      <c r="A467" t="s">
        <v>856</v>
      </c>
      <c r="B467" s="2">
        <v>45915</v>
      </c>
      <c r="C467" t="s">
        <v>19</v>
      </c>
      <c r="D467" t="s">
        <v>103</v>
      </c>
      <c r="E467" t="s">
        <v>394</v>
      </c>
      <c r="F467">
        <v>8</v>
      </c>
      <c r="G467">
        <v>337272</v>
      </c>
    </row>
    <row r="468" spans="1:7" x14ac:dyDescent="0.35">
      <c r="A468" t="s">
        <v>857</v>
      </c>
      <c r="B468" s="2">
        <v>45922</v>
      </c>
      <c r="C468" t="s">
        <v>45</v>
      </c>
      <c r="D468" t="s">
        <v>123</v>
      </c>
      <c r="E468" t="s">
        <v>394</v>
      </c>
      <c r="F468">
        <v>4</v>
      </c>
      <c r="G468">
        <v>31304</v>
      </c>
    </row>
    <row r="469" spans="1:7" x14ac:dyDescent="0.35">
      <c r="A469" t="s">
        <v>858</v>
      </c>
      <c r="B469" s="2">
        <v>45851</v>
      </c>
      <c r="C469" t="s">
        <v>19</v>
      </c>
      <c r="D469" t="s">
        <v>251</v>
      </c>
      <c r="E469" t="s">
        <v>403</v>
      </c>
      <c r="F469">
        <v>8</v>
      </c>
      <c r="G469">
        <v>337272</v>
      </c>
    </row>
    <row r="470" spans="1:7" x14ac:dyDescent="0.35">
      <c r="A470" t="s">
        <v>859</v>
      </c>
      <c r="B470" s="2">
        <v>45850</v>
      </c>
      <c r="C470" t="s">
        <v>7</v>
      </c>
      <c r="D470" t="s">
        <v>135</v>
      </c>
      <c r="E470" t="s">
        <v>394</v>
      </c>
      <c r="F470">
        <v>8</v>
      </c>
      <c r="G470">
        <v>209064</v>
      </c>
    </row>
    <row r="471" spans="1:7" x14ac:dyDescent="0.35">
      <c r="A471" t="s">
        <v>860</v>
      </c>
      <c r="B471" s="2">
        <v>45753</v>
      </c>
      <c r="C471" t="s">
        <v>65</v>
      </c>
      <c r="D471" t="s">
        <v>193</v>
      </c>
      <c r="E471" t="s">
        <v>391</v>
      </c>
      <c r="F471">
        <v>10</v>
      </c>
      <c r="G471">
        <v>5450</v>
      </c>
    </row>
    <row r="472" spans="1:7" x14ac:dyDescent="0.35">
      <c r="A472" t="s">
        <v>861</v>
      </c>
      <c r="B472" s="2">
        <v>45744</v>
      </c>
      <c r="C472" t="s">
        <v>27</v>
      </c>
      <c r="D472" t="s">
        <v>365</v>
      </c>
      <c r="E472" t="s">
        <v>394</v>
      </c>
      <c r="F472">
        <v>5</v>
      </c>
      <c r="G472">
        <v>188420</v>
      </c>
    </row>
    <row r="473" spans="1:7" x14ac:dyDescent="0.35">
      <c r="A473" t="s">
        <v>862</v>
      </c>
      <c r="B473" s="2">
        <v>45881</v>
      </c>
      <c r="C473" t="s">
        <v>55</v>
      </c>
      <c r="D473" t="s">
        <v>191</v>
      </c>
      <c r="E473" t="s">
        <v>387</v>
      </c>
      <c r="F473">
        <v>9</v>
      </c>
      <c r="G473">
        <v>102735</v>
      </c>
    </row>
    <row r="474" spans="1:7" x14ac:dyDescent="0.35">
      <c r="A474" t="s">
        <v>863</v>
      </c>
      <c r="B474" s="2">
        <v>45685</v>
      </c>
      <c r="C474" t="s">
        <v>31</v>
      </c>
      <c r="D474" t="s">
        <v>361</v>
      </c>
      <c r="E474" t="s">
        <v>391</v>
      </c>
      <c r="F474">
        <v>2</v>
      </c>
      <c r="G474">
        <v>59932</v>
      </c>
    </row>
    <row r="475" spans="1:7" x14ac:dyDescent="0.35">
      <c r="A475" t="s">
        <v>864</v>
      </c>
      <c r="B475" s="2">
        <v>45680</v>
      </c>
      <c r="C475" t="s">
        <v>45</v>
      </c>
      <c r="D475" t="s">
        <v>173</v>
      </c>
      <c r="E475" t="s">
        <v>387</v>
      </c>
      <c r="F475">
        <v>8</v>
      </c>
      <c r="G475">
        <v>62608</v>
      </c>
    </row>
    <row r="476" spans="1:7" x14ac:dyDescent="0.35">
      <c r="A476" t="s">
        <v>865</v>
      </c>
      <c r="B476" s="2">
        <v>45981</v>
      </c>
      <c r="C476" t="s">
        <v>35</v>
      </c>
      <c r="D476" t="s">
        <v>297</v>
      </c>
      <c r="E476" t="s">
        <v>403</v>
      </c>
      <c r="F476">
        <v>9</v>
      </c>
      <c r="G476">
        <v>445140</v>
      </c>
    </row>
    <row r="477" spans="1:7" x14ac:dyDescent="0.35">
      <c r="A477" t="s">
        <v>866</v>
      </c>
      <c r="B477" s="2">
        <v>45691</v>
      </c>
      <c r="C477" t="s">
        <v>31</v>
      </c>
      <c r="D477" t="s">
        <v>241</v>
      </c>
      <c r="E477" t="s">
        <v>387</v>
      </c>
      <c r="F477">
        <v>7</v>
      </c>
      <c r="G477">
        <v>209762</v>
      </c>
    </row>
    <row r="478" spans="1:7" x14ac:dyDescent="0.35">
      <c r="A478" t="s">
        <v>867</v>
      </c>
      <c r="B478" s="2">
        <v>45679</v>
      </c>
      <c r="C478" t="s">
        <v>35</v>
      </c>
      <c r="D478" t="s">
        <v>88</v>
      </c>
      <c r="E478" t="s">
        <v>391</v>
      </c>
      <c r="F478">
        <v>6</v>
      </c>
      <c r="G478">
        <v>296760</v>
      </c>
    </row>
    <row r="479" spans="1:7" x14ac:dyDescent="0.35">
      <c r="A479" t="s">
        <v>868</v>
      </c>
      <c r="B479" s="2">
        <v>45711</v>
      </c>
      <c r="C479" t="s">
        <v>59</v>
      </c>
      <c r="D479" t="s">
        <v>273</v>
      </c>
      <c r="E479" t="s">
        <v>391</v>
      </c>
      <c r="F479">
        <v>1</v>
      </c>
      <c r="G479">
        <v>48106</v>
      </c>
    </row>
    <row r="480" spans="1:7" x14ac:dyDescent="0.35">
      <c r="A480" t="s">
        <v>869</v>
      </c>
      <c r="B480" s="2">
        <v>45875</v>
      </c>
      <c r="C480" t="s">
        <v>31</v>
      </c>
      <c r="D480" t="s">
        <v>91</v>
      </c>
      <c r="E480" t="s">
        <v>387</v>
      </c>
      <c r="F480">
        <v>2</v>
      </c>
      <c r="G480">
        <v>59932</v>
      </c>
    </row>
    <row r="481" spans="1:7" x14ac:dyDescent="0.35">
      <c r="A481" t="s">
        <v>870</v>
      </c>
      <c r="B481" s="2">
        <v>45897</v>
      </c>
      <c r="C481" t="s">
        <v>61</v>
      </c>
      <c r="D481" t="s">
        <v>261</v>
      </c>
      <c r="E481" t="s">
        <v>387</v>
      </c>
      <c r="F481">
        <v>3</v>
      </c>
      <c r="G481">
        <v>75048</v>
      </c>
    </row>
    <row r="482" spans="1:7" x14ac:dyDescent="0.35">
      <c r="A482" t="s">
        <v>871</v>
      </c>
      <c r="B482" s="2">
        <v>45834</v>
      </c>
      <c r="C482" t="s">
        <v>35</v>
      </c>
      <c r="D482" t="s">
        <v>287</v>
      </c>
      <c r="E482" t="s">
        <v>391</v>
      </c>
      <c r="F482">
        <v>2</v>
      </c>
      <c r="G482">
        <v>98920</v>
      </c>
    </row>
    <row r="483" spans="1:7" x14ac:dyDescent="0.35">
      <c r="A483" t="s">
        <v>872</v>
      </c>
      <c r="B483" s="2">
        <v>45945</v>
      </c>
      <c r="C483" t="s">
        <v>7</v>
      </c>
      <c r="D483" t="s">
        <v>161</v>
      </c>
      <c r="E483" t="s">
        <v>394</v>
      </c>
      <c r="F483">
        <v>10</v>
      </c>
      <c r="G483">
        <v>261330</v>
      </c>
    </row>
    <row r="484" spans="1:7" x14ac:dyDescent="0.35">
      <c r="A484" t="s">
        <v>873</v>
      </c>
      <c r="B484" s="2">
        <v>45941</v>
      </c>
      <c r="C484" t="s">
        <v>29</v>
      </c>
      <c r="D484" t="s">
        <v>213</v>
      </c>
      <c r="E484" t="s">
        <v>389</v>
      </c>
      <c r="F484">
        <v>9</v>
      </c>
      <c r="G484">
        <v>383796</v>
      </c>
    </row>
    <row r="485" spans="1:7" x14ac:dyDescent="0.35">
      <c r="A485" t="s">
        <v>874</v>
      </c>
      <c r="B485" s="2">
        <v>45794</v>
      </c>
      <c r="C485" t="s">
        <v>25</v>
      </c>
      <c r="D485" t="s">
        <v>281</v>
      </c>
      <c r="E485" t="s">
        <v>391</v>
      </c>
      <c r="F485">
        <v>3</v>
      </c>
      <c r="G485">
        <v>54729</v>
      </c>
    </row>
    <row r="486" spans="1:7" x14ac:dyDescent="0.35">
      <c r="A486" t="s">
        <v>875</v>
      </c>
      <c r="B486" s="2">
        <v>45920</v>
      </c>
      <c r="C486" t="s">
        <v>13</v>
      </c>
      <c r="D486" t="s">
        <v>129</v>
      </c>
      <c r="E486" t="s">
        <v>389</v>
      </c>
      <c r="F486">
        <v>3</v>
      </c>
      <c r="G486">
        <v>90531</v>
      </c>
    </row>
    <row r="487" spans="1:7" x14ac:dyDescent="0.35">
      <c r="A487" t="s">
        <v>876</v>
      </c>
      <c r="B487" s="2">
        <v>45907</v>
      </c>
      <c r="C487" t="s">
        <v>55</v>
      </c>
      <c r="D487" t="s">
        <v>267</v>
      </c>
      <c r="E487" t="s">
        <v>403</v>
      </c>
      <c r="F487">
        <v>4</v>
      </c>
      <c r="G487">
        <v>45660</v>
      </c>
    </row>
    <row r="488" spans="1:7" x14ac:dyDescent="0.35">
      <c r="A488" t="s">
        <v>877</v>
      </c>
      <c r="B488" s="2">
        <v>45907</v>
      </c>
      <c r="C488" t="s">
        <v>41</v>
      </c>
      <c r="D488" t="s">
        <v>323</v>
      </c>
      <c r="E488" t="s">
        <v>391</v>
      </c>
      <c r="F488">
        <v>7</v>
      </c>
      <c r="G488">
        <v>148834</v>
      </c>
    </row>
    <row r="489" spans="1:7" x14ac:dyDescent="0.35">
      <c r="A489" t="s">
        <v>878</v>
      </c>
      <c r="B489" s="2">
        <v>45908</v>
      </c>
      <c r="C489" t="s">
        <v>65</v>
      </c>
      <c r="D489" t="s">
        <v>377</v>
      </c>
      <c r="E489" t="s">
        <v>403</v>
      </c>
      <c r="F489">
        <v>10</v>
      </c>
      <c r="G489">
        <v>5450</v>
      </c>
    </row>
    <row r="490" spans="1:7" x14ac:dyDescent="0.35">
      <c r="A490" t="s">
        <v>879</v>
      </c>
      <c r="B490" s="2">
        <v>45689</v>
      </c>
      <c r="C490" t="s">
        <v>29</v>
      </c>
      <c r="D490" t="s">
        <v>239</v>
      </c>
      <c r="E490" t="s">
        <v>389</v>
      </c>
      <c r="F490">
        <v>7</v>
      </c>
      <c r="G490">
        <v>298508</v>
      </c>
    </row>
    <row r="491" spans="1:7" x14ac:dyDescent="0.35">
      <c r="A491" t="s">
        <v>880</v>
      </c>
      <c r="B491" s="2">
        <v>45876</v>
      </c>
      <c r="C491" t="s">
        <v>23</v>
      </c>
      <c r="D491" t="s">
        <v>359</v>
      </c>
      <c r="E491" t="s">
        <v>391</v>
      </c>
      <c r="F491">
        <v>2</v>
      </c>
      <c r="G491">
        <v>12138</v>
      </c>
    </row>
    <row r="492" spans="1:7" x14ac:dyDescent="0.35">
      <c r="A492" t="s">
        <v>881</v>
      </c>
      <c r="B492" s="2">
        <v>45783</v>
      </c>
      <c r="C492" t="s">
        <v>10</v>
      </c>
      <c r="D492" t="s">
        <v>223</v>
      </c>
      <c r="E492" t="s">
        <v>394</v>
      </c>
      <c r="F492">
        <v>7</v>
      </c>
      <c r="G492">
        <v>31612</v>
      </c>
    </row>
    <row r="493" spans="1:7" x14ac:dyDescent="0.35">
      <c r="A493" t="s">
        <v>882</v>
      </c>
      <c r="B493" s="2">
        <v>45995</v>
      </c>
      <c r="C493" t="s">
        <v>67</v>
      </c>
      <c r="D493" t="s">
        <v>225</v>
      </c>
      <c r="E493" t="s">
        <v>394</v>
      </c>
      <c r="F493">
        <v>7</v>
      </c>
      <c r="G493">
        <v>151312</v>
      </c>
    </row>
    <row r="494" spans="1:7" x14ac:dyDescent="0.35">
      <c r="A494" t="s">
        <v>883</v>
      </c>
      <c r="B494" s="2">
        <v>45775</v>
      </c>
      <c r="C494" t="s">
        <v>19</v>
      </c>
      <c r="D494" t="s">
        <v>78</v>
      </c>
      <c r="E494" t="s">
        <v>387</v>
      </c>
      <c r="F494">
        <v>8</v>
      </c>
      <c r="G494">
        <v>337272</v>
      </c>
    </row>
    <row r="495" spans="1:7" x14ac:dyDescent="0.35">
      <c r="A495" t="s">
        <v>884</v>
      </c>
      <c r="B495" s="2">
        <v>45834</v>
      </c>
      <c r="C495" t="s">
        <v>55</v>
      </c>
      <c r="D495" t="s">
        <v>367</v>
      </c>
      <c r="E495" t="s">
        <v>387</v>
      </c>
      <c r="F495">
        <v>3</v>
      </c>
      <c r="G495">
        <v>34245</v>
      </c>
    </row>
    <row r="496" spans="1:7" x14ac:dyDescent="0.35">
      <c r="A496" t="s">
        <v>885</v>
      </c>
      <c r="B496" s="2">
        <v>45909</v>
      </c>
      <c r="C496" t="s">
        <v>55</v>
      </c>
      <c r="D496" t="s">
        <v>321</v>
      </c>
      <c r="E496" t="s">
        <v>391</v>
      </c>
      <c r="F496">
        <v>1</v>
      </c>
      <c r="G496">
        <v>11415</v>
      </c>
    </row>
    <row r="497" spans="1:7" x14ac:dyDescent="0.35">
      <c r="A497" t="s">
        <v>886</v>
      </c>
      <c r="B497" s="2">
        <v>45722</v>
      </c>
      <c r="C497" t="s">
        <v>37</v>
      </c>
      <c r="D497" t="s">
        <v>329</v>
      </c>
      <c r="E497" t="s">
        <v>403</v>
      </c>
      <c r="F497">
        <v>5</v>
      </c>
      <c r="G497">
        <v>9765</v>
      </c>
    </row>
    <row r="498" spans="1:7" x14ac:dyDescent="0.35">
      <c r="A498" t="s">
        <v>887</v>
      </c>
      <c r="B498" s="2">
        <v>46021</v>
      </c>
      <c r="C498" t="s">
        <v>19</v>
      </c>
      <c r="D498" t="s">
        <v>125</v>
      </c>
      <c r="E498" t="s">
        <v>387</v>
      </c>
      <c r="F498">
        <v>9</v>
      </c>
      <c r="G498">
        <v>379431</v>
      </c>
    </row>
    <row r="499" spans="1:7" x14ac:dyDescent="0.35">
      <c r="A499" t="s">
        <v>888</v>
      </c>
      <c r="B499" s="2">
        <v>45775</v>
      </c>
      <c r="C499" t="s">
        <v>41</v>
      </c>
      <c r="D499" t="s">
        <v>137</v>
      </c>
      <c r="E499" t="s">
        <v>387</v>
      </c>
      <c r="F499">
        <v>3</v>
      </c>
      <c r="G499">
        <v>63786</v>
      </c>
    </row>
    <row r="500" spans="1:7" x14ac:dyDescent="0.35">
      <c r="A500" t="s">
        <v>889</v>
      </c>
      <c r="B500" s="2">
        <v>45880</v>
      </c>
      <c r="C500" t="s">
        <v>61</v>
      </c>
      <c r="D500" t="s">
        <v>189</v>
      </c>
      <c r="E500" t="s">
        <v>387</v>
      </c>
      <c r="F500">
        <v>6</v>
      </c>
      <c r="G500">
        <v>150096</v>
      </c>
    </row>
    <row r="501" spans="1:7" x14ac:dyDescent="0.35">
      <c r="A501" t="s">
        <v>890</v>
      </c>
      <c r="B501" s="2">
        <v>45941</v>
      </c>
      <c r="C501" t="s">
        <v>39</v>
      </c>
      <c r="D501" t="s">
        <v>273</v>
      </c>
      <c r="E501" t="s">
        <v>403</v>
      </c>
      <c r="F501">
        <v>9</v>
      </c>
      <c r="G501">
        <v>434592</v>
      </c>
    </row>
    <row r="502" spans="1:7" x14ac:dyDescent="0.35">
      <c r="A502" t="s">
        <v>891</v>
      </c>
      <c r="B502" s="2">
        <v>45951</v>
      </c>
      <c r="C502" t="s">
        <v>49</v>
      </c>
      <c r="D502" t="s">
        <v>155</v>
      </c>
      <c r="E502" t="s">
        <v>391</v>
      </c>
      <c r="F502">
        <v>10</v>
      </c>
      <c r="G502">
        <v>455140</v>
      </c>
    </row>
    <row r="503" spans="1:7" x14ac:dyDescent="0.35">
      <c r="A503" t="s">
        <v>892</v>
      </c>
      <c r="B503" s="2">
        <v>45684</v>
      </c>
      <c r="C503" t="s">
        <v>41</v>
      </c>
      <c r="D503" t="s">
        <v>355</v>
      </c>
      <c r="E503" t="s">
        <v>394</v>
      </c>
      <c r="F503">
        <v>4</v>
      </c>
      <c r="G503">
        <v>85048</v>
      </c>
    </row>
    <row r="504" spans="1:7" x14ac:dyDescent="0.35">
      <c r="A504" t="s">
        <v>893</v>
      </c>
      <c r="B504" s="2">
        <v>45811</v>
      </c>
      <c r="C504" t="s">
        <v>51</v>
      </c>
      <c r="D504" t="s">
        <v>159</v>
      </c>
      <c r="E504" t="s">
        <v>391</v>
      </c>
      <c r="F504">
        <v>3</v>
      </c>
      <c r="G504">
        <v>94317</v>
      </c>
    </row>
    <row r="505" spans="1:7" x14ac:dyDescent="0.35">
      <c r="A505" t="s">
        <v>894</v>
      </c>
      <c r="B505" s="2">
        <v>45948</v>
      </c>
      <c r="C505" t="s">
        <v>29</v>
      </c>
      <c r="D505" t="s">
        <v>297</v>
      </c>
      <c r="E505" t="s">
        <v>387</v>
      </c>
      <c r="F505">
        <v>3</v>
      </c>
      <c r="G505">
        <v>127932</v>
      </c>
    </row>
    <row r="506" spans="1:7" x14ac:dyDescent="0.35">
      <c r="A506" t="s">
        <v>895</v>
      </c>
      <c r="B506" s="2">
        <v>45736</v>
      </c>
      <c r="C506" t="s">
        <v>53</v>
      </c>
      <c r="D506" t="s">
        <v>159</v>
      </c>
      <c r="E506" t="s">
        <v>391</v>
      </c>
      <c r="F506">
        <v>2</v>
      </c>
      <c r="G506">
        <v>8416</v>
      </c>
    </row>
    <row r="507" spans="1:7" x14ac:dyDescent="0.35">
      <c r="A507" t="s">
        <v>896</v>
      </c>
      <c r="B507" s="2">
        <v>45920</v>
      </c>
      <c r="C507" t="s">
        <v>57</v>
      </c>
      <c r="D507" t="s">
        <v>141</v>
      </c>
      <c r="E507" t="s">
        <v>394</v>
      </c>
      <c r="F507">
        <v>6</v>
      </c>
      <c r="G507">
        <v>292734</v>
      </c>
    </row>
    <row r="508" spans="1:7" x14ac:dyDescent="0.35">
      <c r="A508" t="s">
        <v>897</v>
      </c>
      <c r="B508" s="2">
        <v>45971</v>
      </c>
      <c r="C508" t="s">
        <v>67</v>
      </c>
      <c r="D508" t="s">
        <v>217</v>
      </c>
      <c r="E508" t="s">
        <v>389</v>
      </c>
      <c r="F508">
        <v>5</v>
      </c>
      <c r="G508">
        <v>108080</v>
      </c>
    </row>
    <row r="509" spans="1:7" x14ac:dyDescent="0.35">
      <c r="A509" t="s">
        <v>898</v>
      </c>
      <c r="B509" s="2">
        <v>45779</v>
      </c>
      <c r="C509" t="s">
        <v>37</v>
      </c>
      <c r="D509" t="s">
        <v>303</v>
      </c>
      <c r="E509" t="s">
        <v>391</v>
      </c>
      <c r="F509">
        <v>4</v>
      </c>
      <c r="G509">
        <v>7812</v>
      </c>
    </row>
    <row r="510" spans="1:7" x14ac:dyDescent="0.35">
      <c r="A510" t="s">
        <v>899</v>
      </c>
      <c r="B510" s="2">
        <v>45979</v>
      </c>
      <c r="C510" t="s">
        <v>57</v>
      </c>
      <c r="D510" t="s">
        <v>227</v>
      </c>
      <c r="E510" t="s">
        <v>394</v>
      </c>
      <c r="F510">
        <v>1</v>
      </c>
      <c r="G510">
        <v>48789</v>
      </c>
    </row>
    <row r="511" spans="1:7" x14ac:dyDescent="0.35">
      <c r="A511" t="s">
        <v>900</v>
      </c>
      <c r="B511" s="2">
        <v>45947</v>
      </c>
      <c r="C511" t="s">
        <v>47</v>
      </c>
      <c r="D511" t="s">
        <v>227</v>
      </c>
      <c r="E511" t="s">
        <v>389</v>
      </c>
      <c r="F511">
        <v>5</v>
      </c>
      <c r="G511">
        <v>110310</v>
      </c>
    </row>
    <row r="512" spans="1:7" x14ac:dyDescent="0.35">
      <c r="A512" t="s">
        <v>901</v>
      </c>
      <c r="B512" s="2">
        <v>45836</v>
      </c>
      <c r="C512" t="s">
        <v>43</v>
      </c>
      <c r="D512" t="s">
        <v>297</v>
      </c>
      <c r="E512" t="s">
        <v>389</v>
      </c>
      <c r="F512">
        <v>7</v>
      </c>
      <c r="G512">
        <v>264775</v>
      </c>
    </row>
    <row r="513" spans="1:7" x14ac:dyDescent="0.35">
      <c r="A513" t="s">
        <v>902</v>
      </c>
      <c r="B513" s="2">
        <v>45754</v>
      </c>
      <c r="C513" t="s">
        <v>59</v>
      </c>
      <c r="D513" t="s">
        <v>111</v>
      </c>
      <c r="E513" t="s">
        <v>391</v>
      </c>
      <c r="F513">
        <v>5</v>
      </c>
      <c r="G513">
        <v>240530</v>
      </c>
    </row>
    <row r="514" spans="1:7" x14ac:dyDescent="0.35">
      <c r="A514" t="s">
        <v>903</v>
      </c>
      <c r="B514" s="2">
        <v>45824</v>
      </c>
      <c r="C514" t="s">
        <v>21</v>
      </c>
      <c r="D514" t="s">
        <v>97</v>
      </c>
      <c r="E514" t="s">
        <v>389</v>
      </c>
      <c r="F514">
        <v>1</v>
      </c>
      <c r="G514">
        <v>15209</v>
      </c>
    </row>
    <row r="515" spans="1:7" x14ac:dyDescent="0.35">
      <c r="A515" t="s">
        <v>904</v>
      </c>
      <c r="B515" s="2">
        <v>45871</v>
      </c>
      <c r="C515" t="s">
        <v>55</v>
      </c>
      <c r="D515" t="s">
        <v>249</v>
      </c>
      <c r="E515" t="s">
        <v>403</v>
      </c>
      <c r="F515">
        <v>9</v>
      </c>
      <c r="G515">
        <v>102735</v>
      </c>
    </row>
    <row r="516" spans="1:7" x14ac:dyDescent="0.35">
      <c r="A516" t="s">
        <v>905</v>
      </c>
      <c r="B516" s="2">
        <v>45848</v>
      </c>
      <c r="C516" t="s">
        <v>21</v>
      </c>
      <c r="D516" t="s">
        <v>143</v>
      </c>
      <c r="E516" t="s">
        <v>389</v>
      </c>
      <c r="F516">
        <v>6</v>
      </c>
      <c r="G516">
        <v>91254</v>
      </c>
    </row>
    <row r="517" spans="1:7" x14ac:dyDescent="0.35">
      <c r="A517" t="s">
        <v>906</v>
      </c>
      <c r="B517" s="2">
        <v>45758</v>
      </c>
      <c r="C517" t="s">
        <v>16</v>
      </c>
      <c r="D517" t="s">
        <v>121</v>
      </c>
      <c r="E517" t="s">
        <v>394</v>
      </c>
      <c r="F517">
        <v>5</v>
      </c>
      <c r="G517">
        <v>159810</v>
      </c>
    </row>
    <row r="518" spans="1:7" x14ac:dyDescent="0.35">
      <c r="A518" t="s">
        <v>907</v>
      </c>
      <c r="B518" s="2">
        <v>45784</v>
      </c>
      <c r="C518" t="s">
        <v>35</v>
      </c>
      <c r="D518" t="s">
        <v>189</v>
      </c>
      <c r="E518" t="s">
        <v>394</v>
      </c>
      <c r="F518">
        <v>3</v>
      </c>
      <c r="G518">
        <v>148380</v>
      </c>
    </row>
    <row r="519" spans="1:7" x14ac:dyDescent="0.35">
      <c r="A519" t="s">
        <v>908</v>
      </c>
      <c r="B519" s="2">
        <v>45665</v>
      </c>
      <c r="C519" t="s">
        <v>35</v>
      </c>
      <c r="D519" t="s">
        <v>181</v>
      </c>
      <c r="E519" t="s">
        <v>387</v>
      </c>
      <c r="F519">
        <v>7</v>
      </c>
      <c r="G519">
        <v>346220</v>
      </c>
    </row>
    <row r="520" spans="1:7" x14ac:dyDescent="0.35">
      <c r="A520" t="s">
        <v>909</v>
      </c>
      <c r="B520" s="2">
        <v>45779</v>
      </c>
      <c r="C520" t="s">
        <v>43</v>
      </c>
      <c r="D520" t="s">
        <v>125</v>
      </c>
      <c r="E520" t="s">
        <v>389</v>
      </c>
      <c r="F520">
        <v>8</v>
      </c>
      <c r="G520">
        <v>302600</v>
      </c>
    </row>
    <row r="521" spans="1:7" x14ac:dyDescent="0.35">
      <c r="A521" t="s">
        <v>910</v>
      </c>
      <c r="B521" s="2">
        <v>45857</v>
      </c>
      <c r="C521" t="s">
        <v>51</v>
      </c>
      <c r="D521" t="s">
        <v>321</v>
      </c>
      <c r="E521" t="s">
        <v>389</v>
      </c>
      <c r="F521">
        <v>9</v>
      </c>
      <c r="G521">
        <v>282951</v>
      </c>
    </row>
    <row r="522" spans="1:7" x14ac:dyDescent="0.35">
      <c r="A522" t="s">
        <v>911</v>
      </c>
      <c r="B522" s="2">
        <v>45716</v>
      </c>
      <c r="C522" t="s">
        <v>55</v>
      </c>
      <c r="D522" t="s">
        <v>111</v>
      </c>
      <c r="E522" t="s">
        <v>403</v>
      </c>
      <c r="F522">
        <v>7</v>
      </c>
      <c r="G522">
        <v>79905</v>
      </c>
    </row>
    <row r="523" spans="1:7" x14ac:dyDescent="0.35">
      <c r="A523" t="s">
        <v>912</v>
      </c>
      <c r="B523" s="2">
        <v>45830</v>
      </c>
      <c r="C523" t="s">
        <v>45</v>
      </c>
      <c r="D523" t="s">
        <v>377</v>
      </c>
      <c r="E523" t="s">
        <v>391</v>
      </c>
      <c r="F523">
        <v>3</v>
      </c>
      <c r="G523">
        <v>23478</v>
      </c>
    </row>
    <row r="524" spans="1:7" x14ac:dyDescent="0.35">
      <c r="A524" t="s">
        <v>913</v>
      </c>
      <c r="B524" s="2">
        <v>45674</v>
      </c>
      <c r="C524" t="s">
        <v>4</v>
      </c>
      <c r="D524" t="s">
        <v>161</v>
      </c>
      <c r="E524" t="s">
        <v>391</v>
      </c>
      <c r="F524">
        <v>4</v>
      </c>
      <c r="G524">
        <v>47260</v>
      </c>
    </row>
    <row r="525" spans="1:7" x14ac:dyDescent="0.35">
      <c r="A525" t="s">
        <v>914</v>
      </c>
      <c r="B525" s="2">
        <v>45737</v>
      </c>
      <c r="C525" t="s">
        <v>21</v>
      </c>
      <c r="D525" t="s">
        <v>377</v>
      </c>
      <c r="E525" t="s">
        <v>391</v>
      </c>
      <c r="F525">
        <v>1</v>
      </c>
      <c r="G525">
        <v>15209</v>
      </c>
    </row>
    <row r="526" spans="1:7" x14ac:dyDescent="0.35">
      <c r="A526" t="s">
        <v>915</v>
      </c>
      <c r="B526" s="2">
        <v>45766</v>
      </c>
      <c r="C526" t="s">
        <v>43</v>
      </c>
      <c r="D526" t="s">
        <v>139</v>
      </c>
      <c r="E526" t="s">
        <v>403</v>
      </c>
      <c r="F526">
        <v>2</v>
      </c>
      <c r="G526">
        <v>75650</v>
      </c>
    </row>
    <row r="527" spans="1:7" x14ac:dyDescent="0.35">
      <c r="A527" t="s">
        <v>916</v>
      </c>
      <c r="B527" s="2">
        <v>45735</v>
      </c>
      <c r="C527" t="s">
        <v>19</v>
      </c>
      <c r="D527" t="s">
        <v>81</v>
      </c>
      <c r="E527" t="s">
        <v>394</v>
      </c>
      <c r="F527">
        <v>7</v>
      </c>
      <c r="G527">
        <v>295113</v>
      </c>
    </row>
    <row r="528" spans="1:7" x14ac:dyDescent="0.35">
      <c r="A528" t="s">
        <v>917</v>
      </c>
      <c r="B528" s="2">
        <v>45866</v>
      </c>
      <c r="C528" t="s">
        <v>49</v>
      </c>
      <c r="D528" t="s">
        <v>153</v>
      </c>
      <c r="E528" t="s">
        <v>387</v>
      </c>
      <c r="F528">
        <v>6</v>
      </c>
      <c r="G528">
        <v>273084</v>
      </c>
    </row>
    <row r="529" spans="1:7" x14ac:dyDescent="0.35">
      <c r="A529" t="s">
        <v>918</v>
      </c>
      <c r="B529" s="2">
        <v>45821</v>
      </c>
      <c r="C529" t="s">
        <v>63</v>
      </c>
      <c r="D529" t="s">
        <v>175</v>
      </c>
      <c r="E529" t="s">
        <v>387</v>
      </c>
      <c r="F529">
        <v>1</v>
      </c>
      <c r="G529">
        <v>8768</v>
      </c>
    </row>
    <row r="530" spans="1:7" x14ac:dyDescent="0.35">
      <c r="A530" t="s">
        <v>919</v>
      </c>
      <c r="B530" s="2">
        <v>45919</v>
      </c>
      <c r="C530" t="s">
        <v>51</v>
      </c>
      <c r="D530" t="s">
        <v>299</v>
      </c>
      <c r="E530" t="s">
        <v>391</v>
      </c>
      <c r="F530">
        <v>5</v>
      </c>
      <c r="G530">
        <v>157195</v>
      </c>
    </row>
    <row r="531" spans="1:7" x14ac:dyDescent="0.35">
      <c r="A531" t="s">
        <v>920</v>
      </c>
      <c r="B531" s="2">
        <v>45864</v>
      </c>
      <c r="C531" t="s">
        <v>7</v>
      </c>
      <c r="D531" t="s">
        <v>195</v>
      </c>
      <c r="E531" t="s">
        <v>389</v>
      </c>
      <c r="F531">
        <v>5</v>
      </c>
      <c r="G531">
        <v>130665</v>
      </c>
    </row>
    <row r="532" spans="1:7" x14ac:dyDescent="0.35">
      <c r="A532" t="s">
        <v>921</v>
      </c>
      <c r="B532" s="2">
        <v>45847</v>
      </c>
      <c r="C532" t="s">
        <v>27</v>
      </c>
      <c r="D532" t="s">
        <v>97</v>
      </c>
      <c r="E532" t="s">
        <v>403</v>
      </c>
      <c r="F532">
        <v>7</v>
      </c>
      <c r="G532">
        <v>263788</v>
      </c>
    </row>
    <row r="533" spans="1:7" x14ac:dyDescent="0.35">
      <c r="A533" t="s">
        <v>922</v>
      </c>
      <c r="B533" s="2">
        <v>46019</v>
      </c>
      <c r="C533" t="s">
        <v>13</v>
      </c>
      <c r="D533" t="s">
        <v>125</v>
      </c>
      <c r="E533" t="s">
        <v>403</v>
      </c>
      <c r="F533">
        <v>2</v>
      </c>
      <c r="G533">
        <v>60354</v>
      </c>
    </row>
    <row r="534" spans="1:7" x14ac:dyDescent="0.35">
      <c r="A534" t="s">
        <v>923</v>
      </c>
      <c r="B534" s="2">
        <v>45955</v>
      </c>
      <c r="C534" t="s">
        <v>21</v>
      </c>
      <c r="D534" t="s">
        <v>347</v>
      </c>
      <c r="E534" t="s">
        <v>391</v>
      </c>
      <c r="F534">
        <v>2</v>
      </c>
      <c r="G534">
        <v>30418</v>
      </c>
    </row>
    <row r="535" spans="1:7" x14ac:dyDescent="0.35">
      <c r="A535" t="s">
        <v>924</v>
      </c>
      <c r="B535" s="2">
        <v>45966</v>
      </c>
      <c r="C535" t="s">
        <v>25</v>
      </c>
      <c r="D535" t="s">
        <v>305</v>
      </c>
      <c r="E535" t="s">
        <v>394</v>
      </c>
      <c r="F535">
        <v>4</v>
      </c>
      <c r="G535">
        <v>72972</v>
      </c>
    </row>
    <row r="536" spans="1:7" x14ac:dyDescent="0.35">
      <c r="A536" t="s">
        <v>925</v>
      </c>
      <c r="B536" s="2">
        <v>45677</v>
      </c>
      <c r="C536" t="s">
        <v>37</v>
      </c>
      <c r="D536" t="s">
        <v>375</v>
      </c>
      <c r="E536" t="s">
        <v>389</v>
      </c>
      <c r="F536">
        <v>8</v>
      </c>
      <c r="G536">
        <v>15624</v>
      </c>
    </row>
    <row r="537" spans="1:7" x14ac:dyDescent="0.35">
      <c r="A537" t="s">
        <v>926</v>
      </c>
      <c r="B537" s="2">
        <v>45666</v>
      </c>
      <c r="C537" t="s">
        <v>37</v>
      </c>
      <c r="D537" t="s">
        <v>159</v>
      </c>
      <c r="E537" t="s">
        <v>389</v>
      </c>
      <c r="F537">
        <v>1</v>
      </c>
      <c r="G537">
        <v>1953</v>
      </c>
    </row>
    <row r="538" spans="1:7" x14ac:dyDescent="0.35">
      <c r="A538" t="s">
        <v>927</v>
      </c>
      <c r="B538" s="2">
        <v>45765</v>
      </c>
      <c r="C538" t="s">
        <v>25</v>
      </c>
      <c r="D538" t="s">
        <v>347</v>
      </c>
      <c r="E538" t="s">
        <v>394</v>
      </c>
      <c r="F538">
        <v>2</v>
      </c>
      <c r="G538">
        <v>36486</v>
      </c>
    </row>
    <row r="539" spans="1:7" x14ac:dyDescent="0.35">
      <c r="A539" t="s">
        <v>928</v>
      </c>
      <c r="B539" s="2">
        <v>46007</v>
      </c>
      <c r="C539" t="s">
        <v>23</v>
      </c>
      <c r="D539" t="s">
        <v>221</v>
      </c>
      <c r="E539" t="s">
        <v>389</v>
      </c>
      <c r="F539">
        <v>8</v>
      </c>
      <c r="G539">
        <v>48552</v>
      </c>
    </row>
    <row r="540" spans="1:7" x14ac:dyDescent="0.35">
      <c r="A540" t="s">
        <v>929</v>
      </c>
      <c r="B540" s="2">
        <v>45688</v>
      </c>
      <c r="C540" t="s">
        <v>43</v>
      </c>
      <c r="D540" t="s">
        <v>101</v>
      </c>
      <c r="E540" t="s">
        <v>394</v>
      </c>
      <c r="F540">
        <v>1</v>
      </c>
      <c r="G540">
        <v>37825</v>
      </c>
    </row>
    <row r="541" spans="1:7" x14ac:dyDescent="0.35">
      <c r="A541" t="s">
        <v>930</v>
      </c>
      <c r="B541" s="2">
        <v>45908</v>
      </c>
      <c r="C541" t="s">
        <v>57</v>
      </c>
      <c r="D541" t="s">
        <v>357</v>
      </c>
      <c r="E541" t="s">
        <v>403</v>
      </c>
      <c r="F541">
        <v>8</v>
      </c>
      <c r="G541">
        <v>390312</v>
      </c>
    </row>
    <row r="542" spans="1:7" x14ac:dyDescent="0.35">
      <c r="A542" t="s">
        <v>931</v>
      </c>
      <c r="B542" s="2">
        <v>45737</v>
      </c>
      <c r="C542" t="s">
        <v>45</v>
      </c>
      <c r="D542" t="s">
        <v>123</v>
      </c>
      <c r="E542" t="s">
        <v>389</v>
      </c>
      <c r="F542">
        <v>9</v>
      </c>
      <c r="G542">
        <v>70434</v>
      </c>
    </row>
    <row r="543" spans="1:7" x14ac:dyDescent="0.35">
      <c r="A543" t="s">
        <v>932</v>
      </c>
      <c r="B543" s="2">
        <v>45715</v>
      </c>
      <c r="C543" t="s">
        <v>27</v>
      </c>
      <c r="D543" t="s">
        <v>375</v>
      </c>
      <c r="E543" t="s">
        <v>391</v>
      </c>
      <c r="F543">
        <v>3</v>
      </c>
      <c r="G543">
        <v>113052</v>
      </c>
    </row>
    <row r="544" spans="1:7" x14ac:dyDescent="0.35">
      <c r="A544" t="s">
        <v>933</v>
      </c>
      <c r="B544" s="2">
        <v>45939</v>
      </c>
      <c r="C544" t="s">
        <v>45</v>
      </c>
      <c r="D544" t="s">
        <v>293</v>
      </c>
      <c r="E544" t="s">
        <v>389</v>
      </c>
      <c r="F544">
        <v>10</v>
      </c>
      <c r="G544">
        <v>78260</v>
      </c>
    </row>
    <row r="545" spans="1:7" x14ac:dyDescent="0.35">
      <c r="A545" t="s">
        <v>934</v>
      </c>
      <c r="B545" s="2">
        <v>45974</v>
      </c>
      <c r="C545" t="s">
        <v>41</v>
      </c>
      <c r="D545" t="s">
        <v>239</v>
      </c>
      <c r="E545" t="s">
        <v>387</v>
      </c>
      <c r="F545">
        <v>9</v>
      </c>
      <c r="G545">
        <v>191358</v>
      </c>
    </row>
    <row r="546" spans="1:7" x14ac:dyDescent="0.35">
      <c r="A546" t="s">
        <v>935</v>
      </c>
      <c r="B546" s="2">
        <v>45684</v>
      </c>
      <c r="C546" t="s">
        <v>31</v>
      </c>
      <c r="D546" t="s">
        <v>309</v>
      </c>
      <c r="E546" t="s">
        <v>389</v>
      </c>
      <c r="F546">
        <v>5</v>
      </c>
      <c r="G546">
        <v>149830</v>
      </c>
    </row>
    <row r="547" spans="1:7" x14ac:dyDescent="0.35">
      <c r="A547" t="s">
        <v>936</v>
      </c>
      <c r="B547" s="2">
        <v>45908</v>
      </c>
      <c r="C547" t="s">
        <v>16</v>
      </c>
      <c r="D547" t="s">
        <v>137</v>
      </c>
      <c r="E547" t="s">
        <v>387</v>
      </c>
      <c r="F547">
        <v>4</v>
      </c>
      <c r="G547">
        <v>127848</v>
      </c>
    </row>
    <row r="548" spans="1:7" x14ac:dyDescent="0.35">
      <c r="A548" t="s">
        <v>937</v>
      </c>
      <c r="B548" s="2">
        <v>45790</v>
      </c>
      <c r="C548" t="s">
        <v>57</v>
      </c>
      <c r="D548" t="s">
        <v>319</v>
      </c>
      <c r="E548" t="s">
        <v>387</v>
      </c>
      <c r="F548">
        <v>4</v>
      </c>
      <c r="G548">
        <v>195156</v>
      </c>
    </row>
    <row r="549" spans="1:7" x14ac:dyDescent="0.35">
      <c r="A549" t="s">
        <v>938</v>
      </c>
      <c r="B549" s="2">
        <v>45987</v>
      </c>
      <c r="C549" t="s">
        <v>43</v>
      </c>
      <c r="D549" t="s">
        <v>311</v>
      </c>
      <c r="E549" t="s">
        <v>389</v>
      </c>
      <c r="F549">
        <v>7</v>
      </c>
      <c r="G549">
        <v>264775</v>
      </c>
    </row>
    <row r="550" spans="1:7" x14ac:dyDescent="0.35">
      <c r="A550" t="s">
        <v>939</v>
      </c>
      <c r="B550" s="2">
        <v>45960</v>
      </c>
      <c r="C550" t="s">
        <v>61</v>
      </c>
      <c r="D550" t="s">
        <v>345</v>
      </c>
      <c r="E550" t="s">
        <v>387</v>
      </c>
      <c r="F550">
        <v>1</v>
      </c>
      <c r="G550">
        <v>25016</v>
      </c>
    </row>
    <row r="551" spans="1:7" x14ac:dyDescent="0.35">
      <c r="A551" t="s">
        <v>940</v>
      </c>
      <c r="B551" s="2">
        <v>45814</v>
      </c>
      <c r="C551" t="s">
        <v>13</v>
      </c>
      <c r="D551" t="s">
        <v>307</v>
      </c>
      <c r="E551" t="s">
        <v>394</v>
      </c>
      <c r="F551">
        <v>6</v>
      </c>
      <c r="G551">
        <v>181062</v>
      </c>
    </row>
    <row r="552" spans="1:7" x14ac:dyDescent="0.35">
      <c r="A552" t="s">
        <v>941</v>
      </c>
      <c r="B552" s="2">
        <v>45958</v>
      </c>
      <c r="C552" t="s">
        <v>13</v>
      </c>
      <c r="D552" t="s">
        <v>153</v>
      </c>
      <c r="E552" t="s">
        <v>403</v>
      </c>
      <c r="F552">
        <v>4</v>
      </c>
      <c r="G552">
        <v>120708</v>
      </c>
    </row>
    <row r="553" spans="1:7" x14ac:dyDescent="0.35">
      <c r="A553" t="s">
        <v>942</v>
      </c>
      <c r="B553" s="2">
        <v>45689</v>
      </c>
      <c r="C553" t="s">
        <v>23</v>
      </c>
      <c r="D553" t="s">
        <v>301</v>
      </c>
      <c r="E553" t="s">
        <v>403</v>
      </c>
      <c r="F553">
        <v>3</v>
      </c>
      <c r="G553">
        <v>18207</v>
      </c>
    </row>
    <row r="554" spans="1:7" x14ac:dyDescent="0.35">
      <c r="A554" t="s">
        <v>943</v>
      </c>
      <c r="B554" s="2">
        <v>45771</v>
      </c>
      <c r="C554" t="s">
        <v>10</v>
      </c>
      <c r="D554" t="s">
        <v>341</v>
      </c>
      <c r="E554" t="s">
        <v>391</v>
      </c>
      <c r="F554">
        <v>7</v>
      </c>
      <c r="G554">
        <v>31612</v>
      </c>
    </row>
    <row r="555" spans="1:7" x14ac:dyDescent="0.35">
      <c r="A555" t="s">
        <v>944</v>
      </c>
      <c r="B555" s="2">
        <v>45944</v>
      </c>
      <c r="C555" t="s">
        <v>10</v>
      </c>
      <c r="D555" t="s">
        <v>317</v>
      </c>
      <c r="E555" t="s">
        <v>391</v>
      </c>
      <c r="F555">
        <v>6</v>
      </c>
      <c r="G555">
        <v>27096</v>
      </c>
    </row>
    <row r="556" spans="1:7" x14ac:dyDescent="0.35">
      <c r="A556" t="s">
        <v>945</v>
      </c>
      <c r="B556" s="2">
        <v>45705</v>
      </c>
      <c r="C556" t="s">
        <v>67</v>
      </c>
      <c r="D556" t="s">
        <v>117</v>
      </c>
      <c r="E556" t="s">
        <v>389</v>
      </c>
      <c r="F556">
        <v>7</v>
      </c>
      <c r="G556">
        <v>151312</v>
      </c>
    </row>
    <row r="557" spans="1:7" x14ac:dyDescent="0.35">
      <c r="A557" t="s">
        <v>946</v>
      </c>
      <c r="B557" s="2">
        <v>45665</v>
      </c>
      <c r="C557" t="s">
        <v>27</v>
      </c>
      <c r="D557" t="s">
        <v>197</v>
      </c>
      <c r="E557" t="s">
        <v>387</v>
      </c>
      <c r="F557">
        <v>2</v>
      </c>
      <c r="G557">
        <v>75368</v>
      </c>
    </row>
    <row r="558" spans="1:7" x14ac:dyDescent="0.35">
      <c r="A558" t="s">
        <v>947</v>
      </c>
      <c r="B558" s="2">
        <v>45684</v>
      </c>
      <c r="C558" t="s">
        <v>10</v>
      </c>
      <c r="D558" t="s">
        <v>81</v>
      </c>
      <c r="E558" t="s">
        <v>387</v>
      </c>
      <c r="F558">
        <v>6</v>
      </c>
      <c r="G558">
        <v>27096</v>
      </c>
    </row>
    <row r="559" spans="1:7" x14ac:dyDescent="0.35">
      <c r="A559" t="s">
        <v>948</v>
      </c>
      <c r="B559" s="2">
        <v>45840</v>
      </c>
      <c r="C559" t="s">
        <v>51</v>
      </c>
      <c r="D559" t="s">
        <v>97</v>
      </c>
      <c r="E559" t="s">
        <v>391</v>
      </c>
      <c r="F559">
        <v>9</v>
      </c>
      <c r="G559">
        <v>282951</v>
      </c>
    </row>
    <row r="560" spans="1:7" x14ac:dyDescent="0.35">
      <c r="A560" t="s">
        <v>949</v>
      </c>
      <c r="B560" s="2">
        <v>46014</v>
      </c>
      <c r="C560" t="s">
        <v>37</v>
      </c>
      <c r="D560" t="s">
        <v>255</v>
      </c>
      <c r="E560" t="s">
        <v>391</v>
      </c>
      <c r="F560">
        <v>9</v>
      </c>
      <c r="G560">
        <v>17577</v>
      </c>
    </row>
    <row r="561" spans="1:7" x14ac:dyDescent="0.35">
      <c r="A561" t="s">
        <v>950</v>
      </c>
      <c r="B561" s="2">
        <v>45951</v>
      </c>
      <c r="C561" t="s">
        <v>33</v>
      </c>
      <c r="D561" t="s">
        <v>137</v>
      </c>
      <c r="E561" t="s">
        <v>389</v>
      </c>
      <c r="F561">
        <v>4</v>
      </c>
      <c r="G561">
        <v>145012</v>
      </c>
    </row>
    <row r="562" spans="1:7" x14ac:dyDescent="0.35">
      <c r="A562" t="s">
        <v>951</v>
      </c>
      <c r="B562" s="2">
        <v>45934</v>
      </c>
      <c r="C562" t="s">
        <v>65</v>
      </c>
      <c r="D562" t="s">
        <v>335</v>
      </c>
      <c r="E562" t="s">
        <v>403</v>
      </c>
      <c r="F562">
        <v>10</v>
      </c>
      <c r="G562">
        <v>5450</v>
      </c>
    </row>
    <row r="563" spans="1:7" x14ac:dyDescent="0.35">
      <c r="A563" t="s">
        <v>952</v>
      </c>
      <c r="B563" s="2">
        <v>45676</v>
      </c>
      <c r="C563" t="s">
        <v>49</v>
      </c>
      <c r="D563" t="s">
        <v>101</v>
      </c>
      <c r="E563" t="s">
        <v>387</v>
      </c>
      <c r="F563">
        <v>6</v>
      </c>
      <c r="G563">
        <v>273084</v>
      </c>
    </row>
    <row r="564" spans="1:7" x14ac:dyDescent="0.35">
      <c r="A564" t="s">
        <v>953</v>
      </c>
      <c r="B564" s="2">
        <v>45690</v>
      </c>
      <c r="C564" t="s">
        <v>35</v>
      </c>
      <c r="D564" t="s">
        <v>251</v>
      </c>
      <c r="E564" t="s">
        <v>389</v>
      </c>
      <c r="F564">
        <v>2</v>
      </c>
      <c r="G564">
        <v>98920</v>
      </c>
    </row>
    <row r="565" spans="1:7" x14ac:dyDescent="0.35">
      <c r="A565" t="s">
        <v>954</v>
      </c>
      <c r="B565" s="2">
        <v>45842</v>
      </c>
      <c r="C565" t="s">
        <v>47</v>
      </c>
      <c r="D565" t="s">
        <v>119</v>
      </c>
      <c r="E565" t="s">
        <v>387</v>
      </c>
      <c r="F565">
        <v>2</v>
      </c>
      <c r="G565">
        <v>44124</v>
      </c>
    </row>
    <row r="566" spans="1:7" x14ac:dyDescent="0.35">
      <c r="A566" t="s">
        <v>955</v>
      </c>
      <c r="B566" s="2">
        <v>45797</v>
      </c>
      <c r="C566" t="s">
        <v>63</v>
      </c>
      <c r="D566" t="s">
        <v>207</v>
      </c>
      <c r="E566" t="s">
        <v>391</v>
      </c>
      <c r="F566">
        <v>4</v>
      </c>
      <c r="G566">
        <v>35072</v>
      </c>
    </row>
    <row r="567" spans="1:7" x14ac:dyDescent="0.35">
      <c r="A567" t="s">
        <v>956</v>
      </c>
      <c r="B567" s="2">
        <v>45668</v>
      </c>
      <c r="C567" t="s">
        <v>25</v>
      </c>
      <c r="D567" t="s">
        <v>357</v>
      </c>
      <c r="E567" t="s">
        <v>389</v>
      </c>
      <c r="F567">
        <v>7</v>
      </c>
      <c r="G567">
        <v>127701</v>
      </c>
    </row>
    <row r="568" spans="1:7" x14ac:dyDescent="0.35">
      <c r="A568" t="s">
        <v>957</v>
      </c>
      <c r="B568" s="2">
        <v>45806</v>
      </c>
      <c r="C568" t="s">
        <v>51</v>
      </c>
      <c r="D568" t="s">
        <v>205</v>
      </c>
      <c r="E568" t="s">
        <v>394</v>
      </c>
      <c r="F568">
        <v>2</v>
      </c>
      <c r="G568">
        <v>62878</v>
      </c>
    </row>
    <row r="569" spans="1:7" x14ac:dyDescent="0.35">
      <c r="A569" t="s">
        <v>958</v>
      </c>
      <c r="B569" s="2">
        <v>45781</v>
      </c>
      <c r="C569" t="s">
        <v>21</v>
      </c>
      <c r="D569" t="s">
        <v>289</v>
      </c>
      <c r="E569" t="s">
        <v>387</v>
      </c>
      <c r="F569">
        <v>9</v>
      </c>
      <c r="G569">
        <v>136881</v>
      </c>
    </row>
    <row r="570" spans="1:7" x14ac:dyDescent="0.35">
      <c r="A570" t="s">
        <v>959</v>
      </c>
      <c r="B570" s="2">
        <v>45765</v>
      </c>
      <c r="C570" t="s">
        <v>35</v>
      </c>
      <c r="D570" t="s">
        <v>333</v>
      </c>
      <c r="E570" t="s">
        <v>403</v>
      </c>
      <c r="F570">
        <v>9</v>
      </c>
      <c r="G570">
        <v>445140</v>
      </c>
    </row>
    <row r="571" spans="1:7" x14ac:dyDescent="0.35">
      <c r="A571" t="s">
        <v>960</v>
      </c>
      <c r="B571" s="2">
        <v>45840</v>
      </c>
      <c r="C571" t="s">
        <v>65</v>
      </c>
      <c r="D571" t="s">
        <v>81</v>
      </c>
      <c r="E571" t="s">
        <v>391</v>
      </c>
      <c r="F571">
        <v>9</v>
      </c>
      <c r="G571">
        <v>4905</v>
      </c>
    </row>
    <row r="572" spans="1:7" x14ac:dyDescent="0.35">
      <c r="A572" t="s">
        <v>961</v>
      </c>
      <c r="B572" s="2">
        <v>45757</v>
      </c>
      <c r="C572" t="s">
        <v>45</v>
      </c>
      <c r="D572" t="s">
        <v>111</v>
      </c>
      <c r="E572" t="s">
        <v>391</v>
      </c>
      <c r="F572">
        <v>2</v>
      </c>
      <c r="G572">
        <v>15652</v>
      </c>
    </row>
    <row r="573" spans="1:7" x14ac:dyDescent="0.35">
      <c r="A573" t="s">
        <v>962</v>
      </c>
      <c r="B573" s="2">
        <v>45664</v>
      </c>
      <c r="C573" t="s">
        <v>55</v>
      </c>
      <c r="D573" t="s">
        <v>209</v>
      </c>
      <c r="E573" t="s">
        <v>403</v>
      </c>
      <c r="F573">
        <v>9</v>
      </c>
      <c r="G573">
        <v>102735</v>
      </c>
    </row>
    <row r="574" spans="1:7" x14ac:dyDescent="0.35">
      <c r="A574" t="s">
        <v>963</v>
      </c>
      <c r="B574" s="2">
        <v>45810</v>
      </c>
      <c r="C574" t="s">
        <v>23</v>
      </c>
      <c r="D574" t="s">
        <v>81</v>
      </c>
      <c r="E574" t="s">
        <v>387</v>
      </c>
      <c r="F574">
        <v>6</v>
      </c>
      <c r="G574">
        <v>36414</v>
      </c>
    </row>
    <row r="575" spans="1:7" x14ac:dyDescent="0.35">
      <c r="A575" t="s">
        <v>964</v>
      </c>
      <c r="B575" s="2">
        <v>45778</v>
      </c>
      <c r="C575" t="s">
        <v>47</v>
      </c>
      <c r="D575" t="s">
        <v>113</v>
      </c>
      <c r="E575" t="s">
        <v>387</v>
      </c>
      <c r="F575">
        <v>6</v>
      </c>
      <c r="G575">
        <v>132372</v>
      </c>
    </row>
    <row r="576" spans="1:7" x14ac:dyDescent="0.35">
      <c r="A576" t="s">
        <v>965</v>
      </c>
      <c r="B576" s="2">
        <v>45787</v>
      </c>
      <c r="C576" t="s">
        <v>55</v>
      </c>
      <c r="D576" t="s">
        <v>189</v>
      </c>
      <c r="E576" t="s">
        <v>387</v>
      </c>
      <c r="F576">
        <v>1</v>
      </c>
      <c r="G576">
        <v>11415</v>
      </c>
    </row>
    <row r="577" spans="1:7" x14ac:dyDescent="0.35">
      <c r="A577" t="s">
        <v>966</v>
      </c>
      <c r="B577" s="2">
        <v>45916</v>
      </c>
      <c r="C577" t="s">
        <v>10</v>
      </c>
      <c r="D577" t="s">
        <v>301</v>
      </c>
      <c r="E577" t="s">
        <v>389</v>
      </c>
      <c r="F577">
        <v>6</v>
      </c>
      <c r="G577">
        <v>27096</v>
      </c>
    </row>
    <row r="578" spans="1:7" x14ac:dyDescent="0.35">
      <c r="A578" t="s">
        <v>967</v>
      </c>
      <c r="B578" s="2">
        <v>45948</v>
      </c>
      <c r="C578" t="s">
        <v>49</v>
      </c>
      <c r="D578" t="s">
        <v>313</v>
      </c>
      <c r="E578" t="s">
        <v>389</v>
      </c>
      <c r="F578">
        <v>7</v>
      </c>
      <c r="G578">
        <v>318598</v>
      </c>
    </row>
    <row r="579" spans="1:7" x14ac:dyDescent="0.35">
      <c r="A579" t="s">
        <v>968</v>
      </c>
      <c r="B579" s="2">
        <v>45711</v>
      </c>
      <c r="C579" t="s">
        <v>13</v>
      </c>
      <c r="D579" t="s">
        <v>281</v>
      </c>
      <c r="E579" t="s">
        <v>387</v>
      </c>
      <c r="F579">
        <v>9</v>
      </c>
      <c r="G579">
        <v>271593</v>
      </c>
    </row>
    <row r="580" spans="1:7" x14ac:dyDescent="0.35">
      <c r="A580" t="s">
        <v>969</v>
      </c>
      <c r="B580" s="2">
        <v>45955</v>
      </c>
      <c r="C580" t="s">
        <v>41</v>
      </c>
      <c r="D580" t="s">
        <v>219</v>
      </c>
      <c r="E580" t="s">
        <v>389</v>
      </c>
      <c r="F580">
        <v>8</v>
      </c>
      <c r="G580">
        <v>170096</v>
      </c>
    </row>
    <row r="581" spans="1:7" x14ac:dyDescent="0.35">
      <c r="A581" t="s">
        <v>970</v>
      </c>
      <c r="B581" s="2">
        <v>45964</v>
      </c>
      <c r="C581" t="s">
        <v>41</v>
      </c>
      <c r="D581" t="s">
        <v>191</v>
      </c>
      <c r="E581" t="s">
        <v>394</v>
      </c>
      <c r="F581">
        <v>6</v>
      </c>
      <c r="G581">
        <v>127572</v>
      </c>
    </row>
    <row r="582" spans="1:7" x14ac:dyDescent="0.35">
      <c r="A582" t="s">
        <v>971</v>
      </c>
      <c r="B582" s="2">
        <v>45955</v>
      </c>
      <c r="C582" t="s">
        <v>27</v>
      </c>
      <c r="D582" t="s">
        <v>189</v>
      </c>
      <c r="E582" t="s">
        <v>403</v>
      </c>
      <c r="F582">
        <v>9</v>
      </c>
      <c r="G582">
        <v>339156</v>
      </c>
    </row>
    <row r="583" spans="1:7" x14ac:dyDescent="0.35">
      <c r="A583" t="s">
        <v>972</v>
      </c>
      <c r="B583" s="2">
        <v>45903</v>
      </c>
      <c r="C583" t="s">
        <v>41</v>
      </c>
      <c r="D583" t="s">
        <v>377</v>
      </c>
      <c r="E583" t="s">
        <v>391</v>
      </c>
      <c r="F583">
        <v>10</v>
      </c>
      <c r="G583">
        <v>212620</v>
      </c>
    </row>
    <row r="584" spans="1:7" x14ac:dyDescent="0.35">
      <c r="A584" t="s">
        <v>973</v>
      </c>
      <c r="B584" s="2">
        <v>45674</v>
      </c>
      <c r="C584" t="s">
        <v>39</v>
      </c>
      <c r="D584" t="s">
        <v>101</v>
      </c>
      <c r="E584" t="s">
        <v>391</v>
      </c>
      <c r="F584">
        <v>10</v>
      </c>
      <c r="G584">
        <v>482880</v>
      </c>
    </row>
    <row r="585" spans="1:7" x14ac:dyDescent="0.35">
      <c r="A585" t="s">
        <v>974</v>
      </c>
      <c r="B585" s="2">
        <v>45836</v>
      </c>
      <c r="C585" t="s">
        <v>37</v>
      </c>
      <c r="D585" t="s">
        <v>165</v>
      </c>
      <c r="E585" t="s">
        <v>389</v>
      </c>
      <c r="F585">
        <v>7</v>
      </c>
      <c r="G585">
        <v>13671</v>
      </c>
    </row>
    <row r="586" spans="1:7" x14ac:dyDescent="0.35">
      <c r="A586" t="s">
        <v>975</v>
      </c>
      <c r="B586" s="2">
        <v>45847</v>
      </c>
      <c r="C586" t="s">
        <v>63</v>
      </c>
      <c r="D586" t="s">
        <v>351</v>
      </c>
      <c r="E586" t="s">
        <v>403</v>
      </c>
      <c r="F586">
        <v>10</v>
      </c>
      <c r="G586">
        <v>87680</v>
      </c>
    </row>
    <row r="587" spans="1:7" x14ac:dyDescent="0.35">
      <c r="A587" t="s">
        <v>976</v>
      </c>
      <c r="B587" s="2">
        <v>45919</v>
      </c>
      <c r="C587" t="s">
        <v>53</v>
      </c>
      <c r="D587" t="s">
        <v>123</v>
      </c>
      <c r="E587" t="s">
        <v>403</v>
      </c>
      <c r="F587">
        <v>3</v>
      </c>
      <c r="G587">
        <v>12624</v>
      </c>
    </row>
    <row r="588" spans="1:7" x14ac:dyDescent="0.35">
      <c r="A588" t="s">
        <v>977</v>
      </c>
      <c r="B588" s="2">
        <v>45958</v>
      </c>
      <c r="C588" t="s">
        <v>7</v>
      </c>
      <c r="D588" t="s">
        <v>275</v>
      </c>
      <c r="E588" t="s">
        <v>387</v>
      </c>
      <c r="F588">
        <v>2</v>
      </c>
      <c r="G588">
        <v>52266</v>
      </c>
    </row>
    <row r="589" spans="1:7" x14ac:dyDescent="0.35">
      <c r="A589" t="s">
        <v>978</v>
      </c>
      <c r="B589" s="2">
        <v>45676</v>
      </c>
      <c r="C589" t="s">
        <v>63</v>
      </c>
      <c r="D589" t="s">
        <v>305</v>
      </c>
      <c r="E589" t="s">
        <v>391</v>
      </c>
      <c r="F589">
        <v>4</v>
      </c>
      <c r="G589">
        <v>35072</v>
      </c>
    </row>
    <row r="590" spans="1:7" x14ac:dyDescent="0.35">
      <c r="A590" t="s">
        <v>979</v>
      </c>
      <c r="B590" s="2">
        <v>45914</v>
      </c>
      <c r="C590" t="s">
        <v>37</v>
      </c>
      <c r="D590" t="s">
        <v>357</v>
      </c>
      <c r="E590" t="s">
        <v>391</v>
      </c>
      <c r="F590">
        <v>5</v>
      </c>
      <c r="G590">
        <v>9765</v>
      </c>
    </row>
    <row r="591" spans="1:7" x14ac:dyDescent="0.35">
      <c r="A591" t="s">
        <v>980</v>
      </c>
      <c r="B591" s="2">
        <v>45807</v>
      </c>
      <c r="C591" t="s">
        <v>49</v>
      </c>
      <c r="D591" t="s">
        <v>245</v>
      </c>
      <c r="E591" t="s">
        <v>387</v>
      </c>
      <c r="F591">
        <v>3</v>
      </c>
      <c r="G591">
        <v>136542</v>
      </c>
    </row>
    <row r="592" spans="1:7" x14ac:dyDescent="0.35">
      <c r="A592" t="s">
        <v>981</v>
      </c>
      <c r="B592" s="2">
        <v>45909</v>
      </c>
      <c r="C592" t="s">
        <v>55</v>
      </c>
      <c r="D592" t="s">
        <v>225</v>
      </c>
      <c r="E592" t="s">
        <v>389</v>
      </c>
      <c r="F592">
        <v>6</v>
      </c>
      <c r="G592">
        <v>68490</v>
      </c>
    </row>
    <row r="593" spans="1:7" x14ac:dyDescent="0.35">
      <c r="A593" t="s">
        <v>982</v>
      </c>
      <c r="B593" s="2">
        <v>45873</v>
      </c>
      <c r="C593" t="s">
        <v>35</v>
      </c>
      <c r="D593" t="s">
        <v>165</v>
      </c>
      <c r="E593" t="s">
        <v>391</v>
      </c>
      <c r="F593">
        <v>7</v>
      </c>
      <c r="G593">
        <v>346220</v>
      </c>
    </row>
    <row r="594" spans="1:7" x14ac:dyDescent="0.35">
      <c r="A594" t="s">
        <v>983</v>
      </c>
      <c r="B594" s="2">
        <v>45683</v>
      </c>
      <c r="C594" t="s">
        <v>43</v>
      </c>
      <c r="D594" t="s">
        <v>239</v>
      </c>
      <c r="E594" t="s">
        <v>391</v>
      </c>
      <c r="F594">
        <v>6</v>
      </c>
      <c r="G594">
        <v>226950</v>
      </c>
    </row>
    <row r="595" spans="1:7" x14ac:dyDescent="0.35">
      <c r="A595" t="s">
        <v>984</v>
      </c>
      <c r="B595" s="2">
        <v>45737</v>
      </c>
      <c r="C595" t="s">
        <v>37</v>
      </c>
      <c r="D595" t="s">
        <v>281</v>
      </c>
      <c r="E595" t="s">
        <v>391</v>
      </c>
      <c r="F595">
        <v>9</v>
      </c>
      <c r="G595">
        <v>17577</v>
      </c>
    </row>
    <row r="596" spans="1:7" x14ac:dyDescent="0.35">
      <c r="A596" t="s">
        <v>985</v>
      </c>
      <c r="B596" s="2">
        <v>45958</v>
      </c>
      <c r="C596" t="s">
        <v>13</v>
      </c>
      <c r="D596" t="s">
        <v>199</v>
      </c>
      <c r="E596" t="s">
        <v>403</v>
      </c>
      <c r="F596">
        <v>3</v>
      </c>
      <c r="G596">
        <v>90531</v>
      </c>
    </row>
    <row r="597" spans="1:7" x14ac:dyDescent="0.35">
      <c r="A597" t="s">
        <v>986</v>
      </c>
      <c r="B597" s="2">
        <v>45873</v>
      </c>
      <c r="C597" t="s">
        <v>47</v>
      </c>
      <c r="D597" t="s">
        <v>203</v>
      </c>
      <c r="E597" t="s">
        <v>389</v>
      </c>
      <c r="F597">
        <v>1</v>
      </c>
      <c r="G597">
        <v>22062</v>
      </c>
    </row>
    <row r="598" spans="1:7" x14ac:dyDescent="0.35">
      <c r="A598" t="s">
        <v>987</v>
      </c>
      <c r="B598" s="2">
        <v>45706</v>
      </c>
      <c r="C598" t="s">
        <v>23</v>
      </c>
      <c r="D598" t="s">
        <v>157</v>
      </c>
      <c r="E598" t="s">
        <v>389</v>
      </c>
      <c r="F598">
        <v>6</v>
      </c>
      <c r="G598">
        <v>36414</v>
      </c>
    </row>
    <row r="599" spans="1:7" x14ac:dyDescent="0.35">
      <c r="A599" t="s">
        <v>988</v>
      </c>
      <c r="B599" s="2">
        <v>45842</v>
      </c>
      <c r="C599" t="s">
        <v>65</v>
      </c>
      <c r="D599" t="s">
        <v>379</v>
      </c>
      <c r="E599" t="s">
        <v>403</v>
      </c>
      <c r="F599">
        <v>5</v>
      </c>
      <c r="G599">
        <v>2725</v>
      </c>
    </row>
    <row r="600" spans="1:7" x14ac:dyDescent="0.35">
      <c r="A600" t="s">
        <v>989</v>
      </c>
      <c r="B600" s="2">
        <v>45810</v>
      </c>
      <c r="C600" t="s">
        <v>49</v>
      </c>
      <c r="D600" t="s">
        <v>203</v>
      </c>
      <c r="E600" t="s">
        <v>391</v>
      </c>
      <c r="F600">
        <v>9</v>
      </c>
      <c r="G600">
        <v>409626</v>
      </c>
    </row>
    <row r="601" spans="1:7" x14ac:dyDescent="0.35">
      <c r="A601" t="s">
        <v>990</v>
      </c>
      <c r="B601" s="2">
        <v>45787</v>
      </c>
      <c r="C601" t="s">
        <v>29</v>
      </c>
      <c r="D601" t="s">
        <v>321</v>
      </c>
      <c r="E601" t="s">
        <v>387</v>
      </c>
      <c r="F601">
        <v>5</v>
      </c>
      <c r="G601">
        <v>213220</v>
      </c>
    </row>
    <row r="602" spans="1:7" x14ac:dyDescent="0.35">
      <c r="A602" t="s">
        <v>991</v>
      </c>
      <c r="B602" s="2">
        <v>45675</v>
      </c>
      <c r="C602" t="s">
        <v>4</v>
      </c>
      <c r="D602" t="s">
        <v>151</v>
      </c>
      <c r="E602" t="s">
        <v>403</v>
      </c>
      <c r="F602">
        <v>7</v>
      </c>
      <c r="G602">
        <v>82705</v>
      </c>
    </row>
    <row r="603" spans="1:7" x14ac:dyDescent="0.35">
      <c r="A603" t="s">
        <v>992</v>
      </c>
      <c r="B603" s="2">
        <v>45967</v>
      </c>
      <c r="C603" t="s">
        <v>39</v>
      </c>
      <c r="D603" t="s">
        <v>241</v>
      </c>
      <c r="E603" t="s">
        <v>389</v>
      </c>
      <c r="F603">
        <v>10</v>
      </c>
      <c r="G603">
        <v>482880</v>
      </c>
    </row>
    <row r="604" spans="1:7" x14ac:dyDescent="0.35">
      <c r="A604" t="s">
        <v>993</v>
      </c>
      <c r="B604" s="2">
        <v>46001</v>
      </c>
      <c r="C604" t="s">
        <v>29</v>
      </c>
      <c r="D604" t="s">
        <v>319</v>
      </c>
      <c r="E604" t="s">
        <v>394</v>
      </c>
      <c r="F604">
        <v>7</v>
      </c>
      <c r="G604">
        <v>298508</v>
      </c>
    </row>
    <row r="605" spans="1:7" x14ac:dyDescent="0.35">
      <c r="A605" t="s">
        <v>994</v>
      </c>
      <c r="B605" s="2">
        <v>45702</v>
      </c>
      <c r="C605" t="s">
        <v>45</v>
      </c>
      <c r="D605" t="s">
        <v>359</v>
      </c>
      <c r="E605" t="s">
        <v>387</v>
      </c>
      <c r="F605">
        <v>2</v>
      </c>
      <c r="G605">
        <v>15652</v>
      </c>
    </row>
    <row r="606" spans="1:7" x14ac:dyDescent="0.35">
      <c r="A606" t="s">
        <v>995</v>
      </c>
      <c r="B606" s="2">
        <v>45787</v>
      </c>
      <c r="C606" t="s">
        <v>41</v>
      </c>
      <c r="D606" t="s">
        <v>255</v>
      </c>
      <c r="E606" t="s">
        <v>394</v>
      </c>
      <c r="F606">
        <v>2</v>
      </c>
      <c r="G606">
        <v>42524</v>
      </c>
    </row>
    <row r="607" spans="1:7" x14ac:dyDescent="0.35">
      <c r="A607" t="s">
        <v>996</v>
      </c>
      <c r="B607" s="2">
        <v>46012</v>
      </c>
      <c r="C607" t="s">
        <v>49</v>
      </c>
      <c r="D607" t="s">
        <v>191</v>
      </c>
      <c r="E607" t="s">
        <v>387</v>
      </c>
      <c r="F607">
        <v>6</v>
      </c>
      <c r="G607">
        <v>273084</v>
      </c>
    </row>
    <row r="608" spans="1:7" x14ac:dyDescent="0.35">
      <c r="A608" t="s">
        <v>997</v>
      </c>
      <c r="B608" s="2">
        <v>45962</v>
      </c>
      <c r="C608" t="s">
        <v>10</v>
      </c>
      <c r="D608" t="s">
        <v>327</v>
      </c>
      <c r="E608" t="s">
        <v>394</v>
      </c>
      <c r="F608">
        <v>3</v>
      </c>
      <c r="G608">
        <v>13548</v>
      </c>
    </row>
    <row r="609" spans="1:7" x14ac:dyDescent="0.35">
      <c r="A609" t="s">
        <v>998</v>
      </c>
      <c r="B609" s="2">
        <v>45682</v>
      </c>
      <c r="C609" t="s">
        <v>59</v>
      </c>
      <c r="D609" t="s">
        <v>133</v>
      </c>
      <c r="E609" t="s">
        <v>403</v>
      </c>
      <c r="F609">
        <v>2</v>
      </c>
      <c r="G609">
        <v>96212</v>
      </c>
    </row>
    <row r="610" spans="1:7" x14ac:dyDescent="0.35">
      <c r="A610" t="s">
        <v>999</v>
      </c>
      <c r="B610" s="2">
        <v>45726</v>
      </c>
      <c r="C610" t="s">
        <v>53</v>
      </c>
      <c r="D610" t="s">
        <v>117</v>
      </c>
      <c r="E610" t="s">
        <v>387</v>
      </c>
      <c r="F610">
        <v>6</v>
      </c>
      <c r="G610">
        <v>25248</v>
      </c>
    </row>
    <row r="611" spans="1:7" x14ac:dyDescent="0.35">
      <c r="A611" t="s">
        <v>1000</v>
      </c>
      <c r="B611" s="2">
        <v>45972</v>
      </c>
      <c r="C611" t="s">
        <v>53</v>
      </c>
      <c r="D611" t="s">
        <v>285</v>
      </c>
      <c r="E611" t="s">
        <v>403</v>
      </c>
      <c r="F611">
        <v>1</v>
      </c>
      <c r="G611">
        <v>4208</v>
      </c>
    </row>
    <row r="612" spans="1:7" x14ac:dyDescent="0.35">
      <c r="A612" t="s">
        <v>1001</v>
      </c>
      <c r="B612" s="2">
        <v>45940</v>
      </c>
      <c r="C612" t="s">
        <v>31</v>
      </c>
      <c r="D612" t="s">
        <v>359</v>
      </c>
      <c r="E612" t="s">
        <v>387</v>
      </c>
      <c r="F612">
        <v>3</v>
      </c>
      <c r="G612">
        <v>89898</v>
      </c>
    </row>
    <row r="613" spans="1:7" x14ac:dyDescent="0.35">
      <c r="A613" t="s">
        <v>1002</v>
      </c>
      <c r="B613" s="2">
        <v>45942</v>
      </c>
      <c r="C613" t="s">
        <v>45</v>
      </c>
      <c r="D613" t="s">
        <v>163</v>
      </c>
      <c r="E613" t="s">
        <v>403</v>
      </c>
      <c r="F613">
        <v>1</v>
      </c>
      <c r="G613">
        <v>7826</v>
      </c>
    </row>
    <row r="614" spans="1:7" x14ac:dyDescent="0.35">
      <c r="A614" t="s">
        <v>1003</v>
      </c>
      <c r="B614" s="2">
        <v>45931</v>
      </c>
      <c r="C614" t="s">
        <v>35</v>
      </c>
      <c r="D614" t="s">
        <v>277</v>
      </c>
      <c r="E614" t="s">
        <v>389</v>
      </c>
      <c r="F614">
        <v>3</v>
      </c>
      <c r="G614">
        <v>148380</v>
      </c>
    </row>
    <row r="615" spans="1:7" x14ac:dyDescent="0.35">
      <c r="A615" t="s">
        <v>1004</v>
      </c>
      <c r="B615" s="2">
        <v>45883</v>
      </c>
      <c r="C615" t="s">
        <v>33</v>
      </c>
      <c r="D615" t="s">
        <v>247</v>
      </c>
      <c r="E615" t="s">
        <v>391</v>
      </c>
      <c r="F615">
        <v>4</v>
      </c>
      <c r="G615">
        <v>145012</v>
      </c>
    </row>
    <row r="616" spans="1:7" x14ac:dyDescent="0.35">
      <c r="A616" t="s">
        <v>1005</v>
      </c>
      <c r="B616" s="2">
        <v>45903</v>
      </c>
      <c r="C616" t="s">
        <v>63</v>
      </c>
      <c r="D616" t="s">
        <v>74</v>
      </c>
      <c r="E616" t="s">
        <v>391</v>
      </c>
      <c r="F616">
        <v>7</v>
      </c>
      <c r="G616">
        <v>61376</v>
      </c>
    </row>
    <row r="617" spans="1:7" x14ac:dyDescent="0.35">
      <c r="A617" t="s">
        <v>1006</v>
      </c>
      <c r="B617" s="2">
        <v>45686</v>
      </c>
      <c r="C617" t="s">
        <v>47</v>
      </c>
      <c r="D617" t="s">
        <v>115</v>
      </c>
      <c r="E617" t="s">
        <v>389</v>
      </c>
      <c r="F617">
        <v>3</v>
      </c>
      <c r="G617">
        <v>66186</v>
      </c>
    </row>
    <row r="618" spans="1:7" x14ac:dyDescent="0.35">
      <c r="A618" t="s">
        <v>1007</v>
      </c>
      <c r="B618" s="2">
        <v>45802</v>
      </c>
      <c r="C618" t="s">
        <v>49</v>
      </c>
      <c r="D618" t="s">
        <v>223</v>
      </c>
      <c r="E618" t="s">
        <v>389</v>
      </c>
      <c r="F618">
        <v>9</v>
      </c>
      <c r="G618">
        <v>409626</v>
      </c>
    </row>
    <row r="619" spans="1:7" x14ac:dyDescent="0.35">
      <c r="A619" t="s">
        <v>1008</v>
      </c>
      <c r="B619" s="2">
        <v>46007</v>
      </c>
      <c r="C619" t="s">
        <v>55</v>
      </c>
      <c r="D619" t="s">
        <v>357</v>
      </c>
      <c r="E619" t="s">
        <v>387</v>
      </c>
      <c r="F619">
        <v>5</v>
      </c>
      <c r="G619">
        <v>57075</v>
      </c>
    </row>
    <row r="620" spans="1:7" x14ac:dyDescent="0.35">
      <c r="A620" t="s">
        <v>1009</v>
      </c>
      <c r="B620" s="2">
        <v>46008</v>
      </c>
      <c r="C620" t="s">
        <v>19</v>
      </c>
      <c r="D620" t="s">
        <v>125</v>
      </c>
      <c r="E620" t="s">
        <v>391</v>
      </c>
      <c r="F620">
        <v>4</v>
      </c>
      <c r="G620">
        <v>168636</v>
      </c>
    </row>
    <row r="621" spans="1:7" x14ac:dyDescent="0.35">
      <c r="A621" t="s">
        <v>1010</v>
      </c>
      <c r="B621" s="2">
        <v>46002</v>
      </c>
      <c r="C621" t="s">
        <v>37</v>
      </c>
      <c r="D621" t="s">
        <v>349</v>
      </c>
      <c r="E621" t="s">
        <v>394</v>
      </c>
      <c r="F621">
        <v>9</v>
      </c>
      <c r="G621">
        <v>17577</v>
      </c>
    </row>
    <row r="622" spans="1:7" x14ac:dyDescent="0.35">
      <c r="A622" t="s">
        <v>1011</v>
      </c>
      <c r="B622" s="2">
        <v>45711</v>
      </c>
      <c r="C622" t="s">
        <v>19</v>
      </c>
      <c r="D622" t="s">
        <v>203</v>
      </c>
      <c r="E622" t="s">
        <v>394</v>
      </c>
      <c r="F622">
        <v>3</v>
      </c>
      <c r="G622">
        <v>126477</v>
      </c>
    </row>
    <row r="623" spans="1:7" x14ac:dyDescent="0.35">
      <c r="A623" t="s">
        <v>1012</v>
      </c>
      <c r="B623" s="2">
        <v>45834</v>
      </c>
      <c r="C623" t="s">
        <v>47</v>
      </c>
      <c r="D623" t="s">
        <v>313</v>
      </c>
      <c r="E623" t="s">
        <v>389</v>
      </c>
      <c r="F623">
        <v>6</v>
      </c>
      <c r="G623">
        <v>132372</v>
      </c>
    </row>
    <row r="624" spans="1:7" x14ac:dyDescent="0.35">
      <c r="A624" t="s">
        <v>1013</v>
      </c>
      <c r="B624" s="2">
        <v>45676</v>
      </c>
      <c r="C624" t="s">
        <v>4</v>
      </c>
      <c r="D624" t="s">
        <v>353</v>
      </c>
      <c r="E624" t="s">
        <v>389</v>
      </c>
      <c r="F624">
        <v>5</v>
      </c>
      <c r="G624">
        <v>59075</v>
      </c>
    </row>
    <row r="625" spans="1:7" x14ac:dyDescent="0.35">
      <c r="A625" t="s">
        <v>1014</v>
      </c>
      <c r="B625" s="2">
        <v>45947</v>
      </c>
      <c r="C625" t="s">
        <v>35</v>
      </c>
      <c r="D625" t="s">
        <v>159</v>
      </c>
      <c r="E625" t="s">
        <v>394</v>
      </c>
      <c r="F625">
        <v>5</v>
      </c>
      <c r="G625">
        <v>247300</v>
      </c>
    </row>
    <row r="626" spans="1:7" x14ac:dyDescent="0.35">
      <c r="A626" t="s">
        <v>1015</v>
      </c>
      <c r="B626" s="2">
        <v>45945</v>
      </c>
      <c r="C626" t="s">
        <v>57</v>
      </c>
      <c r="D626" t="s">
        <v>341</v>
      </c>
      <c r="E626" t="s">
        <v>389</v>
      </c>
      <c r="F626">
        <v>9</v>
      </c>
      <c r="G626">
        <v>439101</v>
      </c>
    </row>
    <row r="627" spans="1:7" x14ac:dyDescent="0.35">
      <c r="A627" t="s">
        <v>1016</v>
      </c>
      <c r="B627" s="2">
        <v>45802</v>
      </c>
      <c r="C627" t="s">
        <v>29</v>
      </c>
      <c r="D627" t="s">
        <v>203</v>
      </c>
      <c r="E627" t="s">
        <v>389</v>
      </c>
      <c r="F627">
        <v>5</v>
      </c>
      <c r="G627">
        <v>213220</v>
      </c>
    </row>
    <row r="628" spans="1:7" x14ac:dyDescent="0.35">
      <c r="A628" t="s">
        <v>1017</v>
      </c>
      <c r="B628" s="2">
        <v>45786</v>
      </c>
      <c r="C628" t="s">
        <v>63</v>
      </c>
      <c r="D628" t="s">
        <v>111</v>
      </c>
      <c r="E628" t="s">
        <v>391</v>
      </c>
      <c r="F628">
        <v>5</v>
      </c>
      <c r="G628">
        <v>43840</v>
      </c>
    </row>
    <row r="629" spans="1:7" x14ac:dyDescent="0.35">
      <c r="A629" t="s">
        <v>1018</v>
      </c>
      <c r="B629" s="2">
        <v>45979</v>
      </c>
      <c r="C629" t="s">
        <v>41</v>
      </c>
      <c r="D629" t="s">
        <v>97</v>
      </c>
      <c r="E629" t="s">
        <v>387</v>
      </c>
      <c r="F629">
        <v>9</v>
      </c>
      <c r="G629">
        <v>191358</v>
      </c>
    </row>
    <row r="630" spans="1:7" x14ac:dyDescent="0.35">
      <c r="A630" t="s">
        <v>1019</v>
      </c>
      <c r="B630" s="2">
        <v>45823</v>
      </c>
      <c r="C630" t="s">
        <v>67</v>
      </c>
      <c r="D630" t="s">
        <v>337</v>
      </c>
      <c r="E630" t="s">
        <v>387</v>
      </c>
      <c r="F630">
        <v>5</v>
      </c>
      <c r="G630">
        <v>108080</v>
      </c>
    </row>
    <row r="631" spans="1:7" x14ac:dyDescent="0.35">
      <c r="A631" t="s">
        <v>1020</v>
      </c>
      <c r="B631" s="2">
        <v>45847</v>
      </c>
      <c r="C631" t="s">
        <v>10</v>
      </c>
      <c r="D631" t="s">
        <v>265</v>
      </c>
      <c r="E631" t="s">
        <v>394</v>
      </c>
      <c r="F631">
        <v>2</v>
      </c>
      <c r="G631">
        <v>9032</v>
      </c>
    </row>
    <row r="632" spans="1:7" x14ac:dyDescent="0.35">
      <c r="A632" t="s">
        <v>1021</v>
      </c>
      <c r="B632" s="2">
        <v>45717</v>
      </c>
      <c r="C632" t="s">
        <v>53</v>
      </c>
      <c r="D632" t="s">
        <v>317</v>
      </c>
      <c r="E632" t="s">
        <v>394</v>
      </c>
      <c r="F632">
        <v>6</v>
      </c>
      <c r="G632">
        <v>25248</v>
      </c>
    </row>
    <row r="633" spans="1:7" x14ac:dyDescent="0.35">
      <c r="A633" t="s">
        <v>1022</v>
      </c>
      <c r="B633" s="2">
        <v>45958</v>
      </c>
      <c r="C633" t="s">
        <v>59</v>
      </c>
      <c r="D633" t="s">
        <v>205</v>
      </c>
      <c r="E633" t="s">
        <v>387</v>
      </c>
      <c r="F633">
        <v>6</v>
      </c>
      <c r="G633">
        <v>288636</v>
      </c>
    </row>
    <row r="634" spans="1:7" x14ac:dyDescent="0.35">
      <c r="A634" t="s">
        <v>1023</v>
      </c>
      <c r="B634" s="2">
        <v>45884</v>
      </c>
      <c r="C634" t="s">
        <v>61</v>
      </c>
      <c r="D634" t="s">
        <v>103</v>
      </c>
      <c r="E634" t="s">
        <v>394</v>
      </c>
      <c r="F634">
        <v>4</v>
      </c>
      <c r="G634">
        <v>100064</v>
      </c>
    </row>
    <row r="635" spans="1:7" x14ac:dyDescent="0.35">
      <c r="A635" t="s">
        <v>1024</v>
      </c>
      <c r="B635" s="2">
        <v>45873</v>
      </c>
      <c r="C635" t="s">
        <v>4</v>
      </c>
      <c r="D635" t="s">
        <v>131</v>
      </c>
      <c r="E635" t="s">
        <v>389</v>
      </c>
      <c r="F635">
        <v>8</v>
      </c>
      <c r="G635">
        <v>94520</v>
      </c>
    </row>
    <row r="636" spans="1:7" x14ac:dyDescent="0.35">
      <c r="A636" t="s">
        <v>1025</v>
      </c>
      <c r="B636" s="2">
        <v>45999</v>
      </c>
      <c r="C636" t="s">
        <v>13</v>
      </c>
      <c r="D636" t="s">
        <v>317</v>
      </c>
      <c r="E636" t="s">
        <v>391</v>
      </c>
      <c r="F636">
        <v>6</v>
      </c>
      <c r="G636">
        <v>181062</v>
      </c>
    </row>
    <row r="637" spans="1:7" x14ac:dyDescent="0.35">
      <c r="A637" t="s">
        <v>1026</v>
      </c>
      <c r="B637" s="2">
        <v>45937</v>
      </c>
      <c r="C637" t="s">
        <v>55</v>
      </c>
      <c r="D637" t="s">
        <v>269</v>
      </c>
      <c r="E637" t="s">
        <v>391</v>
      </c>
      <c r="F637">
        <v>9</v>
      </c>
      <c r="G637">
        <v>102735</v>
      </c>
    </row>
    <row r="638" spans="1:7" x14ac:dyDescent="0.35">
      <c r="A638" t="s">
        <v>1027</v>
      </c>
      <c r="B638" s="2">
        <v>45871</v>
      </c>
      <c r="C638" t="s">
        <v>25</v>
      </c>
      <c r="D638" t="s">
        <v>355</v>
      </c>
      <c r="E638" t="s">
        <v>394</v>
      </c>
      <c r="F638">
        <v>5</v>
      </c>
      <c r="G638">
        <v>91215</v>
      </c>
    </row>
    <row r="639" spans="1:7" x14ac:dyDescent="0.35">
      <c r="A639" t="s">
        <v>1028</v>
      </c>
      <c r="B639" s="2">
        <v>45966</v>
      </c>
      <c r="C639" t="s">
        <v>59</v>
      </c>
      <c r="D639" t="s">
        <v>251</v>
      </c>
      <c r="E639" t="s">
        <v>387</v>
      </c>
      <c r="F639">
        <v>6</v>
      </c>
      <c r="G639">
        <v>288636</v>
      </c>
    </row>
    <row r="640" spans="1:7" x14ac:dyDescent="0.35">
      <c r="A640" t="s">
        <v>1029</v>
      </c>
      <c r="B640" s="2">
        <v>46001</v>
      </c>
      <c r="C640" t="s">
        <v>7</v>
      </c>
      <c r="D640" t="s">
        <v>159</v>
      </c>
      <c r="E640" t="s">
        <v>387</v>
      </c>
      <c r="F640">
        <v>10</v>
      </c>
      <c r="G640">
        <v>261330</v>
      </c>
    </row>
    <row r="641" spans="1:7" x14ac:dyDescent="0.35">
      <c r="A641" t="s">
        <v>1030</v>
      </c>
      <c r="B641" s="2">
        <v>45956</v>
      </c>
      <c r="C641" t="s">
        <v>21</v>
      </c>
      <c r="D641" t="s">
        <v>325</v>
      </c>
      <c r="E641" t="s">
        <v>389</v>
      </c>
      <c r="F641">
        <v>2</v>
      </c>
      <c r="G641">
        <v>30418</v>
      </c>
    </row>
    <row r="642" spans="1:7" x14ac:dyDescent="0.35">
      <c r="A642" t="s">
        <v>1031</v>
      </c>
      <c r="B642" s="2">
        <v>45967</v>
      </c>
      <c r="C642" t="s">
        <v>59</v>
      </c>
      <c r="D642" t="s">
        <v>175</v>
      </c>
      <c r="E642" t="s">
        <v>387</v>
      </c>
      <c r="F642">
        <v>4</v>
      </c>
      <c r="G642">
        <v>192424</v>
      </c>
    </row>
    <row r="643" spans="1:7" x14ac:dyDescent="0.35">
      <c r="A643" t="s">
        <v>1032</v>
      </c>
      <c r="B643" s="2">
        <v>45847</v>
      </c>
      <c r="C643" t="s">
        <v>39</v>
      </c>
      <c r="D643" t="s">
        <v>121</v>
      </c>
      <c r="E643" t="s">
        <v>394</v>
      </c>
      <c r="F643">
        <v>10</v>
      </c>
      <c r="G643">
        <v>482880</v>
      </c>
    </row>
    <row r="644" spans="1:7" x14ac:dyDescent="0.35">
      <c r="A644" t="s">
        <v>1033</v>
      </c>
      <c r="B644" s="2">
        <v>45964</v>
      </c>
      <c r="C644" t="s">
        <v>43</v>
      </c>
      <c r="D644" t="s">
        <v>193</v>
      </c>
      <c r="E644" t="s">
        <v>403</v>
      </c>
      <c r="F644">
        <v>3</v>
      </c>
      <c r="G644">
        <v>113475</v>
      </c>
    </row>
    <row r="645" spans="1:7" x14ac:dyDescent="0.35">
      <c r="A645" t="s">
        <v>1034</v>
      </c>
      <c r="B645" s="2">
        <v>45870</v>
      </c>
      <c r="C645" t="s">
        <v>27</v>
      </c>
      <c r="D645" t="s">
        <v>295</v>
      </c>
      <c r="E645" t="s">
        <v>387</v>
      </c>
      <c r="F645">
        <v>9</v>
      </c>
      <c r="G645">
        <v>339156</v>
      </c>
    </row>
    <row r="646" spans="1:7" x14ac:dyDescent="0.35">
      <c r="A646" t="s">
        <v>1035</v>
      </c>
      <c r="B646" s="2">
        <v>45807</v>
      </c>
      <c r="C646" t="s">
        <v>67</v>
      </c>
      <c r="D646" t="s">
        <v>95</v>
      </c>
      <c r="E646" t="s">
        <v>403</v>
      </c>
      <c r="F646">
        <v>1</v>
      </c>
      <c r="G646">
        <v>21616</v>
      </c>
    </row>
    <row r="647" spans="1:7" x14ac:dyDescent="0.35">
      <c r="A647" t="s">
        <v>1036</v>
      </c>
      <c r="B647" s="2">
        <v>45917</v>
      </c>
      <c r="C647" t="s">
        <v>53</v>
      </c>
      <c r="D647" t="s">
        <v>333</v>
      </c>
      <c r="E647" t="s">
        <v>391</v>
      </c>
      <c r="F647">
        <v>7</v>
      </c>
      <c r="G647">
        <v>29456</v>
      </c>
    </row>
    <row r="648" spans="1:7" x14ac:dyDescent="0.35">
      <c r="A648" t="s">
        <v>1037</v>
      </c>
      <c r="B648" s="2">
        <v>45729</v>
      </c>
      <c r="C648" t="s">
        <v>29</v>
      </c>
      <c r="D648" t="s">
        <v>183</v>
      </c>
      <c r="E648" t="s">
        <v>389</v>
      </c>
      <c r="F648">
        <v>8</v>
      </c>
      <c r="G648">
        <v>341152</v>
      </c>
    </row>
    <row r="649" spans="1:7" x14ac:dyDescent="0.35">
      <c r="A649" t="s">
        <v>1038</v>
      </c>
      <c r="B649" s="2">
        <v>45797</v>
      </c>
      <c r="C649" t="s">
        <v>57</v>
      </c>
      <c r="D649" t="s">
        <v>213</v>
      </c>
      <c r="E649" t="s">
        <v>403</v>
      </c>
      <c r="F649">
        <v>9</v>
      </c>
      <c r="G649">
        <v>439101</v>
      </c>
    </row>
    <row r="650" spans="1:7" x14ac:dyDescent="0.35">
      <c r="A650" t="s">
        <v>1039</v>
      </c>
      <c r="B650" s="2">
        <v>45922</v>
      </c>
      <c r="C650" t="s">
        <v>43</v>
      </c>
      <c r="D650" t="s">
        <v>309</v>
      </c>
      <c r="E650" t="s">
        <v>391</v>
      </c>
      <c r="F650">
        <v>2</v>
      </c>
      <c r="G650">
        <v>75650</v>
      </c>
    </row>
    <row r="651" spans="1:7" x14ac:dyDescent="0.35">
      <c r="A651" t="s">
        <v>1040</v>
      </c>
      <c r="B651" s="2">
        <v>45972</v>
      </c>
      <c r="C651" t="s">
        <v>4</v>
      </c>
      <c r="D651" t="s">
        <v>251</v>
      </c>
      <c r="E651" t="s">
        <v>391</v>
      </c>
      <c r="F651">
        <v>7</v>
      </c>
      <c r="G651">
        <v>82705</v>
      </c>
    </row>
    <row r="652" spans="1:7" x14ac:dyDescent="0.35">
      <c r="A652" t="s">
        <v>1041</v>
      </c>
      <c r="B652" s="2">
        <v>45683</v>
      </c>
      <c r="C652" t="s">
        <v>37</v>
      </c>
      <c r="D652" t="s">
        <v>88</v>
      </c>
      <c r="E652" t="s">
        <v>394</v>
      </c>
      <c r="F652">
        <v>8</v>
      </c>
      <c r="G652">
        <v>15624</v>
      </c>
    </row>
    <row r="653" spans="1:7" x14ac:dyDescent="0.35">
      <c r="A653" t="s">
        <v>1042</v>
      </c>
      <c r="B653" s="2">
        <v>45706</v>
      </c>
      <c r="C653" t="s">
        <v>7</v>
      </c>
      <c r="D653" t="s">
        <v>189</v>
      </c>
      <c r="E653" t="s">
        <v>389</v>
      </c>
      <c r="F653">
        <v>2</v>
      </c>
      <c r="G653">
        <v>52266</v>
      </c>
    </row>
    <row r="654" spans="1:7" x14ac:dyDescent="0.35">
      <c r="A654" t="s">
        <v>1043</v>
      </c>
      <c r="B654" s="2">
        <v>45761</v>
      </c>
      <c r="C654" t="s">
        <v>21</v>
      </c>
      <c r="D654" t="s">
        <v>209</v>
      </c>
      <c r="E654" t="s">
        <v>394</v>
      </c>
      <c r="F654">
        <v>7</v>
      </c>
      <c r="G654">
        <v>106463</v>
      </c>
    </row>
    <row r="655" spans="1:7" x14ac:dyDescent="0.35">
      <c r="A655" t="s">
        <v>1044</v>
      </c>
      <c r="B655" s="2">
        <v>45761</v>
      </c>
      <c r="C655" t="s">
        <v>4</v>
      </c>
      <c r="D655" t="s">
        <v>347</v>
      </c>
      <c r="E655" t="s">
        <v>391</v>
      </c>
      <c r="F655">
        <v>1</v>
      </c>
      <c r="G655">
        <v>11815</v>
      </c>
    </row>
    <row r="656" spans="1:7" x14ac:dyDescent="0.35">
      <c r="A656" t="s">
        <v>1045</v>
      </c>
      <c r="B656" s="2">
        <v>45718</v>
      </c>
      <c r="C656" t="s">
        <v>33</v>
      </c>
      <c r="D656" t="s">
        <v>131</v>
      </c>
      <c r="E656" t="s">
        <v>387</v>
      </c>
      <c r="F656">
        <v>2</v>
      </c>
      <c r="G656">
        <v>72506</v>
      </c>
    </row>
    <row r="657" spans="1:7" x14ac:dyDescent="0.35">
      <c r="A657" t="s">
        <v>1046</v>
      </c>
      <c r="B657" s="2">
        <v>45694</v>
      </c>
      <c r="C657" t="s">
        <v>23</v>
      </c>
      <c r="D657" t="s">
        <v>103</v>
      </c>
      <c r="E657" t="s">
        <v>391</v>
      </c>
      <c r="F657">
        <v>7</v>
      </c>
      <c r="G657">
        <v>42483</v>
      </c>
    </row>
    <row r="658" spans="1:7" x14ac:dyDescent="0.35">
      <c r="A658" t="s">
        <v>1047</v>
      </c>
      <c r="B658" s="2">
        <v>45866</v>
      </c>
      <c r="C658" t="s">
        <v>59</v>
      </c>
      <c r="D658" t="s">
        <v>263</v>
      </c>
      <c r="E658" t="s">
        <v>391</v>
      </c>
      <c r="F658">
        <v>10</v>
      </c>
      <c r="G658">
        <v>481060</v>
      </c>
    </row>
    <row r="659" spans="1:7" x14ac:dyDescent="0.35">
      <c r="A659" t="s">
        <v>1048</v>
      </c>
      <c r="B659" s="2">
        <v>45822</v>
      </c>
      <c r="C659" t="s">
        <v>23</v>
      </c>
      <c r="D659" t="s">
        <v>247</v>
      </c>
      <c r="E659" t="s">
        <v>391</v>
      </c>
      <c r="F659">
        <v>1</v>
      </c>
      <c r="G659">
        <v>6069</v>
      </c>
    </row>
    <row r="660" spans="1:7" x14ac:dyDescent="0.35">
      <c r="A660" t="s">
        <v>1049</v>
      </c>
      <c r="B660" s="2">
        <v>45670</v>
      </c>
      <c r="C660" t="s">
        <v>39</v>
      </c>
      <c r="D660" t="s">
        <v>219</v>
      </c>
      <c r="E660" t="s">
        <v>391</v>
      </c>
      <c r="F660">
        <v>7</v>
      </c>
      <c r="G660">
        <v>338016</v>
      </c>
    </row>
    <row r="661" spans="1:7" x14ac:dyDescent="0.35">
      <c r="A661" t="s">
        <v>1050</v>
      </c>
      <c r="B661" s="2">
        <v>45683</v>
      </c>
      <c r="C661" t="s">
        <v>31</v>
      </c>
      <c r="D661" t="s">
        <v>299</v>
      </c>
      <c r="E661" t="s">
        <v>387</v>
      </c>
      <c r="F661">
        <v>6</v>
      </c>
      <c r="G661">
        <v>179796</v>
      </c>
    </row>
    <row r="662" spans="1:7" x14ac:dyDescent="0.35">
      <c r="A662" t="s">
        <v>1051</v>
      </c>
      <c r="B662" s="2">
        <v>45881</v>
      </c>
      <c r="C662" t="s">
        <v>31</v>
      </c>
      <c r="D662" t="s">
        <v>311</v>
      </c>
      <c r="E662" t="s">
        <v>391</v>
      </c>
      <c r="F662">
        <v>4</v>
      </c>
      <c r="G662">
        <v>119864</v>
      </c>
    </row>
    <row r="663" spans="1:7" x14ac:dyDescent="0.35">
      <c r="A663" t="s">
        <v>1052</v>
      </c>
      <c r="B663" s="2">
        <v>45877</v>
      </c>
      <c r="C663" t="s">
        <v>19</v>
      </c>
      <c r="D663" t="s">
        <v>367</v>
      </c>
      <c r="E663" t="s">
        <v>403</v>
      </c>
      <c r="F663">
        <v>6</v>
      </c>
      <c r="G663">
        <v>252954</v>
      </c>
    </row>
    <row r="664" spans="1:7" x14ac:dyDescent="0.35">
      <c r="A664" t="s">
        <v>1053</v>
      </c>
      <c r="B664" s="2">
        <v>45819</v>
      </c>
      <c r="C664" t="s">
        <v>33</v>
      </c>
      <c r="D664" t="s">
        <v>147</v>
      </c>
      <c r="E664" t="s">
        <v>387</v>
      </c>
      <c r="F664">
        <v>2</v>
      </c>
      <c r="G664">
        <v>72506</v>
      </c>
    </row>
    <row r="665" spans="1:7" x14ac:dyDescent="0.35">
      <c r="A665" t="s">
        <v>1054</v>
      </c>
      <c r="B665" s="2">
        <v>45844</v>
      </c>
      <c r="C665" t="s">
        <v>53</v>
      </c>
      <c r="D665" t="s">
        <v>167</v>
      </c>
      <c r="E665" t="s">
        <v>389</v>
      </c>
      <c r="F665">
        <v>8</v>
      </c>
      <c r="G665">
        <v>33664</v>
      </c>
    </row>
    <row r="666" spans="1:7" x14ac:dyDescent="0.35">
      <c r="A666" t="s">
        <v>1055</v>
      </c>
      <c r="B666" s="2">
        <v>45834</v>
      </c>
      <c r="C666" t="s">
        <v>13</v>
      </c>
      <c r="D666" t="s">
        <v>78</v>
      </c>
      <c r="E666" t="s">
        <v>403</v>
      </c>
      <c r="F666">
        <v>10</v>
      </c>
      <c r="G666">
        <v>301770</v>
      </c>
    </row>
    <row r="667" spans="1:7" x14ac:dyDescent="0.35">
      <c r="A667" t="s">
        <v>1056</v>
      </c>
      <c r="B667" s="2">
        <v>45681</v>
      </c>
      <c r="C667" t="s">
        <v>57</v>
      </c>
      <c r="D667" t="s">
        <v>151</v>
      </c>
      <c r="E667" t="s">
        <v>387</v>
      </c>
      <c r="F667">
        <v>4</v>
      </c>
      <c r="G667">
        <v>195156</v>
      </c>
    </row>
    <row r="668" spans="1:7" x14ac:dyDescent="0.35">
      <c r="A668" t="s">
        <v>1057</v>
      </c>
      <c r="B668" s="2">
        <v>46017</v>
      </c>
      <c r="C668" t="s">
        <v>63</v>
      </c>
      <c r="D668" t="s">
        <v>95</v>
      </c>
      <c r="E668" t="s">
        <v>387</v>
      </c>
      <c r="F668">
        <v>2</v>
      </c>
      <c r="G668">
        <v>17536</v>
      </c>
    </row>
    <row r="669" spans="1:7" x14ac:dyDescent="0.35">
      <c r="A669" t="s">
        <v>1058</v>
      </c>
      <c r="B669" s="2">
        <v>46010</v>
      </c>
      <c r="C669" t="s">
        <v>45</v>
      </c>
      <c r="D669" t="s">
        <v>339</v>
      </c>
      <c r="E669" t="s">
        <v>389</v>
      </c>
      <c r="F669">
        <v>4</v>
      </c>
      <c r="G669">
        <v>31304</v>
      </c>
    </row>
    <row r="670" spans="1:7" x14ac:dyDescent="0.35">
      <c r="A670" t="s">
        <v>1059</v>
      </c>
      <c r="B670" s="2">
        <v>45940</v>
      </c>
      <c r="C670" t="s">
        <v>39</v>
      </c>
      <c r="D670" t="s">
        <v>159</v>
      </c>
      <c r="E670" t="s">
        <v>394</v>
      </c>
      <c r="F670">
        <v>8</v>
      </c>
      <c r="G670">
        <v>386304</v>
      </c>
    </row>
    <row r="671" spans="1:7" x14ac:dyDescent="0.35">
      <c r="A671" t="s">
        <v>1060</v>
      </c>
      <c r="B671" s="2">
        <v>45901</v>
      </c>
      <c r="C671" t="s">
        <v>10</v>
      </c>
      <c r="D671" t="s">
        <v>125</v>
      </c>
      <c r="E671" t="s">
        <v>394</v>
      </c>
      <c r="F671">
        <v>3</v>
      </c>
      <c r="G671">
        <v>13548</v>
      </c>
    </row>
    <row r="672" spans="1:7" x14ac:dyDescent="0.35">
      <c r="A672" t="s">
        <v>1061</v>
      </c>
      <c r="B672" s="2">
        <v>46010</v>
      </c>
      <c r="C672" t="s">
        <v>23</v>
      </c>
      <c r="D672" t="s">
        <v>347</v>
      </c>
      <c r="E672" t="s">
        <v>391</v>
      </c>
      <c r="F672">
        <v>2</v>
      </c>
      <c r="G672">
        <v>12138</v>
      </c>
    </row>
    <row r="673" spans="1:7" x14ac:dyDescent="0.35">
      <c r="A673" t="s">
        <v>1062</v>
      </c>
      <c r="B673" s="2">
        <v>45962</v>
      </c>
      <c r="C673" t="s">
        <v>37</v>
      </c>
      <c r="D673" t="s">
        <v>141</v>
      </c>
      <c r="E673" t="s">
        <v>389</v>
      </c>
      <c r="F673">
        <v>6</v>
      </c>
      <c r="G673">
        <v>11718</v>
      </c>
    </row>
    <row r="674" spans="1:7" x14ac:dyDescent="0.35">
      <c r="A674" t="s">
        <v>1063</v>
      </c>
      <c r="B674" s="2">
        <v>45941</v>
      </c>
      <c r="C674" t="s">
        <v>41</v>
      </c>
      <c r="D674" t="s">
        <v>285</v>
      </c>
      <c r="E674" t="s">
        <v>403</v>
      </c>
      <c r="F674">
        <v>3</v>
      </c>
      <c r="G674">
        <v>63786</v>
      </c>
    </row>
    <row r="675" spans="1:7" x14ac:dyDescent="0.35">
      <c r="A675" t="s">
        <v>1064</v>
      </c>
      <c r="B675" s="2">
        <v>45811</v>
      </c>
      <c r="C675" t="s">
        <v>51</v>
      </c>
      <c r="D675" t="s">
        <v>231</v>
      </c>
      <c r="E675" t="s">
        <v>391</v>
      </c>
      <c r="F675">
        <v>1</v>
      </c>
      <c r="G675">
        <v>31439</v>
      </c>
    </row>
    <row r="676" spans="1:7" x14ac:dyDescent="0.35">
      <c r="A676" t="s">
        <v>1065</v>
      </c>
      <c r="B676" s="2">
        <v>45969</v>
      </c>
      <c r="C676" t="s">
        <v>43</v>
      </c>
      <c r="D676" t="s">
        <v>177</v>
      </c>
      <c r="E676" t="s">
        <v>389</v>
      </c>
      <c r="F676">
        <v>4</v>
      </c>
      <c r="G676">
        <v>151300</v>
      </c>
    </row>
    <row r="677" spans="1:7" x14ac:dyDescent="0.35">
      <c r="A677" t="s">
        <v>1066</v>
      </c>
      <c r="B677" s="2">
        <v>45869</v>
      </c>
      <c r="C677" t="s">
        <v>27</v>
      </c>
      <c r="D677" t="s">
        <v>265</v>
      </c>
      <c r="E677" t="s">
        <v>387</v>
      </c>
      <c r="F677">
        <v>9</v>
      </c>
      <c r="G677">
        <v>339156</v>
      </c>
    </row>
    <row r="678" spans="1:7" x14ac:dyDescent="0.35">
      <c r="A678" t="s">
        <v>1067</v>
      </c>
      <c r="B678" s="2">
        <v>45679</v>
      </c>
      <c r="C678" t="s">
        <v>51</v>
      </c>
      <c r="D678" t="s">
        <v>187</v>
      </c>
      <c r="E678" t="s">
        <v>403</v>
      </c>
      <c r="F678">
        <v>3</v>
      </c>
      <c r="G678">
        <v>94317</v>
      </c>
    </row>
    <row r="679" spans="1:7" x14ac:dyDescent="0.35">
      <c r="A679" t="s">
        <v>1068</v>
      </c>
      <c r="B679" s="2">
        <v>45728</v>
      </c>
      <c r="C679" t="s">
        <v>41</v>
      </c>
      <c r="D679" t="s">
        <v>99</v>
      </c>
      <c r="E679" t="s">
        <v>387</v>
      </c>
      <c r="F679">
        <v>8</v>
      </c>
      <c r="G679">
        <v>170096</v>
      </c>
    </row>
    <row r="680" spans="1:7" x14ac:dyDescent="0.35">
      <c r="A680" t="s">
        <v>1069</v>
      </c>
      <c r="B680" s="2">
        <v>45671</v>
      </c>
      <c r="C680" t="s">
        <v>16</v>
      </c>
      <c r="D680" t="s">
        <v>173</v>
      </c>
      <c r="E680" t="s">
        <v>403</v>
      </c>
      <c r="F680">
        <v>6</v>
      </c>
      <c r="G680">
        <v>191772</v>
      </c>
    </row>
    <row r="681" spans="1:7" x14ac:dyDescent="0.35">
      <c r="A681" t="s">
        <v>1070</v>
      </c>
      <c r="B681" s="2">
        <v>45854</v>
      </c>
      <c r="C681" t="s">
        <v>35</v>
      </c>
      <c r="D681" t="s">
        <v>211</v>
      </c>
      <c r="E681" t="s">
        <v>389</v>
      </c>
      <c r="F681">
        <v>7</v>
      </c>
      <c r="G681">
        <v>346220</v>
      </c>
    </row>
    <row r="682" spans="1:7" x14ac:dyDescent="0.35">
      <c r="A682" t="s">
        <v>1071</v>
      </c>
      <c r="B682" s="2">
        <v>46014</v>
      </c>
      <c r="C682" t="s">
        <v>55</v>
      </c>
      <c r="D682" t="s">
        <v>335</v>
      </c>
      <c r="E682" t="s">
        <v>389</v>
      </c>
      <c r="F682">
        <v>5</v>
      </c>
      <c r="G682">
        <v>57075</v>
      </c>
    </row>
    <row r="683" spans="1:7" x14ac:dyDescent="0.35">
      <c r="A683" t="s">
        <v>1072</v>
      </c>
      <c r="B683" s="2">
        <v>45684</v>
      </c>
      <c r="C683" t="s">
        <v>55</v>
      </c>
      <c r="D683" t="s">
        <v>301</v>
      </c>
      <c r="E683" t="s">
        <v>394</v>
      </c>
      <c r="F683">
        <v>4</v>
      </c>
      <c r="G683">
        <v>45660</v>
      </c>
    </row>
    <row r="684" spans="1:7" x14ac:dyDescent="0.35">
      <c r="A684" t="s">
        <v>1073</v>
      </c>
      <c r="B684" s="2">
        <v>45685</v>
      </c>
      <c r="C684" t="s">
        <v>49</v>
      </c>
      <c r="D684" t="s">
        <v>369</v>
      </c>
      <c r="E684" t="s">
        <v>389</v>
      </c>
      <c r="F684">
        <v>6</v>
      </c>
      <c r="G684">
        <v>273084</v>
      </c>
    </row>
    <row r="685" spans="1:7" x14ac:dyDescent="0.35">
      <c r="A685" t="s">
        <v>1074</v>
      </c>
      <c r="B685" s="2">
        <v>46021</v>
      </c>
      <c r="C685" t="s">
        <v>25</v>
      </c>
      <c r="D685" t="s">
        <v>351</v>
      </c>
      <c r="E685" t="s">
        <v>387</v>
      </c>
      <c r="F685">
        <v>10</v>
      </c>
      <c r="G685">
        <v>182430</v>
      </c>
    </row>
    <row r="686" spans="1:7" x14ac:dyDescent="0.35">
      <c r="A686" t="s">
        <v>1075</v>
      </c>
      <c r="B686" s="2">
        <v>45717</v>
      </c>
      <c r="C686" t="s">
        <v>63</v>
      </c>
      <c r="D686" t="s">
        <v>253</v>
      </c>
      <c r="E686" t="s">
        <v>403</v>
      </c>
      <c r="F686">
        <v>9</v>
      </c>
      <c r="G686">
        <v>78912</v>
      </c>
    </row>
    <row r="687" spans="1:7" x14ac:dyDescent="0.35">
      <c r="A687" t="s">
        <v>1076</v>
      </c>
      <c r="B687" s="2">
        <v>45794</v>
      </c>
      <c r="C687" t="s">
        <v>41</v>
      </c>
      <c r="D687" t="s">
        <v>103</v>
      </c>
      <c r="E687" t="s">
        <v>389</v>
      </c>
      <c r="F687">
        <v>5</v>
      </c>
      <c r="G687">
        <v>106310</v>
      </c>
    </row>
    <row r="688" spans="1:7" x14ac:dyDescent="0.35">
      <c r="A688" t="s">
        <v>1077</v>
      </c>
      <c r="B688" s="2">
        <v>45884</v>
      </c>
      <c r="C688" t="s">
        <v>27</v>
      </c>
      <c r="D688" t="s">
        <v>233</v>
      </c>
      <c r="E688" t="s">
        <v>391</v>
      </c>
      <c r="F688">
        <v>3</v>
      </c>
      <c r="G688">
        <v>113052</v>
      </c>
    </row>
    <row r="689" spans="1:7" x14ac:dyDescent="0.35">
      <c r="A689" t="s">
        <v>1078</v>
      </c>
      <c r="B689" s="2">
        <v>45671</v>
      </c>
      <c r="C689" t="s">
        <v>59</v>
      </c>
      <c r="D689" t="s">
        <v>233</v>
      </c>
      <c r="E689" t="s">
        <v>391</v>
      </c>
      <c r="F689">
        <v>2</v>
      </c>
      <c r="G689">
        <v>96212</v>
      </c>
    </row>
    <row r="690" spans="1:7" x14ac:dyDescent="0.35">
      <c r="A690" t="s">
        <v>1079</v>
      </c>
      <c r="B690" s="2">
        <v>45957</v>
      </c>
      <c r="C690" t="s">
        <v>27</v>
      </c>
      <c r="D690" t="s">
        <v>119</v>
      </c>
      <c r="E690" t="s">
        <v>403</v>
      </c>
      <c r="F690">
        <v>10</v>
      </c>
      <c r="G690">
        <v>376840</v>
      </c>
    </row>
    <row r="691" spans="1:7" x14ac:dyDescent="0.35">
      <c r="A691" t="s">
        <v>1080</v>
      </c>
      <c r="B691" s="2">
        <v>45986</v>
      </c>
      <c r="C691" t="s">
        <v>37</v>
      </c>
      <c r="D691" t="s">
        <v>245</v>
      </c>
      <c r="E691" t="s">
        <v>391</v>
      </c>
      <c r="F691">
        <v>1</v>
      </c>
      <c r="G691">
        <v>1953</v>
      </c>
    </row>
    <row r="692" spans="1:7" x14ac:dyDescent="0.35">
      <c r="A692" t="s">
        <v>1081</v>
      </c>
      <c r="B692" s="2">
        <v>45731</v>
      </c>
      <c r="C692" t="s">
        <v>51</v>
      </c>
      <c r="D692" t="s">
        <v>125</v>
      </c>
      <c r="E692" t="s">
        <v>403</v>
      </c>
      <c r="F692">
        <v>10</v>
      </c>
      <c r="G692">
        <v>314390</v>
      </c>
    </row>
    <row r="693" spans="1:7" x14ac:dyDescent="0.35">
      <c r="A693" t="s">
        <v>1082</v>
      </c>
      <c r="B693" s="2">
        <v>45713</v>
      </c>
      <c r="C693" t="s">
        <v>35</v>
      </c>
      <c r="D693" t="s">
        <v>165</v>
      </c>
      <c r="E693" t="s">
        <v>391</v>
      </c>
      <c r="F693">
        <v>4</v>
      </c>
      <c r="G693">
        <v>197840</v>
      </c>
    </row>
    <row r="694" spans="1:7" x14ac:dyDescent="0.35">
      <c r="A694" t="s">
        <v>1083</v>
      </c>
      <c r="B694" s="2">
        <v>45776</v>
      </c>
      <c r="C694" t="s">
        <v>27</v>
      </c>
      <c r="D694" t="s">
        <v>91</v>
      </c>
      <c r="E694" t="s">
        <v>389</v>
      </c>
      <c r="F694">
        <v>8</v>
      </c>
      <c r="G694">
        <v>301472</v>
      </c>
    </row>
    <row r="695" spans="1:7" x14ac:dyDescent="0.35">
      <c r="A695" t="s">
        <v>1084</v>
      </c>
      <c r="B695" s="2">
        <v>45950</v>
      </c>
      <c r="C695" t="s">
        <v>41</v>
      </c>
      <c r="D695" t="s">
        <v>207</v>
      </c>
      <c r="E695" t="s">
        <v>391</v>
      </c>
      <c r="F695">
        <v>2</v>
      </c>
      <c r="G695">
        <v>42524</v>
      </c>
    </row>
    <row r="696" spans="1:7" x14ac:dyDescent="0.35">
      <c r="A696" t="s">
        <v>1085</v>
      </c>
      <c r="B696" s="2">
        <v>45678</v>
      </c>
      <c r="C696" t="s">
        <v>41</v>
      </c>
      <c r="D696" t="s">
        <v>257</v>
      </c>
      <c r="E696" t="s">
        <v>387</v>
      </c>
      <c r="F696">
        <v>3</v>
      </c>
      <c r="G696">
        <v>63786</v>
      </c>
    </row>
    <row r="697" spans="1:7" x14ac:dyDescent="0.35">
      <c r="A697" t="s">
        <v>1086</v>
      </c>
      <c r="B697" s="2">
        <v>45763</v>
      </c>
      <c r="C697" t="s">
        <v>65</v>
      </c>
      <c r="D697" t="s">
        <v>227</v>
      </c>
      <c r="E697" t="s">
        <v>387</v>
      </c>
      <c r="F697">
        <v>1</v>
      </c>
      <c r="G697">
        <v>545</v>
      </c>
    </row>
    <row r="698" spans="1:7" x14ac:dyDescent="0.35">
      <c r="A698" t="s">
        <v>1087</v>
      </c>
      <c r="B698" s="2">
        <v>45874</v>
      </c>
      <c r="C698" t="s">
        <v>16</v>
      </c>
      <c r="D698" t="s">
        <v>233</v>
      </c>
      <c r="E698" t="s">
        <v>387</v>
      </c>
      <c r="F698">
        <v>7</v>
      </c>
      <c r="G698">
        <v>223734</v>
      </c>
    </row>
    <row r="699" spans="1:7" x14ac:dyDescent="0.35">
      <c r="A699" t="s">
        <v>1088</v>
      </c>
      <c r="B699" s="2">
        <v>45974</v>
      </c>
      <c r="C699" t="s">
        <v>21</v>
      </c>
      <c r="D699" t="s">
        <v>121</v>
      </c>
      <c r="E699" t="s">
        <v>391</v>
      </c>
      <c r="F699">
        <v>5</v>
      </c>
      <c r="G699">
        <v>76045</v>
      </c>
    </row>
    <row r="700" spans="1:7" x14ac:dyDescent="0.35">
      <c r="A700" t="s">
        <v>1089</v>
      </c>
      <c r="B700" s="2">
        <v>45785</v>
      </c>
      <c r="C700" t="s">
        <v>25</v>
      </c>
      <c r="D700" t="s">
        <v>249</v>
      </c>
      <c r="E700" t="s">
        <v>387</v>
      </c>
      <c r="F700">
        <v>10</v>
      </c>
      <c r="G700">
        <v>182430</v>
      </c>
    </row>
    <row r="701" spans="1:7" x14ac:dyDescent="0.35">
      <c r="A701" t="s">
        <v>1090</v>
      </c>
      <c r="B701" s="2">
        <v>45957</v>
      </c>
      <c r="C701" t="s">
        <v>25</v>
      </c>
      <c r="D701" t="s">
        <v>245</v>
      </c>
      <c r="E701" t="s">
        <v>394</v>
      </c>
      <c r="F701">
        <v>9</v>
      </c>
      <c r="G701">
        <v>164187</v>
      </c>
    </row>
    <row r="702" spans="1:7" x14ac:dyDescent="0.35">
      <c r="A702" t="s">
        <v>1091</v>
      </c>
      <c r="B702" s="2">
        <v>45955</v>
      </c>
      <c r="C702" t="s">
        <v>61</v>
      </c>
      <c r="D702" t="s">
        <v>88</v>
      </c>
      <c r="E702" t="s">
        <v>403</v>
      </c>
      <c r="F702">
        <v>4</v>
      </c>
      <c r="G702">
        <v>100064</v>
      </c>
    </row>
    <row r="703" spans="1:7" x14ac:dyDescent="0.35">
      <c r="A703" t="s">
        <v>1092</v>
      </c>
      <c r="B703" s="2">
        <v>45659</v>
      </c>
      <c r="C703" t="s">
        <v>10</v>
      </c>
      <c r="D703" t="s">
        <v>139</v>
      </c>
      <c r="E703" t="s">
        <v>394</v>
      </c>
      <c r="F703">
        <v>5</v>
      </c>
      <c r="G703">
        <v>22580</v>
      </c>
    </row>
    <row r="704" spans="1:7" x14ac:dyDescent="0.35">
      <c r="A704" t="s">
        <v>1093</v>
      </c>
      <c r="B704" s="2">
        <v>46015</v>
      </c>
      <c r="C704" t="s">
        <v>33</v>
      </c>
      <c r="D704" t="s">
        <v>103</v>
      </c>
      <c r="E704" t="s">
        <v>389</v>
      </c>
      <c r="F704">
        <v>6</v>
      </c>
      <c r="G704">
        <v>217518</v>
      </c>
    </row>
    <row r="705" spans="1:7" x14ac:dyDescent="0.35">
      <c r="A705" t="s">
        <v>1094</v>
      </c>
      <c r="B705" s="2">
        <v>45968</v>
      </c>
      <c r="C705" t="s">
        <v>51</v>
      </c>
      <c r="D705" t="s">
        <v>151</v>
      </c>
      <c r="E705" t="s">
        <v>387</v>
      </c>
      <c r="F705">
        <v>8</v>
      </c>
      <c r="G705">
        <v>251512</v>
      </c>
    </row>
    <row r="706" spans="1:7" x14ac:dyDescent="0.35">
      <c r="A706" t="s">
        <v>1095</v>
      </c>
      <c r="B706" s="2">
        <v>45793</v>
      </c>
      <c r="C706" t="s">
        <v>67</v>
      </c>
      <c r="D706" t="s">
        <v>251</v>
      </c>
      <c r="E706" t="s">
        <v>389</v>
      </c>
      <c r="F706">
        <v>5</v>
      </c>
      <c r="G706">
        <v>108080</v>
      </c>
    </row>
    <row r="707" spans="1:7" x14ac:dyDescent="0.35">
      <c r="A707" t="s">
        <v>1096</v>
      </c>
      <c r="B707" s="2">
        <v>45693</v>
      </c>
      <c r="C707" t="s">
        <v>4</v>
      </c>
      <c r="D707" t="s">
        <v>365</v>
      </c>
      <c r="E707" t="s">
        <v>391</v>
      </c>
      <c r="F707">
        <v>3</v>
      </c>
      <c r="G707">
        <v>35445</v>
      </c>
    </row>
    <row r="708" spans="1:7" x14ac:dyDescent="0.35">
      <c r="A708" t="s">
        <v>1097</v>
      </c>
      <c r="B708" s="2">
        <v>45680</v>
      </c>
      <c r="C708" t="s">
        <v>10</v>
      </c>
      <c r="D708" t="s">
        <v>239</v>
      </c>
      <c r="E708" t="s">
        <v>391</v>
      </c>
      <c r="F708">
        <v>5</v>
      </c>
      <c r="G708">
        <v>22580</v>
      </c>
    </row>
    <row r="709" spans="1:7" x14ac:dyDescent="0.35">
      <c r="A709" t="s">
        <v>1098</v>
      </c>
      <c r="B709" s="2">
        <v>45890</v>
      </c>
      <c r="C709" t="s">
        <v>25</v>
      </c>
      <c r="D709" t="s">
        <v>253</v>
      </c>
      <c r="E709" t="s">
        <v>394</v>
      </c>
      <c r="F709">
        <v>3</v>
      </c>
      <c r="G709">
        <v>54729</v>
      </c>
    </row>
    <row r="710" spans="1:7" x14ac:dyDescent="0.35">
      <c r="A710" t="s">
        <v>1099</v>
      </c>
      <c r="B710" s="2">
        <v>45674</v>
      </c>
      <c r="C710" t="s">
        <v>43</v>
      </c>
      <c r="D710" t="s">
        <v>199</v>
      </c>
      <c r="E710" t="s">
        <v>389</v>
      </c>
      <c r="F710">
        <v>5</v>
      </c>
      <c r="G710">
        <v>189125</v>
      </c>
    </row>
    <row r="711" spans="1:7" x14ac:dyDescent="0.35">
      <c r="A711" t="s">
        <v>1100</v>
      </c>
      <c r="B711" s="2">
        <v>45977</v>
      </c>
      <c r="C711" t="s">
        <v>45</v>
      </c>
      <c r="D711" t="s">
        <v>311</v>
      </c>
      <c r="E711" t="s">
        <v>394</v>
      </c>
      <c r="F711">
        <v>1</v>
      </c>
      <c r="G711">
        <v>7826</v>
      </c>
    </row>
    <row r="712" spans="1:7" x14ac:dyDescent="0.35">
      <c r="A712" t="s">
        <v>1101</v>
      </c>
      <c r="B712" s="2">
        <v>45746</v>
      </c>
      <c r="C712" t="s">
        <v>55</v>
      </c>
      <c r="D712" t="s">
        <v>343</v>
      </c>
      <c r="E712" t="s">
        <v>391</v>
      </c>
      <c r="F712">
        <v>2</v>
      </c>
      <c r="G712">
        <v>22830</v>
      </c>
    </row>
    <row r="713" spans="1:7" x14ac:dyDescent="0.35">
      <c r="A713" t="s">
        <v>1102</v>
      </c>
      <c r="B713" s="2">
        <v>45856</v>
      </c>
      <c r="C713" t="s">
        <v>61</v>
      </c>
      <c r="D713" t="s">
        <v>123</v>
      </c>
      <c r="E713" t="s">
        <v>387</v>
      </c>
      <c r="F713">
        <v>5</v>
      </c>
      <c r="G713">
        <v>125080</v>
      </c>
    </row>
    <row r="714" spans="1:7" x14ac:dyDescent="0.35">
      <c r="A714" t="s">
        <v>1103</v>
      </c>
      <c r="B714" s="2">
        <v>45997</v>
      </c>
      <c r="C714" t="s">
        <v>29</v>
      </c>
      <c r="D714" t="s">
        <v>173</v>
      </c>
      <c r="E714" t="s">
        <v>391</v>
      </c>
      <c r="F714">
        <v>3</v>
      </c>
      <c r="G714">
        <v>127932</v>
      </c>
    </row>
    <row r="715" spans="1:7" x14ac:dyDescent="0.35">
      <c r="A715" t="s">
        <v>1104</v>
      </c>
      <c r="B715" s="2">
        <v>45918</v>
      </c>
      <c r="C715" t="s">
        <v>49</v>
      </c>
      <c r="D715" t="s">
        <v>213</v>
      </c>
      <c r="E715" t="s">
        <v>389</v>
      </c>
      <c r="F715">
        <v>8</v>
      </c>
      <c r="G715">
        <v>364112</v>
      </c>
    </row>
    <row r="716" spans="1:7" x14ac:dyDescent="0.35">
      <c r="A716" t="s">
        <v>1105</v>
      </c>
      <c r="B716" s="2">
        <v>45943</v>
      </c>
      <c r="C716" t="s">
        <v>41</v>
      </c>
      <c r="D716" t="s">
        <v>229</v>
      </c>
      <c r="E716" t="s">
        <v>403</v>
      </c>
      <c r="F716">
        <v>2</v>
      </c>
      <c r="G716">
        <v>42524</v>
      </c>
    </row>
    <row r="717" spans="1:7" x14ac:dyDescent="0.35">
      <c r="A717" t="s">
        <v>1106</v>
      </c>
      <c r="B717" s="2">
        <v>45796</v>
      </c>
      <c r="C717" t="s">
        <v>37</v>
      </c>
      <c r="D717" t="s">
        <v>261</v>
      </c>
      <c r="E717" t="s">
        <v>387</v>
      </c>
      <c r="F717">
        <v>8</v>
      </c>
      <c r="G717">
        <v>15624</v>
      </c>
    </row>
    <row r="718" spans="1:7" x14ac:dyDescent="0.35">
      <c r="A718" t="s">
        <v>1107</v>
      </c>
      <c r="B718" s="2">
        <v>45666</v>
      </c>
      <c r="C718" t="s">
        <v>19</v>
      </c>
      <c r="D718" t="s">
        <v>275</v>
      </c>
      <c r="E718" t="s">
        <v>387</v>
      </c>
      <c r="F718">
        <v>4</v>
      </c>
      <c r="G718">
        <v>168636</v>
      </c>
    </row>
    <row r="719" spans="1:7" x14ac:dyDescent="0.35">
      <c r="A719" t="s">
        <v>1108</v>
      </c>
      <c r="B719" s="2">
        <v>45968</v>
      </c>
      <c r="C719" t="s">
        <v>7</v>
      </c>
      <c r="D719" t="s">
        <v>91</v>
      </c>
      <c r="E719" t="s">
        <v>394</v>
      </c>
      <c r="F719">
        <v>1</v>
      </c>
      <c r="G719">
        <v>26133</v>
      </c>
    </row>
    <row r="720" spans="1:7" x14ac:dyDescent="0.35">
      <c r="A720" t="s">
        <v>1109</v>
      </c>
      <c r="B720" s="2">
        <v>45847</v>
      </c>
      <c r="C720" t="s">
        <v>7</v>
      </c>
      <c r="D720" t="s">
        <v>309</v>
      </c>
      <c r="E720" t="s">
        <v>391</v>
      </c>
      <c r="F720">
        <v>6</v>
      </c>
      <c r="G720">
        <v>156798</v>
      </c>
    </row>
    <row r="721" spans="1:7" x14ac:dyDescent="0.35">
      <c r="A721" t="s">
        <v>1110</v>
      </c>
      <c r="B721" s="2">
        <v>45965</v>
      </c>
      <c r="C721" t="s">
        <v>45</v>
      </c>
      <c r="D721" t="s">
        <v>301</v>
      </c>
      <c r="E721" t="s">
        <v>391</v>
      </c>
      <c r="F721">
        <v>8</v>
      </c>
      <c r="G721">
        <v>62608</v>
      </c>
    </row>
    <row r="722" spans="1:7" x14ac:dyDescent="0.35">
      <c r="A722" t="s">
        <v>1111</v>
      </c>
      <c r="B722" s="2">
        <v>45707</v>
      </c>
      <c r="C722" t="s">
        <v>33</v>
      </c>
      <c r="D722" t="s">
        <v>219</v>
      </c>
      <c r="E722" t="s">
        <v>389</v>
      </c>
      <c r="F722">
        <v>1</v>
      </c>
      <c r="G722">
        <v>36253</v>
      </c>
    </row>
    <row r="723" spans="1:7" x14ac:dyDescent="0.35">
      <c r="A723" t="s">
        <v>1112</v>
      </c>
      <c r="B723" s="2">
        <v>45754</v>
      </c>
      <c r="C723" t="s">
        <v>29</v>
      </c>
      <c r="D723" t="s">
        <v>215</v>
      </c>
      <c r="E723" t="s">
        <v>389</v>
      </c>
      <c r="F723">
        <v>6</v>
      </c>
      <c r="G723">
        <v>255864</v>
      </c>
    </row>
    <row r="724" spans="1:7" x14ac:dyDescent="0.35">
      <c r="A724" t="s">
        <v>1113</v>
      </c>
      <c r="B724" s="2">
        <v>45725</v>
      </c>
      <c r="C724" t="s">
        <v>19</v>
      </c>
      <c r="D724" t="s">
        <v>241</v>
      </c>
      <c r="E724" t="s">
        <v>394</v>
      </c>
      <c r="F724">
        <v>9</v>
      </c>
      <c r="G724">
        <v>379431</v>
      </c>
    </row>
    <row r="725" spans="1:7" x14ac:dyDescent="0.35">
      <c r="A725" t="s">
        <v>1114</v>
      </c>
      <c r="B725" s="2">
        <v>45983</v>
      </c>
      <c r="C725" t="s">
        <v>37</v>
      </c>
      <c r="D725" t="s">
        <v>119</v>
      </c>
      <c r="E725" t="s">
        <v>394</v>
      </c>
      <c r="F725">
        <v>3</v>
      </c>
      <c r="G725">
        <v>5859</v>
      </c>
    </row>
    <row r="726" spans="1:7" x14ac:dyDescent="0.35">
      <c r="A726" t="s">
        <v>1115</v>
      </c>
      <c r="B726" s="2">
        <v>45904</v>
      </c>
      <c r="C726" t="s">
        <v>33</v>
      </c>
      <c r="D726" t="s">
        <v>133</v>
      </c>
      <c r="E726" t="s">
        <v>387</v>
      </c>
      <c r="F726">
        <v>2</v>
      </c>
      <c r="G726">
        <v>72506</v>
      </c>
    </row>
    <row r="727" spans="1:7" x14ac:dyDescent="0.35">
      <c r="A727" t="s">
        <v>1116</v>
      </c>
      <c r="B727" s="2">
        <v>45840</v>
      </c>
      <c r="C727" t="s">
        <v>59</v>
      </c>
      <c r="D727" t="s">
        <v>245</v>
      </c>
      <c r="E727" t="s">
        <v>403</v>
      </c>
      <c r="F727">
        <v>7</v>
      </c>
      <c r="G727">
        <v>336742</v>
      </c>
    </row>
    <row r="728" spans="1:7" x14ac:dyDescent="0.35">
      <c r="A728" t="s">
        <v>1117</v>
      </c>
      <c r="B728" s="2">
        <v>45881</v>
      </c>
      <c r="C728" t="s">
        <v>10</v>
      </c>
      <c r="D728" t="s">
        <v>267</v>
      </c>
      <c r="E728" t="s">
        <v>389</v>
      </c>
      <c r="F728">
        <v>2</v>
      </c>
      <c r="G728">
        <v>9032</v>
      </c>
    </row>
    <row r="729" spans="1:7" x14ac:dyDescent="0.35">
      <c r="A729" t="s">
        <v>1118</v>
      </c>
      <c r="B729" s="2">
        <v>45708</v>
      </c>
      <c r="C729" t="s">
        <v>47</v>
      </c>
      <c r="D729" t="s">
        <v>167</v>
      </c>
      <c r="E729" t="s">
        <v>403</v>
      </c>
      <c r="F729">
        <v>2</v>
      </c>
      <c r="G729">
        <v>44124</v>
      </c>
    </row>
    <row r="730" spans="1:7" x14ac:dyDescent="0.35">
      <c r="A730" t="s">
        <v>1119</v>
      </c>
      <c r="B730" s="2">
        <v>45913</v>
      </c>
      <c r="C730" t="s">
        <v>55</v>
      </c>
      <c r="D730" t="s">
        <v>253</v>
      </c>
      <c r="E730" t="s">
        <v>391</v>
      </c>
      <c r="F730">
        <v>8</v>
      </c>
      <c r="G730">
        <v>91320</v>
      </c>
    </row>
    <row r="731" spans="1:7" x14ac:dyDescent="0.35">
      <c r="A731" t="s">
        <v>1120</v>
      </c>
      <c r="B731" s="2">
        <v>45774</v>
      </c>
      <c r="C731" t="s">
        <v>45</v>
      </c>
      <c r="D731" t="s">
        <v>315</v>
      </c>
      <c r="E731" t="s">
        <v>394</v>
      </c>
      <c r="F731">
        <v>1</v>
      </c>
      <c r="G731">
        <v>7826</v>
      </c>
    </row>
    <row r="732" spans="1:7" x14ac:dyDescent="0.35">
      <c r="A732" t="s">
        <v>1121</v>
      </c>
      <c r="B732" s="2">
        <v>45761</v>
      </c>
      <c r="C732" t="s">
        <v>47</v>
      </c>
      <c r="D732" t="s">
        <v>365</v>
      </c>
      <c r="E732" t="s">
        <v>403</v>
      </c>
      <c r="F732">
        <v>4</v>
      </c>
      <c r="G732">
        <v>88248</v>
      </c>
    </row>
    <row r="733" spans="1:7" x14ac:dyDescent="0.35">
      <c r="A733" t="s">
        <v>1122</v>
      </c>
      <c r="B733" s="2">
        <v>45823</v>
      </c>
      <c r="C733" t="s">
        <v>41</v>
      </c>
      <c r="D733" t="s">
        <v>171</v>
      </c>
      <c r="E733" t="s">
        <v>403</v>
      </c>
      <c r="F733">
        <v>3</v>
      </c>
      <c r="G733">
        <v>63786</v>
      </c>
    </row>
    <row r="734" spans="1:7" x14ac:dyDescent="0.35">
      <c r="A734" t="s">
        <v>1123</v>
      </c>
      <c r="B734" s="2">
        <v>45734</v>
      </c>
      <c r="C734" t="s">
        <v>67</v>
      </c>
      <c r="D734" t="s">
        <v>163</v>
      </c>
      <c r="E734" t="s">
        <v>394</v>
      </c>
      <c r="F734">
        <v>10</v>
      </c>
      <c r="G734">
        <v>216160</v>
      </c>
    </row>
    <row r="735" spans="1:7" x14ac:dyDescent="0.35">
      <c r="A735" t="s">
        <v>1124</v>
      </c>
      <c r="B735" s="2">
        <v>45714</v>
      </c>
      <c r="C735" t="s">
        <v>61</v>
      </c>
      <c r="D735" t="s">
        <v>107</v>
      </c>
      <c r="E735" t="s">
        <v>394</v>
      </c>
      <c r="F735">
        <v>2</v>
      </c>
      <c r="G735">
        <v>50032</v>
      </c>
    </row>
    <row r="736" spans="1:7" x14ac:dyDescent="0.35">
      <c r="A736" t="s">
        <v>1125</v>
      </c>
      <c r="B736" s="2">
        <v>45919</v>
      </c>
      <c r="C736" t="s">
        <v>39</v>
      </c>
      <c r="D736" t="s">
        <v>111</v>
      </c>
      <c r="E736" t="s">
        <v>389</v>
      </c>
      <c r="F736">
        <v>7</v>
      </c>
      <c r="G736">
        <v>338016</v>
      </c>
    </row>
    <row r="737" spans="1:7" x14ac:dyDescent="0.35">
      <c r="A737" t="s">
        <v>1126</v>
      </c>
      <c r="B737" s="2">
        <v>45815</v>
      </c>
      <c r="C737" t="s">
        <v>55</v>
      </c>
      <c r="D737" t="s">
        <v>269</v>
      </c>
      <c r="E737" t="s">
        <v>391</v>
      </c>
      <c r="F737">
        <v>8</v>
      </c>
      <c r="G737">
        <v>91320</v>
      </c>
    </row>
    <row r="738" spans="1:7" x14ac:dyDescent="0.35">
      <c r="A738" t="s">
        <v>1127</v>
      </c>
      <c r="B738" s="2">
        <v>45686</v>
      </c>
      <c r="C738" t="s">
        <v>55</v>
      </c>
      <c r="D738" t="s">
        <v>367</v>
      </c>
      <c r="E738" t="s">
        <v>389</v>
      </c>
      <c r="F738">
        <v>2</v>
      </c>
      <c r="G738">
        <v>22830</v>
      </c>
    </row>
    <row r="739" spans="1:7" x14ac:dyDescent="0.35">
      <c r="A739" t="s">
        <v>1128</v>
      </c>
      <c r="B739" s="2">
        <v>45871</v>
      </c>
      <c r="C739" t="s">
        <v>29</v>
      </c>
      <c r="D739" t="s">
        <v>113</v>
      </c>
      <c r="E739" t="s">
        <v>403</v>
      </c>
      <c r="F739">
        <v>2</v>
      </c>
      <c r="G739">
        <v>85288</v>
      </c>
    </row>
    <row r="740" spans="1:7" x14ac:dyDescent="0.35">
      <c r="A740" t="s">
        <v>1129</v>
      </c>
      <c r="B740" s="2">
        <v>45804</v>
      </c>
      <c r="C740" t="s">
        <v>31</v>
      </c>
      <c r="D740" t="s">
        <v>341</v>
      </c>
      <c r="E740" t="s">
        <v>394</v>
      </c>
      <c r="F740">
        <v>9</v>
      </c>
      <c r="G740">
        <v>269694</v>
      </c>
    </row>
    <row r="741" spans="1:7" x14ac:dyDescent="0.35">
      <c r="A741" t="s">
        <v>1130</v>
      </c>
      <c r="B741" s="2">
        <v>45935</v>
      </c>
      <c r="C741" t="s">
        <v>47</v>
      </c>
      <c r="D741" t="s">
        <v>251</v>
      </c>
      <c r="E741" t="s">
        <v>387</v>
      </c>
      <c r="F741">
        <v>5</v>
      </c>
      <c r="G741">
        <v>110310</v>
      </c>
    </row>
    <row r="742" spans="1:7" x14ac:dyDescent="0.35">
      <c r="A742" t="s">
        <v>1131</v>
      </c>
      <c r="B742" s="2">
        <v>45764</v>
      </c>
      <c r="C742" t="s">
        <v>29</v>
      </c>
      <c r="D742" t="s">
        <v>74</v>
      </c>
      <c r="E742" t="s">
        <v>403</v>
      </c>
      <c r="F742">
        <v>4</v>
      </c>
      <c r="G742">
        <v>170576</v>
      </c>
    </row>
    <row r="743" spans="1:7" x14ac:dyDescent="0.35">
      <c r="A743" t="s">
        <v>1132</v>
      </c>
      <c r="B743" s="2">
        <v>45678</v>
      </c>
      <c r="C743" t="s">
        <v>45</v>
      </c>
      <c r="D743" t="s">
        <v>361</v>
      </c>
      <c r="E743" t="s">
        <v>403</v>
      </c>
      <c r="F743">
        <v>8</v>
      </c>
      <c r="G743">
        <v>62608</v>
      </c>
    </row>
    <row r="744" spans="1:7" x14ac:dyDescent="0.35">
      <c r="A744" t="s">
        <v>1133</v>
      </c>
      <c r="B744" s="2">
        <v>45916</v>
      </c>
      <c r="C744" t="s">
        <v>10</v>
      </c>
      <c r="D744" t="s">
        <v>211</v>
      </c>
      <c r="E744" t="s">
        <v>391</v>
      </c>
      <c r="F744">
        <v>5</v>
      </c>
      <c r="G744">
        <v>22580</v>
      </c>
    </row>
    <row r="745" spans="1:7" x14ac:dyDescent="0.35">
      <c r="A745" t="s">
        <v>1134</v>
      </c>
      <c r="B745" s="2">
        <v>46015</v>
      </c>
      <c r="C745" t="s">
        <v>39</v>
      </c>
      <c r="D745" t="s">
        <v>309</v>
      </c>
      <c r="E745" t="s">
        <v>403</v>
      </c>
      <c r="F745">
        <v>6</v>
      </c>
      <c r="G745">
        <v>289728</v>
      </c>
    </row>
    <row r="746" spans="1:7" x14ac:dyDescent="0.35">
      <c r="A746" t="s">
        <v>1135</v>
      </c>
      <c r="B746" s="2">
        <v>45845</v>
      </c>
      <c r="C746" t="s">
        <v>41</v>
      </c>
      <c r="D746" t="s">
        <v>173</v>
      </c>
      <c r="E746" t="s">
        <v>389</v>
      </c>
      <c r="F746">
        <v>4</v>
      </c>
      <c r="G746">
        <v>85048</v>
      </c>
    </row>
    <row r="747" spans="1:7" x14ac:dyDescent="0.35">
      <c r="A747" t="s">
        <v>1136</v>
      </c>
      <c r="B747" s="2">
        <v>45797</v>
      </c>
      <c r="C747" t="s">
        <v>16</v>
      </c>
      <c r="D747" t="s">
        <v>325</v>
      </c>
      <c r="E747" t="s">
        <v>389</v>
      </c>
      <c r="F747">
        <v>6</v>
      </c>
      <c r="G747">
        <v>191772</v>
      </c>
    </row>
    <row r="748" spans="1:7" x14ac:dyDescent="0.35">
      <c r="A748" t="s">
        <v>1137</v>
      </c>
      <c r="B748" s="2">
        <v>45875</v>
      </c>
      <c r="C748" t="s">
        <v>33</v>
      </c>
      <c r="D748" t="s">
        <v>155</v>
      </c>
      <c r="E748" t="s">
        <v>394</v>
      </c>
      <c r="F748">
        <v>4</v>
      </c>
      <c r="G748">
        <v>145012</v>
      </c>
    </row>
    <row r="749" spans="1:7" x14ac:dyDescent="0.35">
      <c r="A749" t="s">
        <v>1138</v>
      </c>
      <c r="B749" s="2">
        <v>45785</v>
      </c>
      <c r="C749" t="s">
        <v>33</v>
      </c>
      <c r="D749" t="s">
        <v>345</v>
      </c>
      <c r="E749" t="s">
        <v>387</v>
      </c>
      <c r="F749">
        <v>3</v>
      </c>
      <c r="G749">
        <v>108759</v>
      </c>
    </row>
    <row r="750" spans="1:7" x14ac:dyDescent="0.35">
      <c r="A750" t="s">
        <v>1139</v>
      </c>
      <c r="B750" s="2">
        <v>45993</v>
      </c>
      <c r="C750" t="s">
        <v>51</v>
      </c>
      <c r="D750" t="s">
        <v>74</v>
      </c>
      <c r="E750" t="s">
        <v>394</v>
      </c>
      <c r="F750">
        <v>5</v>
      </c>
      <c r="G750">
        <v>157195</v>
      </c>
    </row>
    <row r="751" spans="1:7" x14ac:dyDescent="0.35">
      <c r="A751" t="s">
        <v>1140</v>
      </c>
      <c r="B751" s="2">
        <v>45843</v>
      </c>
      <c r="C751" t="s">
        <v>39</v>
      </c>
      <c r="D751" t="s">
        <v>249</v>
      </c>
      <c r="E751" t="s">
        <v>394</v>
      </c>
      <c r="F751">
        <v>1</v>
      </c>
      <c r="G751">
        <v>48288</v>
      </c>
    </row>
    <row r="752" spans="1:7" x14ac:dyDescent="0.35">
      <c r="A752" t="s">
        <v>1141</v>
      </c>
      <c r="B752" s="2">
        <v>45675</v>
      </c>
      <c r="C752" t="s">
        <v>19</v>
      </c>
      <c r="D752" t="s">
        <v>101</v>
      </c>
      <c r="E752" t="s">
        <v>387</v>
      </c>
      <c r="F752">
        <v>4</v>
      </c>
      <c r="G752">
        <v>168636</v>
      </c>
    </row>
    <row r="753" spans="1:7" x14ac:dyDescent="0.35">
      <c r="A753" t="s">
        <v>1142</v>
      </c>
      <c r="B753" s="2">
        <v>45860</v>
      </c>
      <c r="C753" t="s">
        <v>61</v>
      </c>
      <c r="D753" t="s">
        <v>121</v>
      </c>
      <c r="E753" t="s">
        <v>391</v>
      </c>
      <c r="F753">
        <v>3</v>
      </c>
      <c r="G753">
        <v>75048</v>
      </c>
    </row>
    <row r="754" spans="1:7" x14ac:dyDescent="0.35">
      <c r="A754" t="s">
        <v>1143</v>
      </c>
      <c r="B754" s="2">
        <v>46020</v>
      </c>
      <c r="C754" t="s">
        <v>47</v>
      </c>
      <c r="D754" t="s">
        <v>347</v>
      </c>
      <c r="E754" t="s">
        <v>389</v>
      </c>
      <c r="F754">
        <v>2</v>
      </c>
      <c r="G754">
        <v>44124</v>
      </c>
    </row>
    <row r="755" spans="1:7" x14ac:dyDescent="0.35">
      <c r="A755" t="s">
        <v>1144</v>
      </c>
      <c r="B755" s="2">
        <v>45720</v>
      </c>
      <c r="C755" t="s">
        <v>49</v>
      </c>
      <c r="D755" t="s">
        <v>263</v>
      </c>
      <c r="E755" t="s">
        <v>389</v>
      </c>
      <c r="F755">
        <v>10</v>
      </c>
      <c r="G755">
        <v>455140</v>
      </c>
    </row>
    <row r="756" spans="1:7" x14ac:dyDescent="0.35">
      <c r="A756" t="s">
        <v>1145</v>
      </c>
      <c r="B756" s="2">
        <v>45773</v>
      </c>
      <c r="C756" t="s">
        <v>65</v>
      </c>
      <c r="D756" t="s">
        <v>341</v>
      </c>
      <c r="E756" t="s">
        <v>389</v>
      </c>
      <c r="F756">
        <v>3</v>
      </c>
      <c r="G756">
        <v>1635</v>
      </c>
    </row>
    <row r="757" spans="1:7" x14ac:dyDescent="0.35">
      <c r="A757" t="s">
        <v>1146</v>
      </c>
      <c r="B757" s="2">
        <v>45765</v>
      </c>
      <c r="C757" t="s">
        <v>25</v>
      </c>
      <c r="D757" t="s">
        <v>173</v>
      </c>
      <c r="E757" t="s">
        <v>387</v>
      </c>
      <c r="F757">
        <v>2</v>
      </c>
      <c r="G757">
        <v>36486</v>
      </c>
    </row>
    <row r="758" spans="1:7" x14ac:dyDescent="0.35">
      <c r="A758" t="s">
        <v>1147</v>
      </c>
      <c r="B758" s="2">
        <v>45950</v>
      </c>
      <c r="C758" t="s">
        <v>25</v>
      </c>
      <c r="D758" t="s">
        <v>361</v>
      </c>
      <c r="E758" t="s">
        <v>403</v>
      </c>
      <c r="F758">
        <v>9</v>
      </c>
      <c r="G758">
        <v>164187</v>
      </c>
    </row>
    <row r="759" spans="1:7" x14ac:dyDescent="0.35">
      <c r="A759" t="s">
        <v>1148</v>
      </c>
      <c r="B759" s="2">
        <v>45665</v>
      </c>
      <c r="C759" t="s">
        <v>4</v>
      </c>
      <c r="D759" t="s">
        <v>367</v>
      </c>
      <c r="E759" t="s">
        <v>403</v>
      </c>
      <c r="F759">
        <v>2</v>
      </c>
      <c r="G759">
        <v>23630</v>
      </c>
    </row>
    <row r="760" spans="1:7" x14ac:dyDescent="0.35">
      <c r="A760" t="s">
        <v>1149</v>
      </c>
      <c r="B760" s="2">
        <v>45793</v>
      </c>
      <c r="C760" t="s">
        <v>10</v>
      </c>
      <c r="D760" t="s">
        <v>141</v>
      </c>
      <c r="E760" t="s">
        <v>387</v>
      </c>
      <c r="F760">
        <v>9</v>
      </c>
      <c r="G760">
        <v>40644</v>
      </c>
    </row>
    <row r="761" spans="1:7" x14ac:dyDescent="0.35">
      <c r="A761" t="s">
        <v>1150</v>
      </c>
      <c r="B761" s="2">
        <v>45918</v>
      </c>
      <c r="C761" t="s">
        <v>27</v>
      </c>
      <c r="D761" t="s">
        <v>317</v>
      </c>
      <c r="E761" t="s">
        <v>391</v>
      </c>
      <c r="F761">
        <v>8</v>
      </c>
      <c r="G761">
        <v>301472</v>
      </c>
    </row>
    <row r="762" spans="1:7" x14ac:dyDescent="0.35">
      <c r="A762" t="s">
        <v>1151</v>
      </c>
      <c r="B762" s="2">
        <v>45767</v>
      </c>
      <c r="C762" t="s">
        <v>65</v>
      </c>
      <c r="D762" t="s">
        <v>363</v>
      </c>
      <c r="E762" t="s">
        <v>387</v>
      </c>
      <c r="F762">
        <v>7</v>
      </c>
      <c r="G762">
        <v>3815</v>
      </c>
    </row>
    <row r="763" spans="1:7" x14ac:dyDescent="0.35">
      <c r="A763" t="s">
        <v>1152</v>
      </c>
      <c r="B763" s="2">
        <v>45798</v>
      </c>
      <c r="C763" t="s">
        <v>29</v>
      </c>
      <c r="D763" t="s">
        <v>259</v>
      </c>
      <c r="E763" t="s">
        <v>394</v>
      </c>
      <c r="F763">
        <v>10</v>
      </c>
      <c r="G763">
        <v>426440</v>
      </c>
    </row>
    <row r="764" spans="1:7" x14ac:dyDescent="0.35">
      <c r="A764" t="s">
        <v>1153</v>
      </c>
      <c r="B764" s="2">
        <v>45790</v>
      </c>
      <c r="C764" t="s">
        <v>23</v>
      </c>
      <c r="D764" t="s">
        <v>281</v>
      </c>
      <c r="E764" t="s">
        <v>387</v>
      </c>
      <c r="F764">
        <v>1</v>
      </c>
      <c r="G764">
        <v>6069</v>
      </c>
    </row>
    <row r="765" spans="1:7" x14ac:dyDescent="0.35">
      <c r="A765" t="s">
        <v>1154</v>
      </c>
      <c r="B765" s="2">
        <v>45961</v>
      </c>
      <c r="C765" t="s">
        <v>65</v>
      </c>
      <c r="D765" t="s">
        <v>223</v>
      </c>
      <c r="E765" t="s">
        <v>391</v>
      </c>
      <c r="F765">
        <v>8</v>
      </c>
      <c r="G765">
        <v>4360</v>
      </c>
    </row>
    <row r="766" spans="1:7" x14ac:dyDescent="0.35">
      <c r="A766" t="s">
        <v>1155</v>
      </c>
      <c r="B766" s="2">
        <v>45660</v>
      </c>
      <c r="C766" t="s">
        <v>53</v>
      </c>
      <c r="D766" t="s">
        <v>165</v>
      </c>
      <c r="E766" t="s">
        <v>387</v>
      </c>
      <c r="F766">
        <v>10</v>
      </c>
      <c r="G766">
        <v>42080</v>
      </c>
    </row>
    <row r="767" spans="1:7" x14ac:dyDescent="0.35">
      <c r="A767" t="s">
        <v>1156</v>
      </c>
      <c r="B767" s="2">
        <v>45873</v>
      </c>
      <c r="C767" t="s">
        <v>67</v>
      </c>
      <c r="D767" t="s">
        <v>161</v>
      </c>
      <c r="E767" t="s">
        <v>391</v>
      </c>
      <c r="F767">
        <v>5</v>
      </c>
      <c r="G767">
        <v>108080</v>
      </c>
    </row>
    <row r="768" spans="1:7" x14ac:dyDescent="0.35">
      <c r="A768" t="s">
        <v>1157</v>
      </c>
      <c r="B768" s="2">
        <v>45990</v>
      </c>
      <c r="C768" t="s">
        <v>10</v>
      </c>
      <c r="D768" t="s">
        <v>341</v>
      </c>
      <c r="E768" t="s">
        <v>387</v>
      </c>
      <c r="F768">
        <v>2</v>
      </c>
      <c r="G768">
        <v>9032</v>
      </c>
    </row>
    <row r="769" spans="1:7" x14ac:dyDescent="0.35">
      <c r="A769" t="s">
        <v>1158</v>
      </c>
      <c r="B769" s="2">
        <v>45792</v>
      </c>
      <c r="C769" t="s">
        <v>21</v>
      </c>
      <c r="D769" t="s">
        <v>231</v>
      </c>
      <c r="E769" t="s">
        <v>387</v>
      </c>
      <c r="F769">
        <v>2</v>
      </c>
      <c r="G769">
        <v>30418</v>
      </c>
    </row>
    <row r="770" spans="1:7" x14ac:dyDescent="0.35">
      <c r="A770" t="s">
        <v>1159</v>
      </c>
      <c r="B770" s="2">
        <v>45712</v>
      </c>
      <c r="C770" t="s">
        <v>39</v>
      </c>
      <c r="D770" t="s">
        <v>107</v>
      </c>
      <c r="E770" t="s">
        <v>387</v>
      </c>
      <c r="F770">
        <v>9</v>
      </c>
      <c r="G770">
        <v>434592</v>
      </c>
    </row>
    <row r="771" spans="1:7" x14ac:dyDescent="0.35">
      <c r="A771" t="s">
        <v>1160</v>
      </c>
      <c r="B771" s="2">
        <v>45788</v>
      </c>
      <c r="C771" t="s">
        <v>16</v>
      </c>
      <c r="D771" t="s">
        <v>133</v>
      </c>
      <c r="E771" t="s">
        <v>391</v>
      </c>
      <c r="F771">
        <v>3</v>
      </c>
      <c r="G771">
        <v>95886</v>
      </c>
    </row>
    <row r="772" spans="1:7" x14ac:dyDescent="0.35">
      <c r="A772" t="s">
        <v>1161</v>
      </c>
      <c r="B772" s="2">
        <v>45856</v>
      </c>
      <c r="C772" t="s">
        <v>13</v>
      </c>
      <c r="D772" t="s">
        <v>229</v>
      </c>
      <c r="E772" t="s">
        <v>403</v>
      </c>
      <c r="F772">
        <v>4</v>
      </c>
      <c r="G772">
        <v>120708</v>
      </c>
    </row>
    <row r="773" spans="1:7" x14ac:dyDescent="0.35">
      <c r="A773" t="s">
        <v>1162</v>
      </c>
      <c r="B773" s="2">
        <v>45972</v>
      </c>
      <c r="C773" t="s">
        <v>43</v>
      </c>
      <c r="D773" t="s">
        <v>133</v>
      </c>
      <c r="E773" t="s">
        <v>391</v>
      </c>
      <c r="F773">
        <v>6</v>
      </c>
      <c r="G773">
        <v>226950</v>
      </c>
    </row>
    <row r="774" spans="1:7" x14ac:dyDescent="0.35">
      <c r="A774" t="s">
        <v>1163</v>
      </c>
      <c r="B774" s="2">
        <v>45844</v>
      </c>
      <c r="C774" t="s">
        <v>41</v>
      </c>
      <c r="D774" t="s">
        <v>239</v>
      </c>
      <c r="E774" t="s">
        <v>391</v>
      </c>
      <c r="F774">
        <v>4</v>
      </c>
      <c r="G774">
        <v>85048</v>
      </c>
    </row>
    <row r="775" spans="1:7" x14ac:dyDescent="0.35">
      <c r="A775" t="s">
        <v>1164</v>
      </c>
      <c r="B775" s="2">
        <v>45717</v>
      </c>
      <c r="C775" t="s">
        <v>57</v>
      </c>
      <c r="D775" t="s">
        <v>319</v>
      </c>
      <c r="E775" t="s">
        <v>394</v>
      </c>
      <c r="F775">
        <v>3</v>
      </c>
      <c r="G775">
        <v>146367</v>
      </c>
    </row>
    <row r="776" spans="1:7" x14ac:dyDescent="0.35">
      <c r="A776" t="s">
        <v>1165</v>
      </c>
      <c r="B776" s="2">
        <v>45688</v>
      </c>
      <c r="C776" t="s">
        <v>49</v>
      </c>
      <c r="D776" t="s">
        <v>203</v>
      </c>
      <c r="E776" t="s">
        <v>389</v>
      </c>
      <c r="F776">
        <v>2</v>
      </c>
      <c r="G776">
        <v>91028</v>
      </c>
    </row>
    <row r="777" spans="1:7" x14ac:dyDescent="0.35">
      <c r="A777" t="s">
        <v>1166</v>
      </c>
      <c r="B777" s="2">
        <v>45683</v>
      </c>
      <c r="C777" t="s">
        <v>47</v>
      </c>
      <c r="D777" t="s">
        <v>351</v>
      </c>
      <c r="E777" t="s">
        <v>389</v>
      </c>
      <c r="F777">
        <v>8</v>
      </c>
      <c r="G777">
        <v>176496</v>
      </c>
    </row>
    <row r="778" spans="1:7" x14ac:dyDescent="0.35">
      <c r="A778" t="s">
        <v>1167</v>
      </c>
      <c r="B778" s="2">
        <v>45852</v>
      </c>
      <c r="C778" t="s">
        <v>41</v>
      </c>
      <c r="D778" t="s">
        <v>371</v>
      </c>
      <c r="E778" t="s">
        <v>391</v>
      </c>
      <c r="F778">
        <v>7</v>
      </c>
      <c r="G778">
        <v>148834</v>
      </c>
    </row>
    <row r="779" spans="1:7" x14ac:dyDescent="0.35">
      <c r="A779" t="s">
        <v>1168</v>
      </c>
      <c r="B779" s="2">
        <v>45732</v>
      </c>
      <c r="C779" t="s">
        <v>39</v>
      </c>
      <c r="D779" t="s">
        <v>107</v>
      </c>
      <c r="E779" t="s">
        <v>389</v>
      </c>
      <c r="F779">
        <v>7</v>
      </c>
      <c r="G779">
        <v>338016</v>
      </c>
    </row>
    <row r="780" spans="1:7" x14ac:dyDescent="0.35">
      <c r="A780" t="s">
        <v>1169</v>
      </c>
      <c r="B780" s="2">
        <v>46011</v>
      </c>
      <c r="C780" t="s">
        <v>45</v>
      </c>
      <c r="D780" t="s">
        <v>263</v>
      </c>
      <c r="E780" t="s">
        <v>391</v>
      </c>
      <c r="F780">
        <v>7</v>
      </c>
      <c r="G780">
        <v>54782</v>
      </c>
    </row>
    <row r="781" spans="1:7" x14ac:dyDescent="0.35">
      <c r="A781" t="s">
        <v>1170</v>
      </c>
      <c r="B781" s="2">
        <v>45673</v>
      </c>
      <c r="C781" t="s">
        <v>33</v>
      </c>
      <c r="D781" t="s">
        <v>107</v>
      </c>
      <c r="E781" t="s">
        <v>387</v>
      </c>
      <c r="F781">
        <v>4</v>
      </c>
      <c r="G781">
        <v>145012</v>
      </c>
    </row>
    <row r="782" spans="1:7" x14ac:dyDescent="0.35">
      <c r="A782" t="s">
        <v>1171</v>
      </c>
      <c r="B782" s="2">
        <v>45964</v>
      </c>
      <c r="C782" t="s">
        <v>43</v>
      </c>
      <c r="D782" t="s">
        <v>225</v>
      </c>
      <c r="E782" t="s">
        <v>391</v>
      </c>
      <c r="F782">
        <v>3</v>
      </c>
      <c r="G782">
        <v>113475</v>
      </c>
    </row>
    <row r="783" spans="1:7" x14ac:dyDescent="0.35">
      <c r="A783" t="s">
        <v>1172</v>
      </c>
      <c r="B783" s="2">
        <v>45925</v>
      </c>
      <c r="C783" t="s">
        <v>21</v>
      </c>
      <c r="D783" t="s">
        <v>341</v>
      </c>
      <c r="E783" t="s">
        <v>389</v>
      </c>
      <c r="F783">
        <v>4</v>
      </c>
      <c r="G783">
        <v>60836</v>
      </c>
    </row>
    <row r="784" spans="1:7" x14ac:dyDescent="0.35">
      <c r="A784" t="s">
        <v>1173</v>
      </c>
      <c r="B784" s="2">
        <v>45691</v>
      </c>
      <c r="C784" t="s">
        <v>21</v>
      </c>
      <c r="D784" t="s">
        <v>181</v>
      </c>
      <c r="E784" t="s">
        <v>403</v>
      </c>
      <c r="F784">
        <v>6</v>
      </c>
      <c r="G784">
        <v>91254</v>
      </c>
    </row>
    <row r="785" spans="1:7" x14ac:dyDescent="0.35">
      <c r="A785" t="s">
        <v>1174</v>
      </c>
      <c r="B785" s="2">
        <v>45974</v>
      </c>
      <c r="C785" t="s">
        <v>63</v>
      </c>
      <c r="D785" t="s">
        <v>115</v>
      </c>
      <c r="E785" t="s">
        <v>391</v>
      </c>
      <c r="F785">
        <v>4</v>
      </c>
      <c r="G785">
        <v>35072</v>
      </c>
    </row>
    <row r="786" spans="1:7" x14ac:dyDescent="0.35">
      <c r="A786" t="s">
        <v>1175</v>
      </c>
      <c r="B786" s="2">
        <v>45848</v>
      </c>
      <c r="C786" t="s">
        <v>63</v>
      </c>
      <c r="D786" t="s">
        <v>95</v>
      </c>
      <c r="E786" t="s">
        <v>387</v>
      </c>
      <c r="F786">
        <v>8</v>
      </c>
      <c r="G786">
        <v>70144</v>
      </c>
    </row>
    <row r="787" spans="1:7" x14ac:dyDescent="0.35">
      <c r="A787" t="s">
        <v>1176</v>
      </c>
      <c r="B787" s="2">
        <v>45944</v>
      </c>
      <c r="C787" t="s">
        <v>33</v>
      </c>
      <c r="D787" t="s">
        <v>375</v>
      </c>
      <c r="E787" t="s">
        <v>389</v>
      </c>
      <c r="F787">
        <v>6</v>
      </c>
      <c r="G787">
        <v>217518</v>
      </c>
    </row>
    <row r="788" spans="1:7" x14ac:dyDescent="0.35">
      <c r="A788" t="s">
        <v>1177</v>
      </c>
      <c r="B788" s="2">
        <v>45909</v>
      </c>
      <c r="C788" t="s">
        <v>49</v>
      </c>
      <c r="D788" t="s">
        <v>341</v>
      </c>
      <c r="E788" t="s">
        <v>389</v>
      </c>
      <c r="F788">
        <v>9</v>
      </c>
      <c r="G788">
        <v>409626</v>
      </c>
    </row>
    <row r="789" spans="1:7" x14ac:dyDescent="0.35">
      <c r="A789" t="s">
        <v>1178</v>
      </c>
      <c r="B789" s="2">
        <v>45875</v>
      </c>
      <c r="C789" t="s">
        <v>29</v>
      </c>
      <c r="D789" t="s">
        <v>339</v>
      </c>
      <c r="E789" t="s">
        <v>394</v>
      </c>
      <c r="F789">
        <v>10</v>
      </c>
      <c r="G789">
        <v>426440</v>
      </c>
    </row>
    <row r="790" spans="1:7" x14ac:dyDescent="0.35">
      <c r="A790" t="s">
        <v>1179</v>
      </c>
      <c r="B790" s="2">
        <v>45813</v>
      </c>
      <c r="C790" t="s">
        <v>21</v>
      </c>
      <c r="D790" t="s">
        <v>251</v>
      </c>
      <c r="E790" t="s">
        <v>389</v>
      </c>
      <c r="F790">
        <v>9</v>
      </c>
      <c r="G790">
        <v>136881</v>
      </c>
    </row>
    <row r="791" spans="1:7" x14ac:dyDescent="0.35">
      <c r="A791" t="s">
        <v>1180</v>
      </c>
      <c r="B791" s="2">
        <v>45869</v>
      </c>
      <c r="C791" t="s">
        <v>31</v>
      </c>
      <c r="D791" t="s">
        <v>145</v>
      </c>
      <c r="E791" t="s">
        <v>403</v>
      </c>
      <c r="F791">
        <v>9</v>
      </c>
      <c r="G791">
        <v>269694</v>
      </c>
    </row>
    <row r="792" spans="1:7" x14ac:dyDescent="0.35">
      <c r="A792" t="s">
        <v>1181</v>
      </c>
      <c r="B792" s="2">
        <v>45791</v>
      </c>
      <c r="C792" t="s">
        <v>16</v>
      </c>
      <c r="D792" t="s">
        <v>333</v>
      </c>
      <c r="E792" t="s">
        <v>389</v>
      </c>
      <c r="F792">
        <v>3</v>
      </c>
      <c r="G792">
        <v>95886</v>
      </c>
    </row>
    <row r="793" spans="1:7" x14ac:dyDescent="0.35">
      <c r="A793" t="s">
        <v>1182</v>
      </c>
      <c r="B793" s="2">
        <v>45832</v>
      </c>
      <c r="C793" t="s">
        <v>57</v>
      </c>
      <c r="D793" t="s">
        <v>101</v>
      </c>
      <c r="E793" t="s">
        <v>403</v>
      </c>
      <c r="F793">
        <v>5</v>
      </c>
      <c r="G793">
        <v>243945</v>
      </c>
    </row>
    <row r="794" spans="1:7" x14ac:dyDescent="0.35">
      <c r="A794" t="s">
        <v>1183</v>
      </c>
      <c r="B794" s="2">
        <v>45721</v>
      </c>
      <c r="C794" t="s">
        <v>21</v>
      </c>
      <c r="D794" t="s">
        <v>263</v>
      </c>
      <c r="E794" t="s">
        <v>387</v>
      </c>
      <c r="F794">
        <v>10</v>
      </c>
      <c r="G794">
        <v>152090</v>
      </c>
    </row>
    <row r="795" spans="1:7" x14ac:dyDescent="0.35">
      <c r="A795" t="s">
        <v>1184</v>
      </c>
      <c r="B795" s="2">
        <v>45797</v>
      </c>
      <c r="C795" t="s">
        <v>19</v>
      </c>
      <c r="D795" t="s">
        <v>135</v>
      </c>
      <c r="E795" t="s">
        <v>391</v>
      </c>
      <c r="F795">
        <v>10</v>
      </c>
      <c r="G795">
        <v>421590</v>
      </c>
    </row>
    <row r="796" spans="1:7" x14ac:dyDescent="0.35">
      <c r="A796" t="s">
        <v>1185</v>
      </c>
      <c r="B796" s="2">
        <v>45989</v>
      </c>
      <c r="C796" t="s">
        <v>35</v>
      </c>
      <c r="D796" t="s">
        <v>195</v>
      </c>
      <c r="E796" t="s">
        <v>403</v>
      </c>
      <c r="F796">
        <v>7</v>
      </c>
      <c r="G796">
        <v>346220</v>
      </c>
    </row>
    <row r="797" spans="1:7" x14ac:dyDescent="0.35">
      <c r="A797" t="s">
        <v>1186</v>
      </c>
      <c r="B797" s="2">
        <v>45921</v>
      </c>
      <c r="C797" t="s">
        <v>55</v>
      </c>
      <c r="D797" t="s">
        <v>143</v>
      </c>
      <c r="E797" t="s">
        <v>403</v>
      </c>
      <c r="F797">
        <v>10</v>
      </c>
      <c r="G797">
        <v>114150</v>
      </c>
    </row>
    <row r="798" spans="1:7" x14ac:dyDescent="0.35">
      <c r="A798" t="s">
        <v>1187</v>
      </c>
      <c r="B798" s="2">
        <v>45666</v>
      </c>
      <c r="C798" t="s">
        <v>63</v>
      </c>
      <c r="D798" t="s">
        <v>223</v>
      </c>
      <c r="E798" t="s">
        <v>403</v>
      </c>
      <c r="F798">
        <v>7</v>
      </c>
      <c r="G798">
        <v>61376</v>
      </c>
    </row>
    <row r="799" spans="1:7" x14ac:dyDescent="0.35">
      <c r="A799" t="s">
        <v>1188</v>
      </c>
      <c r="B799" s="2">
        <v>45705</v>
      </c>
      <c r="C799" t="s">
        <v>37</v>
      </c>
      <c r="D799" t="s">
        <v>345</v>
      </c>
      <c r="E799" t="s">
        <v>403</v>
      </c>
      <c r="F799">
        <v>9</v>
      </c>
      <c r="G799">
        <v>17577</v>
      </c>
    </row>
    <row r="800" spans="1:7" x14ac:dyDescent="0.35">
      <c r="A800" t="s">
        <v>1189</v>
      </c>
      <c r="B800" s="2">
        <v>45662</v>
      </c>
      <c r="C800" t="s">
        <v>47</v>
      </c>
      <c r="D800" t="s">
        <v>129</v>
      </c>
      <c r="E800" t="s">
        <v>394</v>
      </c>
      <c r="F800">
        <v>10</v>
      </c>
      <c r="G800">
        <v>220620</v>
      </c>
    </row>
    <row r="801" spans="1:7" x14ac:dyDescent="0.35">
      <c r="A801" t="s">
        <v>1190</v>
      </c>
      <c r="B801" s="2">
        <v>45678</v>
      </c>
      <c r="C801" t="s">
        <v>33</v>
      </c>
      <c r="D801" t="s">
        <v>159</v>
      </c>
      <c r="E801" t="s">
        <v>389</v>
      </c>
      <c r="F801">
        <v>9</v>
      </c>
      <c r="G801">
        <v>326277</v>
      </c>
    </row>
    <row r="802" spans="1:7" x14ac:dyDescent="0.35">
      <c r="A802" t="s">
        <v>1191</v>
      </c>
      <c r="B802" s="2">
        <v>45721</v>
      </c>
      <c r="C802" t="s">
        <v>21</v>
      </c>
      <c r="D802" t="s">
        <v>347</v>
      </c>
      <c r="E802" t="s">
        <v>389</v>
      </c>
      <c r="F802">
        <v>7</v>
      </c>
      <c r="G802">
        <v>106463</v>
      </c>
    </row>
    <row r="803" spans="1:7" x14ac:dyDescent="0.35">
      <c r="A803" t="s">
        <v>1192</v>
      </c>
      <c r="B803" s="2">
        <v>45716</v>
      </c>
      <c r="C803" t="s">
        <v>67</v>
      </c>
      <c r="D803" t="s">
        <v>359</v>
      </c>
      <c r="E803" t="s">
        <v>403</v>
      </c>
      <c r="F803">
        <v>4</v>
      </c>
      <c r="G803">
        <v>86464</v>
      </c>
    </row>
    <row r="804" spans="1:7" x14ac:dyDescent="0.35">
      <c r="A804" t="s">
        <v>1193</v>
      </c>
      <c r="B804" s="2">
        <v>45983</v>
      </c>
      <c r="C804" t="s">
        <v>47</v>
      </c>
      <c r="D804" t="s">
        <v>88</v>
      </c>
      <c r="E804" t="s">
        <v>403</v>
      </c>
      <c r="F804">
        <v>4</v>
      </c>
      <c r="G804">
        <v>88248</v>
      </c>
    </row>
    <row r="805" spans="1:7" x14ac:dyDescent="0.35">
      <c r="A805" t="s">
        <v>1194</v>
      </c>
      <c r="B805" s="2">
        <v>45912</v>
      </c>
      <c r="C805" t="s">
        <v>51</v>
      </c>
      <c r="D805" t="s">
        <v>129</v>
      </c>
      <c r="E805" t="s">
        <v>394</v>
      </c>
      <c r="F805">
        <v>7</v>
      </c>
      <c r="G805">
        <v>220073</v>
      </c>
    </row>
    <row r="806" spans="1:7" x14ac:dyDescent="0.35">
      <c r="A806" t="s">
        <v>1195</v>
      </c>
      <c r="B806" s="2">
        <v>45810</v>
      </c>
      <c r="C806" t="s">
        <v>41</v>
      </c>
      <c r="D806" t="s">
        <v>221</v>
      </c>
      <c r="E806" t="s">
        <v>387</v>
      </c>
      <c r="F806">
        <v>5</v>
      </c>
      <c r="G806">
        <v>106310</v>
      </c>
    </row>
    <row r="807" spans="1:7" x14ac:dyDescent="0.35">
      <c r="A807" t="s">
        <v>1196</v>
      </c>
      <c r="B807" s="2">
        <v>45743</v>
      </c>
      <c r="C807" t="s">
        <v>23</v>
      </c>
      <c r="D807" t="s">
        <v>101</v>
      </c>
      <c r="E807" t="s">
        <v>391</v>
      </c>
      <c r="F807">
        <v>7</v>
      </c>
      <c r="G807">
        <v>42483</v>
      </c>
    </row>
    <row r="808" spans="1:7" x14ac:dyDescent="0.35">
      <c r="A808" t="s">
        <v>1197</v>
      </c>
      <c r="B808" s="2">
        <v>45690</v>
      </c>
      <c r="C808" t="s">
        <v>13</v>
      </c>
      <c r="D808" t="s">
        <v>155</v>
      </c>
      <c r="E808" t="s">
        <v>394</v>
      </c>
      <c r="F808">
        <v>10</v>
      </c>
      <c r="G808">
        <v>301770</v>
      </c>
    </row>
    <row r="809" spans="1:7" x14ac:dyDescent="0.35">
      <c r="A809" t="s">
        <v>1198</v>
      </c>
      <c r="B809" s="2">
        <v>45827</v>
      </c>
      <c r="C809" t="s">
        <v>63</v>
      </c>
      <c r="D809" t="s">
        <v>277</v>
      </c>
      <c r="E809" t="s">
        <v>403</v>
      </c>
      <c r="F809">
        <v>9</v>
      </c>
      <c r="G809">
        <v>78912</v>
      </c>
    </row>
    <row r="810" spans="1:7" x14ac:dyDescent="0.35">
      <c r="A810" t="s">
        <v>1199</v>
      </c>
      <c r="B810" s="2">
        <v>45745</v>
      </c>
      <c r="C810" t="s">
        <v>53</v>
      </c>
      <c r="D810" t="s">
        <v>235</v>
      </c>
      <c r="E810" t="s">
        <v>394</v>
      </c>
      <c r="F810">
        <v>3</v>
      </c>
      <c r="G810">
        <v>12624</v>
      </c>
    </row>
    <row r="811" spans="1:7" x14ac:dyDescent="0.35">
      <c r="A811" t="s">
        <v>1200</v>
      </c>
      <c r="B811" s="2">
        <v>45693</v>
      </c>
      <c r="C811" t="s">
        <v>16</v>
      </c>
      <c r="D811" t="s">
        <v>95</v>
      </c>
      <c r="E811" t="s">
        <v>387</v>
      </c>
      <c r="F811">
        <v>9</v>
      </c>
      <c r="G811">
        <v>287658</v>
      </c>
    </row>
    <row r="812" spans="1:7" x14ac:dyDescent="0.35">
      <c r="A812" t="s">
        <v>1201</v>
      </c>
      <c r="B812" s="2">
        <v>45834</v>
      </c>
      <c r="C812" t="s">
        <v>51</v>
      </c>
      <c r="D812" t="s">
        <v>331</v>
      </c>
      <c r="E812" t="s">
        <v>387</v>
      </c>
      <c r="F812">
        <v>10</v>
      </c>
      <c r="G812">
        <v>314390</v>
      </c>
    </row>
    <row r="813" spans="1:7" x14ac:dyDescent="0.35">
      <c r="A813" t="s">
        <v>1202</v>
      </c>
      <c r="B813" s="2">
        <v>45914</v>
      </c>
      <c r="C813" t="s">
        <v>55</v>
      </c>
      <c r="D813" t="s">
        <v>257</v>
      </c>
      <c r="E813" t="s">
        <v>394</v>
      </c>
      <c r="F813">
        <v>7</v>
      </c>
      <c r="G813">
        <v>79905</v>
      </c>
    </row>
    <row r="814" spans="1:7" x14ac:dyDescent="0.35">
      <c r="A814" t="s">
        <v>1203</v>
      </c>
      <c r="B814" s="2">
        <v>45952</v>
      </c>
      <c r="C814" t="s">
        <v>65</v>
      </c>
      <c r="D814" t="s">
        <v>303</v>
      </c>
      <c r="E814" t="s">
        <v>394</v>
      </c>
      <c r="F814">
        <v>9</v>
      </c>
      <c r="G814">
        <v>4905</v>
      </c>
    </row>
    <row r="815" spans="1:7" x14ac:dyDescent="0.35">
      <c r="A815" t="s">
        <v>1204</v>
      </c>
      <c r="B815" s="2">
        <v>45981</v>
      </c>
      <c r="C815" t="s">
        <v>39</v>
      </c>
      <c r="D815" t="s">
        <v>269</v>
      </c>
      <c r="E815" t="s">
        <v>389</v>
      </c>
      <c r="F815">
        <v>7</v>
      </c>
      <c r="G815">
        <v>338016</v>
      </c>
    </row>
    <row r="816" spans="1:7" x14ac:dyDescent="0.35">
      <c r="A816" t="s">
        <v>1205</v>
      </c>
      <c r="B816" s="2">
        <v>45750</v>
      </c>
      <c r="C816" t="s">
        <v>10</v>
      </c>
      <c r="D816" t="s">
        <v>345</v>
      </c>
      <c r="E816" t="s">
        <v>403</v>
      </c>
      <c r="F816">
        <v>8</v>
      </c>
      <c r="G816">
        <v>36128</v>
      </c>
    </row>
    <row r="817" spans="1:7" x14ac:dyDescent="0.35">
      <c r="A817" t="s">
        <v>1206</v>
      </c>
      <c r="B817" s="2">
        <v>45706</v>
      </c>
      <c r="C817" t="s">
        <v>33</v>
      </c>
      <c r="D817" t="s">
        <v>149</v>
      </c>
      <c r="E817" t="s">
        <v>391</v>
      </c>
      <c r="F817">
        <v>1</v>
      </c>
      <c r="G817">
        <v>36253</v>
      </c>
    </row>
    <row r="818" spans="1:7" x14ac:dyDescent="0.35">
      <c r="A818" t="s">
        <v>1207</v>
      </c>
      <c r="B818" s="2">
        <v>45719</v>
      </c>
      <c r="C818" t="s">
        <v>43</v>
      </c>
      <c r="D818" t="s">
        <v>269</v>
      </c>
      <c r="E818" t="s">
        <v>403</v>
      </c>
      <c r="F818">
        <v>1</v>
      </c>
      <c r="G818">
        <v>37825</v>
      </c>
    </row>
    <row r="819" spans="1:7" x14ac:dyDescent="0.35">
      <c r="A819" t="s">
        <v>1208</v>
      </c>
      <c r="B819" s="2">
        <v>45765</v>
      </c>
      <c r="C819" t="s">
        <v>61</v>
      </c>
      <c r="D819" t="s">
        <v>343</v>
      </c>
      <c r="E819" t="s">
        <v>394</v>
      </c>
      <c r="F819">
        <v>5</v>
      </c>
      <c r="G819">
        <v>125080</v>
      </c>
    </row>
    <row r="820" spans="1:7" x14ac:dyDescent="0.35">
      <c r="A820" t="s">
        <v>1209</v>
      </c>
      <c r="B820" s="2">
        <v>45780</v>
      </c>
      <c r="C820" t="s">
        <v>63</v>
      </c>
      <c r="D820" t="s">
        <v>159</v>
      </c>
      <c r="E820" t="s">
        <v>403</v>
      </c>
      <c r="F820">
        <v>8</v>
      </c>
      <c r="G820">
        <v>70144</v>
      </c>
    </row>
    <row r="821" spans="1:7" x14ac:dyDescent="0.35">
      <c r="A821" t="s">
        <v>1210</v>
      </c>
      <c r="B821" s="2">
        <v>45976</v>
      </c>
      <c r="C821" t="s">
        <v>39</v>
      </c>
      <c r="D821" t="s">
        <v>379</v>
      </c>
      <c r="E821" t="s">
        <v>394</v>
      </c>
      <c r="F821">
        <v>3</v>
      </c>
      <c r="G821">
        <v>144864</v>
      </c>
    </row>
    <row r="822" spans="1:7" x14ac:dyDescent="0.35">
      <c r="A822" t="s">
        <v>1211</v>
      </c>
      <c r="B822" s="2">
        <v>45976</v>
      </c>
      <c r="C822" t="s">
        <v>49</v>
      </c>
      <c r="D822" t="s">
        <v>295</v>
      </c>
      <c r="E822" t="s">
        <v>391</v>
      </c>
      <c r="F822">
        <v>3</v>
      </c>
      <c r="G822">
        <v>136542</v>
      </c>
    </row>
    <row r="823" spans="1:7" x14ac:dyDescent="0.35">
      <c r="A823" t="s">
        <v>1212</v>
      </c>
      <c r="B823" s="2">
        <v>45726</v>
      </c>
      <c r="C823" t="s">
        <v>13</v>
      </c>
      <c r="D823" t="s">
        <v>371</v>
      </c>
      <c r="E823" t="s">
        <v>389</v>
      </c>
      <c r="F823">
        <v>9</v>
      </c>
      <c r="G823">
        <v>271593</v>
      </c>
    </row>
    <row r="824" spans="1:7" x14ac:dyDescent="0.35">
      <c r="A824" t="s">
        <v>1213</v>
      </c>
      <c r="B824" s="2">
        <v>45876</v>
      </c>
      <c r="C824" t="s">
        <v>67</v>
      </c>
      <c r="D824" t="s">
        <v>333</v>
      </c>
      <c r="E824" t="s">
        <v>403</v>
      </c>
      <c r="F824">
        <v>9</v>
      </c>
      <c r="G824">
        <v>194544</v>
      </c>
    </row>
    <row r="825" spans="1:7" x14ac:dyDescent="0.35">
      <c r="A825" t="s">
        <v>1214</v>
      </c>
      <c r="B825" s="2">
        <v>45692</v>
      </c>
      <c r="C825" t="s">
        <v>21</v>
      </c>
      <c r="D825" t="s">
        <v>343</v>
      </c>
      <c r="E825" t="s">
        <v>387</v>
      </c>
      <c r="F825">
        <v>1</v>
      </c>
      <c r="G825">
        <v>15209</v>
      </c>
    </row>
    <row r="826" spans="1:7" x14ac:dyDescent="0.35">
      <c r="A826" t="s">
        <v>1215</v>
      </c>
      <c r="B826" s="2">
        <v>45927</v>
      </c>
      <c r="C826" t="s">
        <v>41</v>
      </c>
      <c r="D826" t="s">
        <v>161</v>
      </c>
      <c r="E826" t="s">
        <v>403</v>
      </c>
      <c r="F826">
        <v>8</v>
      </c>
      <c r="G826">
        <v>170096</v>
      </c>
    </row>
    <row r="827" spans="1:7" x14ac:dyDescent="0.35">
      <c r="A827" t="s">
        <v>1216</v>
      </c>
      <c r="B827" s="2">
        <v>45981</v>
      </c>
      <c r="C827" t="s">
        <v>43</v>
      </c>
      <c r="D827" t="s">
        <v>95</v>
      </c>
      <c r="E827" t="s">
        <v>389</v>
      </c>
      <c r="F827">
        <v>2</v>
      </c>
      <c r="G827">
        <v>75650</v>
      </c>
    </row>
    <row r="828" spans="1:7" x14ac:dyDescent="0.35">
      <c r="A828" t="s">
        <v>1217</v>
      </c>
      <c r="B828" s="2">
        <v>45831</v>
      </c>
      <c r="C828" t="s">
        <v>35</v>
      </c>
      <c r="D828" t="s">
        <v>353</v>
      </c>
      <c r="E828" t="s">
        <v>387</v>
      </c>
      <c r="F828">
        <v>4</v>
      </c>
      <c r="G828">
        <v>197840</v>
      </c>
    </row>
    <row r="829" spans="1:7" x14ac:dyDescent="0.35">
      <c r="A829" t="s">
        <v>1218</v>
      </c>
      <c r="B829" s="2">
        <v>45935</v>
      </c>
      <c r="C829" t="s">
        <v>67</v>
      </c>
      <c r="D829" t="s">
        <v>267</v>
      </c>
      <c r="E829" t="s">
        <v>403</v>
      </c>
      <c r="F829">
        <v>9</v>
      </c>
      <c r="G829">
        <v>194544</v>
      </c>
    </row>
    <row r="830" spans="1:7" x14ac:dyDescent="0.35">
      <c r="A830" t="s">
        <v>1219</v>
      </c>
      <c r="B830" s="2">
        <v>45697</v>
      </c>
      <c r="C830" t="s">
        <v>25</v>
      </c>
      <c r="D830" t="s">
        <v>265</v>
      </c>
      <c r="E830" t="s">
        <v>394</v>
      </c>
      <c r="F830">
        <v>7</v>
      </c>
      <c r="G830">
        <v>127701</v>
      </c>
    </row>
    <row r="831" spans="1:7" x14ac:dyDescent="0.35">
      <c r="A831" t="s">
        <v>1220</v>
      </c>
      <c r="B831" s="2">
        <v>45725</v>
      </c>
      <c r="C831" t="s">
        <v>41</v>
      </c>
      <c r="D831" t="s">
        <v>245</v>
      </c>
      <c r="E831" t="s">
        <v>394</v>
      </c>
      <c r="F831">
        <v>6</v>
      </c>
      <c r="G831">
        <v>127572</v>
      </c>
    </row>
    <row r="832" spans="1:7" x14ac:dyDescent="0.35">
      <c r="A832" t="s">
        <v>1221</v>
      </c>
      <c r="B832" s="2">
        <v>45831</v>
      </c>
      <c r="C832" t="s">
        <v>31</v>
      </c>
      <c r="D832" t="s">
        <v>277</v>
      </c>
      <c r="E832" t="s">
        <v>391</v>
      </c>
      <c r="F832">
        <v>10</v>
      </c>
      <c r="G832">
        <v>299660</v>
      </c>
    </row>
    <row r="833" spans="1:7" x14ac:dyDescent="0.35">
      <c r="A833" t="s">
        <v>1222</v>
      </c>
      <c r="B833" s="2">
        <v>45907</v>
      </c>
      <c r="C833" t="s">
        <v>4</v>
      </c>
      <c r="D833" t="s">
        <v>123</v>
      </c>
      <c r="E833" t="s">
        <v>394</v>
      </c>
      <c r="F833">
        <v>6</v>
      </c>
      <c r="G833">
        <v>70890</v>
      </c>
    </row>
    <row r="834" spans="1:7" x14ac:dyDescent="0.35">
      <c r="A834" t="s">
        <v>1223</v>
      </c>
      <c r="B834" s="2">
        <v>45967</v>
      </c>
      <c r="C834" t="s">
        <v>39</v>
      </c>
      <c r="D834" t="s">
        <v>285</v>
      </c>
      <c r="E834" t="s">
        <v>403</v>
      </c>
      <c r="F834">
        <v>10</v>
      </c>
      <c r="G834">
        <v>482880</v>
      </c>
    </row>
    <row r="835" spans="1:7" x14ac:dyDescent="0.35">
      <c r="A835" t="s">
        <v>1224</v>
      </c>
      <c r="B835" s="2">
        <v>45837</v>
      </c>
      <c r="C835" t="s">
        <v>13</v>
      </c>
      <c r="D835" t="s">
        <v>165</v>
      </c>
      <c r="E835" t="s">
        <v>403</v>
      </c>
      <c r="F835">
        <v>7</v>
      </c>
      <c r="G835">
        <v>211239</v>
      </c>
    </row>
    <row r="836" spans="1:7" x14ac:dyDescent="0.35">
      <c r="A836" t="s">
        <v>1225</v>
      </c>
      <c r="B836" s="2">
        <v>45960</v>
      </c>
      <c r="C836" t="s">
        <v>7</v>
      </c>
      <c r="D836" t="s">
        <v>353</v>
      </c>
      <c r="E836" t="s">
        <v>391</v>
      </c>
      <c r="F836">
        <v>4</v>
      </c>
      <c r="G836">
        <v>104532</v>
      </c>
    </row>
    <row r="837" spans="1:7" x14ac:dyDescent="0.35">
      <c r="A837" t="s">
        <v>1226</v>
      </c>
      <c r="B837" s="2">
        <v>45677</v>
      </c>
      <c r="C837" t="s">
        <v>51</v>
      </c>
      <c r="D837" t="s">
        <v>119</v>
      </c>
      <c r="E837" t="s">
        <v>403</v>
      </c>
      <c r="F837">
        <v>4</v>
      </c>
      <c r="G837">
        <v>125756</v>
      </c>
    </row>
    <row r="838" spans="1:7" x14ac:dyDescent="0.35">
      <c r="A838" t="s">
        <v>1227</v>
      </c>
      <c r="B838" s="2">
        <v>45814</v>
      </c>
      <c r="C838" t="s">
        <v>47</v>
      </c>
      <c r="D838" t="s">
        <v>165</v>
      </c>
      <c r="E838" t="s">
        <v>389</v>
      </c>
      <c r="F838">
        <v>7</v>
      </c>
      <c r="G838">
        <v>154434</v>
      </c>
    </row>
    <row r="839" spans="1:7" x14ac:dyDescent="0.35">
      <c r="A839" t="s">
        <v>1228</v>
      </c>
      <c r="B839" s="2">
        <v>45998</v>
      </c>
      <c r="C839" t="s">
        <v>47</v>
      </c>
      <c r="D839" t="s">
        <v>357</v>
      </c>
      <c r="E839" t="s">
        <v>391</v>
      </c>
      <c r="F839">
        <v>5</v>
      </c>
      <c r="G839">
        <v>110310</v>
      </c>
    </row>
    <row r="840" spans="1:7" x14ac:dyDescent="0.35">
      <c r="A840" t="s">
        <v>1229</v>
      </c>
      <c r="B840" s="2">
        <v>46004</v>
      </c>
      <c r="C840" t="s">
        <v>10</v>
      </c>
      <c r="D840" t="s">
        <v>239</v>
      </c>
      <c r="E840" t="s">
        <v>387</v>
      </c>
      <c r="F840">
        <v>7</v>
      </c>
      <c r="G840">
        <v>31612</v>
      </c>
    </row>
    <row r="841" spans="1:7" x14ac:dyDescent="0.35">
      <c r="A841" t="s">
        <v>1230</v>
      </c>
      <c r="B841" s="2">
        <v>45799</v>
      </c>
      <c r="C841" t="s">
        <v>61</v>
      </c>
      <c r="D841" t="s">
        <v>253</v>
      </c>
      <c r="E841" t="s">
        <v>391</v>
      </c>
      <c r="F841">
        <v>10</v>
      </c>
      <c r="G841">
        <v>250160</v>
      </c>
    </row>
    <row r="842" spans="1:7" x14ac:dyDescent="0.35">
      <c r="A842" t="s">
        <v>1231</v>
      </c>
      <c r="B842" s="2">
        <v>46017</v>
      </c>
      <c r="C842" t="s">
        <v>13</v>
      </c>
      <c r="D842" t="s">
        <v>337</v>
      </c>
      <c r="E842" t="s">
        <v>391</v>
      </c>
      <c r="F842">
        <v>7</v>
      </c>
      <c r="G842">
        <v>211239</v>
      </c>
    </row>
    <row r="843" spans="1:7" x14ac:dyDescent="0.35">
      <c r="A843" t="s">
        <v>1232</v>
      </c>
      <c r="B843" s="2">
        <v>45967</v>
      </c>
      <c r="C843" t="s">
        <v>39</v>
      </c>
      <c r="D843" t="s">
        <v>181</v>
      </c>
      <c r="E843" t="s">
        <v>391</v>
      </c>
      <c r="F843">
        <v>1</v>
      </c>
      <c r="G843">
        <v>48288</v>
      </c>
    </row>
    <row r="844" spans="1:7" x14ac:dyDescent="0.35">
      <c r="A844" t="s">
        <v>1233</v>
      </c>
      <c r="B844" s="2">
        <v>45786</v>
      </c>
      <c r="C844" t="s">
        <v>49</v>
      </c>
      <c r="D844" t="s">
        <v>281</v>
      </c>
      <c r="E844" t="s">
        <v>389</v>
      </c>
      <c r="F844">
        <v>6</v>
      </c>
      <c r="G844">
        <v>273084</v>
      </c>
    </row>
    <row r="845" spans="1:7" x14ac:dyDescent="0.35">
      <c r="A845" t="s">
        <v>1234</v>
      </c>
      <c r="B845" s="2">
        <v>45923</v>
      </c>
      <c r="C845" t="s">
        <v>55</v>
      </c>
      <c r="D845" t="s">
        <v>123</v>
      </c>
      <c r="E845" t="s">
        <v>387</v>
      </c>
      <c r="F845">
        <v>7</v>
      </c>
      <c r="G845">
        <v>79905</v>
      </c>
    </row>
    <row r="846" spans="1:7" x14ac:dyDescent="0.35">
      <c r="A846" t="s">
        <v>1235</v>
      </c>
      <c r="B846" s="2">
        <v>45844</v>
      </c>
      <c r="C846" t="s">
        <v>55</v>
      </c>
      <c r="D846" t="s">
        <v>107</v>
      </c>
      <c r="E846" t="s">
        <v>391</v>
      </c>
      <c r="F846">
        <v>1</v>
      </c>
      <c r="G846">
        <v>11415</v>
      </c>
    </row>
    <row r="847" spans="1:7" x14ac:dyDescent="0.35">
      <c r="A847" t="s">
        <v>1236</v>
      </c>
      <c r="B847" s="2">
        <v>45699</v>
      </c>
      <c r="C847" t="s">
        <v>47</v>
      </c>
      <c r="D847" t="s">
        <v>365</v>
      </c>
      <c r="E847" t="s">
        <v>391</v>
      </c>
      <c r="F847">
        <v>3</v>
      </c>
      <c r="G847">
        <v>66186</v>
      </c>
    </row>
    <row r="848" spans="1:7" x14ac:dyDescent="0.35">
      <c r="A848" t="s">
        <v>1237</v>
      </c>
      <c r="B848" s="2">
        <v>45844</v>
      </c>
      <c r="C848" t="s">
        <v>63</v>
      </c>
      <c r="D848" t="s">
        <v>315</v>
      </c>
      <c r="E848" t="s">
        <v>387</v>
      </c>
      <c r="F848">
        <v>5</v>
      </c>
      <c r="G848">
        <v>43840</v>
      </c>
    </row>
    <row r="849" spans="1:7" x14ac:dyDescent="0.35">
      <c r="A849" t="s">
        <v>1238</v>
      </c>
      <c r="B849" s="2">
        <v>45677</v>
      </c>
      <c r="C849" t="s">
        <v>65</v>
      </c>
      <c r="D849" t="s">
        <v>229</v>
      </c>
      <c r="E849" t="s">
        <v>387</v>
      </c>
      <c r="F849">
        <v>4</v>
      </c>
      <c r="G849">
        <v>2180</v>
      </c>
    </row>
    <row r="850" spans="1:7" x14ac:dyDescent="0.35">
      <c r="A850" t="s">
        <v>1239</v>
      </c>
      <c r="B850" s="2">
        <v>45929</v>
      </c>
      <c r="C850" t="s">
        <v>65</v>
      </c>
      <c r="D850" t="s">
        <v>299</v>
      </c>
      <c r="E850" t="s">
        <v>403</v>
      </c>
      <c r="F850">
        <v>10</v>
      </c>
      <c r="G850">
        <v>5450</v>
      </c>
    </row>
    <row r="851" spans="1:7" x14ac:dyDescent="0.35">
      <c r="A851" t="s">
        <v>1240</v>
      </c>
      <c r="B851" s="2">
        <v>45729</v>
      </c>
      <c r="C851" t="s">
        <v>33</v>
      </c>
      <c r="D851" t="s">
        <v>281</v>
      </c>
      <c r="E851" t="s">
        <v>391</v>
      </c>
      <c r="F851">
        <v>7</v>
      </c>
      <c r="G851">
        <v>253771</v>
      </c>
    </row>
    <row r="852" spans="1:7" x14ac:dyDescent="0.35">
      <c r="A852" t="s">
        <v>1241</v>
      </c>
      <c r="B852" s="2">
        <v>45975</v>
      </c>
      <c r="C852" t="s">
        <v>41</v>
      </c>
      <c r="D852" t="s">
        <v>169</v>
      </c>
      <c r="E852" t="s">
        <v>389</v>
      </c>
      <c r="F852">
        <v>5</v>
      </c>
      <c r="G852">
        <v>106310</v>
      </c>
    </row>
    <row r="853" spans="1:7" x14ac:dyDescent="0.35">
      <c r="A853" t="s">
        <v>1242</v>
      </c>
      <c r="B853" s="2">
        <v>45783</v>
      </c>
      <c r="C853" t="s">
        <v>7</v>
      </c>
      <c r="D853" t="s">
        <v>367</v>
      </c>
      <c r="E853" t="s">
        <v>394</v>
      </c>
      <c r="F853">
        <v>3</v>
      </c>
      <c r="G853">
        <v>78399</v>
      </c>
    </row>
    <row r="854" spans="1:7" x14ac:dyDescent="0.35">
      <c r="A854" t="s">
        <v>1243</v>
      </c>
      <c r="B854" s="2">
        <v>45838</v>
      </c>
      <c r="C854" t="s">
        <v>4</v>
      </c>
      <c r="D854" t="s">
        <v>353</v>
      </c>
      <c r="E854" t="s">
        <v>389</v>
      </c>
      <c r="F854">
        <v>4</v>
      </c>
      <c r="G854">
        <v>47260</v>
      </c>
    </row>
    <row r="855" spans="1:7" x14ac:dyDescent="0.35">
      <c r="A855" t="s">
        <v>1244</v>
      </c>
      <c r="B855" s="2">
        <v>45862</v>
      </c>
      <c r="C855" t="s">
        <v>35</v>
      </c>
      <c r="D855" t="s">
        <v>285</v>
      </c>
      <c r="E855" t="s">
        <v>387</v>
      </c>
      <c r="F855">
        <v>2</v>
      </c>
      <c r="G855">
        <v>98920</v>
      </c>
    </row>
    <row r="856" spans="1:7" x14ac:dyDescent="0.35">
      <c r="A856" t="s">
        <v>1245</v>
      </c>
      <c r="B856" s="2">
        <v>45685</v>
      </c>
      <c r="C856" t="s">
        <v>37</v>
      </c>
      <c r="D856" t="s">
        <v>253</v>
      </c>
      <c r="E856" t="s">
        <v>391</v>
      </c>
      <c r="F856">
        <v>7</v>
      </c>
      <c r="G856">
        <v>13671</v>
      </c>
    </row>
    <row r="857" spans="1:7" x14ac:dyDescent="0.35">
      <c r="A857" t="s">
        <v>1246</v>
      </c>
      <c r="B857" s="2">
        <v>45685</v>
      </c>
      <c r="C857" t="s">
        <v>27</v>
      </c>
      <c r="D857" t="s">
        <v>143</v>
      </c>
      <c r="E857" t="s">
        <v>389</v>
      </c>
      <c r="F857">
        <v>7</v>
      </c>
      <c r="G857">
        <v>263788</v>
      </c>
    </row>
    <row r="858" spans="1:7" x14ac:dyDescent="0.35">
      <c r="A858" t="s">
        <v>1247</v>
      </c>
      <c r="B858" s="2">
        <v>45711</v>
      </c>
      <c r="C858" t="s">
        <v>7</v>
      </c>
      <c r="D858" t="s">
        <v>163</v>
      </c>
      <c r="E858" t="s">
        <v>387</v>
      </c>
      <c r="F858">
        <v>1</v>
      </c>
      <c r="G858">
        <v>26133</v>
      </c>
    </row>
    <row r="859" spans="1:7" x14ac:dyDescent="0.35">
      <c r="A859" t="s">
        <v>1248</v>
      </c>
      <c r="B859" s="2">
        <v>45841</v>
      </c>
      <c r="C859" t="s">
        <v>41</v>
      </c>
      <c r="D859" t="s">
        <v>339</v>
      </c>
      <c r="E859" t="s">
        <v>394</v>
      </c>
      <c r="F859">
        <v>4</v>
      </c>
      <c r="G859">
        <v>85048</v>
      </c>
    </row>
    <row r="860" spans="1:7" x14ac:dyDescent="0.35">
      <c r="A860" t="s">
        <v>1249</v>
      </c>
      <c r="B860" s="2">
        <v>45932</v>
      </c>
      <c r="C860" t="s">
        <v>59</v>
      </c>
      <c r="D860" t="s">
        <v>335</v>
      </c>
      <c r="E860" t="s">
        <v>394</v>
      </c>
      <c r="F860">
        <v>1</v>
      </c>
      <c r="G860">
        <v>48106</v>
      </c>
    </row>
    <row r="861" spans="1:7" x14ac:dyDescent="0.35">
      <c r="A861" t="s">
        <v>1250</v>
      </c>
      <c r="B861" s="2">
        <v>45776</v>
      </c>
      <c r="C861" t="s">
        <v>45</v>
      </c>
      <c r="D861" t="s">
        <v>357</v>
      </c>
      <c r="E861" t="s">
        <v>391</v>
      </c>
      <c r="F861">
        <v>5</v>
      </c>
      <c r="G861">
        <v>39130</v>
      </c>
    </row>
    <row r="862" spans="1:7" x14ac:dyDescent="0.35">
      <c r="A862" t="s">
        <v>1251</v>
      </c>
      <c r="B862" s="2">
        <v>45921</v>
      </c>
      <c r="C862" t="s">
        <v>59</v>
      </c>
      <c r="D862" t="s">
        <v>349</v>
      </c>
      <c r="E862" t="s">
        <v>387</v>
      </c>
      <c r="F862">
        <v>9</v>
      </c>
      <c r="G862">
        <v>432954</v>
      </c>
    </row>
    <row r="863" spans="1:7" x14ac:dyDescent="0.35">
      <c r="A863" t="s">
        <v>1252</v>
      </c>
      <c r="B863" s="2">
        <v>45849</v>
      </c>
      <c r="C863" t="s">
        <v>27</v>
      </c>
      <c r="D863" t="s">
        <v>161</v>
      </c>
      <c r="E863" t="s">
        <v>403</v>
      </c>
      <c r="F863">
        <v>6</v>
      </c>
      <c r="G863">
        <v>226104</v>
      </c>
    </row>
    <row r="864" spans="1:7" x14ac:dyDescent="0.35">
      <c r="A864" t="s">
        <v>1253</v>
      </c>
      <c r="B864" s="2">
        <v>45721</v>
      </c>
      <c r="C864" t="s">
        <v>23</v>
      </c>
      <c r="D864" t="s">
        <v>319</v>
      </c>
      <c r="E864" t="s">
        <v>391</v>
      </c>
      <c r="F864">
        <v>10</v>
      </c>
      <c r="G864">
        <v>60690</v>
      </c>
    </row>
    <row r="865" spans="1:7" x14ac:dyDescent="0.35">
      <c r="A865" t="s">
        <v>1254</v>
      </c>
      <c r="B865" s="2">
        <v>45678</v>
      </c>
      <c r="C865" t="s">
        <v>31</v>
      </c>
      <c r="D865" t="s">
        <v>375</v>
      </c>
      <c r="E865" t="s">
        <v>387</v>
      </c>
      <c r="F865">
        <v>9</v>
      </c>
      <c r="G865">
        <v>269694</v>
      </c>
    </row>
    <row r="866" spans="1:7" x14ac:dyDescent="0.35">
      <c r="A866" t="s">
        <v>1255</v>
      </c>
      <c r="B866" s="2">
        <v>45810</v>
      </c>
      <c r="C866" t="s">
        <v>57</v>
      </c>
      <c r="D866" t="s">
        <v>213</v>
      </c>
      <c r="E866" t="s">
        <v>391</v>
      </c>
      <c r="F866">
        <v>3</v>
      </c>
      <c r="G866">
        <v>146367</v>
      </c>
    </row>
    <row r="867" spans="1:7" x14ac:dyDescent="0.35">
      <c r="A867" t="s">
        <v>1256</v>
      </c>
      <c r="B867" s="2">
        <v>45835</v>
      </c>
      <c r="C867" t="s">
        <v>41</v>
      </c>
      <c r="D867" t="s">
        <v>81</v>
      </c>
      <c r="E867" t="s">
        <v>394</v>
      </c>
      <c r="F867">
        <v>7</v>
      </c>
      <c r="G867">
        <v>148834</v>
      </c>
    </row>
    <row r="868" spans="1:7" x14ac:dyDescent="0.35">
      <c r="A868" t="s">
        <v>1257</v>
      </c>
      <c r="B868" s="2">
        <v>45854</v>
      </c>
      <c r="C868" t="s">
        <v>51</v>
      </c>
      <c r="D868" t="s">
        <v>339</v>
      </c>
      <c r="E868" t="s">
        <v>403</v>
      </c>
      <c r="F868">
        <v>9</v>
      </c>
      <c r="G868">
        <v>282951</v>
      </c>
    </row>
    <row r="869" spans="1:7" x14ac:dyDescent="0.35">
      <c r="A869" t="s">
        <v>1258</v>
      </c>
      <c r="B869" s="2">
        <v>46009</v>
      </c>
      <c r="C869" t="s">
        <v>31</v>
      </c>
      <c r="D869" t="s">
        <v>253</v>
      </c>
      <c r="E869" t="s">
        <v>403</v>
      </c>
      <c r="F869">
        <v>6</v>
      </c>
      <c r="G869">
        <v>179796</v>
      </c>
    </row>
    <row r="870" spans="1:7" x14ac:dyDescent="0.35">
      <c r="A870" t="s">
        <v>1259</v>
      </c>
      <c r="B870" s="2">
        <v>45771</v>
      </c>
      <c r="C870" t="s">
        <v>4</v>
      </c>
      <c r="D870" t="s">
        <v>191</v>
      </c>
      <c r="E870" t="s">
        <v>391</v>
      </c>
      <c r="F870">
        <v>5</v>
      </c>
      <c r="G870">
        <v>59075</v>
      </c>
    </row>
    <row r="871" spans="1:7" x14ac:dyDescent="0.35">
      <c r="A871" t="s">
        <v>1260</v>
      </c>
      <c r="B871" s="2">
        <v>45877</v>
      </c>
      <c r="C871" t="s">
        <v>29</v>
      </c>
      <c r="D871" t="s">
        <v>211</v>
      </c>
      <c r="E871" t="s">
        <v>389</v>
      </c>
      <c r="F871">
        <v>9</v>
      </c>
      <c r="G871">
        <v>383796</v>
      </c>
    </row>
    <row r="872" spans="1:7" x14ac:dyDescent="0.35">
      <c r="A872" t="s">
        <v>1261</v>
      </c>
      <c r="B872" s="2">
        <v>45687</v>
      </c>
      <c r="C872" t="s">
        <v>57</v>
      </c>
      <c r="D872" t="s">
        <v>335</v>
      </c>
      <c r="E872" t="s">
        <v>389</v>
      </c>
      <c r="F872">
        <v>4</v>
      </c>
      <c r="G872">
        <v>195156</v>
      </c>
    </row>
    <row r="873" spans="1:7" x14ac:dyDescent="0.35">
      <c r="A873" t="s">
        <v>1262</v>
      </c>
      <c r="B873" s="2">
        <v>45913</v>
      </c>
      <c r="C873" t="s">
        <v>4</v>
      </c>
      <c r="D873" t="s">
        <v>343</v>
      </c>
      <c r="E873" t="s">
        <v>394</v>
      </c>
      <c r="F873">
        <v>7</v>
      </c>
      <c r="G873">
        <v>82705</v>
      </c>
    </row>
    <row r="874" spans="1:7" x14ac:dyDescent="0.35">
      <c r="A874" t="s">
        <v>1263</v>
      </c>
      <c r="B874" s="2">
        <v>45979</v>
      </c>
      <c r="C874" t="s">
        <v>16</v>
      </c>
      <c r="D874" t="s">
        <v>215</v>
      </c>
      <c r="E874" t="s">
        <v>387</v>
      </c>
      <c r="F874">
        <v>4</v>
      </c>
      <c r="G874">
        <v>127848</v>
      </c>
    </row>
    <row r="875" spans="1:7" x14ac:dyDescent="0.35">
      <c r="A875" t="s">
        <v>1264</v>
      </c>
      <c r="B875" s="2">
        <v>45884</v>
      </c>
      <c r="C875" t="s">
        <v>43</v>
      </c>
      <c r="D875" t="s">
        <v>227</v>
      </c>
      <c r="E875" t="s">
        <v>387</v>
      </c>
      <c r="F875">
        <v>7</v>
      </c>
      <c r="G875">
        <v>264775</v>
      </c>
    </row>
    <row r="876" spans="1:7" x14ac:dyDescent="0.35">
      <c r="A876" t="s">
        <v>1265</v>
      </c>
      <c r="B876" s="2">
        <v>45813</v>
      </c>
      <c r="C876" t="s">
        <v>51</v>
      </c>
      <c r="D876" t="s">
        <v>99</v>
      </c>
      <c r="E876" t="s">
        <v>389</v>
      </c>
      <c r="F876">
        <v>9</v>
      </c>
      <c r="G876">
        <v>282951</v>
      </c>
    </row>
    <row r="877" spans="1:7" x14ac:dyDescent="0.35">
      <c r="A877" t="s">
        <v>1266</v>
      </c>
      <c r="B877" s="2">
        <v>45807</v>
      </c>
      <c r="C877" t="s">
        <v>41</v>
      </c>
      <c r="D877" t="s">
        <v>141</v>
      </c>
      <c r="E877" t="s">
        <v>391</v>
      </c>
      <c r="F877">
        <v>1</v>
      </c>
      <c r="G877">
        <v>21262</v>
      </c>
    </row>
    <row r="878" spans="1:7" x14ac:dyDescent="0.35">
      <c r="A878" t="s">
        <v>1267</v>
      </c>
      <c r="B878" s="2">
        <v>45892</v>
      </c>
      <c r="C878" t="s">
        <v>4</v>
      </c>
      <c r="D878" t="s">
        <v>303</v>
      </c>
      <c r="E878" t="s">
        <v>391</v>
      </c>
      <c r="F878">
        <v>10</v>
      </c>
      <c r="G878">
        <v>118150</v>
      </c>
    </row>
    <row r="879" spans="1:7" x14ac:dyDescent="0.35">
      <c r="A879" t="s">
        <v>1268</v>
      </c>
      <c r="B879" s="2">
        <v>45941</v>
      </c>
      <c r="C879" t="s">
        <v>37</v>
      </c>
      <c r="D879" t="s">
        <v>131</v>
      </c>
      <c r="E879" t="s">
        <v>387</v>
      </c>
      <c r="F879">
        <v>6</v>
      </c>
      <c r="G879">
        <v>11718</v>
      </c>
    </row>
    <row r="880" spans="1:7" x14ac:dyDescent="0.35">
      <c r="A880" t="s">
        <v>1269</v>
      </c>
      <c r="B880" s="2">
        <v>45696</v>
      </c>
      <c r="C880" t="s">
        <v>65</v>
      </c>
      <c r="D880" t="s">
        <v>323</v>
      </c>
      <c r="E880" t="s">
        <v>391</v>
      </c>
      <c r="F880">
        <v>1</v>
      </c>
      <c r="G880">
        <v>545</v>
      </c>
    </row>
    <row r="881" spans="1:7" x14ac:dyDescent="0.35">
      <c r="A881" t="s">
        <v>1270</v>
      </c>
      <c r="B881" s="2">
        <v>45698</v>
      </c>
      <c r="C881" t="s">
        <v>31</v>
      </c>
      <c r="D881" t="s">
        <v>139</v>
      </c>
      <c r="E881" t="s">
        <v>391</v>
      </c>
      <c r="F881">
        <v>8</v>
      </c>
      <c r="G881">
        <v>239728</v>
      </c>
    </row>
    <row r="882" spans="1:7" x14ac:dyDescent="0.35">
      <c r="A882" t="s">
        <v>1271</v>
      </c>
      <c r="B882" s="2">
        <v>45847</v>
      </c>
      <c r="C882" t="s">
        <v>10</v>
      </c>
      <c r="D882" t="s">
        <v>243</v>
      </c>
      <c r="E882" t="s">
        <v>389</v>
      </c>
      <c r="F882">
        <v>5</v>
      </c>
      <c r="G882">
        <v>22580</v>
      </c>
    </row>
    <row r="883" spans="1:7" x14ac:dyDescent="0.35">
      <c r="A883" t="s">
        <v>1272</v>
      </c>
      <c r="B883" s="2">
        <v>45870</v>
      </c>
      <c r="C883" t="s">
        <v>25</v>
      </c>
      <c r="D883" t="s">
        <v>99</v>
      </c>
      <c r="E883" t="s">
        <v>387</v>
      </c>
      <c r="F883">
        <v>3</v>
      </c>
      <c r="G883">
        <v>54729</v>
      </c>
    </row>
    <row r="884" spans="1:7" x14ac:dyDescent="0.35">
      <c r="A884" t="s">
        <v>1273</v>
      </c>
      <c r="B884" s="2">
        <v>45736</v>
      </c>
      <c r="C884" t="s">
        <v>23</v>
      </c>
      <c r="D884" t="s">
        <v>293</v>
      </c>
      <c r="E884" t="s">
        <v>394</v>
      </c>
      <c r="F884">
        <v>5</v>
      </c>
      <c r="G884">
        <v>30345</v>
      </c>
    </row>
    <row r="885" spans="1:7" x14ac:dyDescent="0.35">
      <c r="A885" t="s">
        <v>1274</v>
      </c>
      <c r="B885" s="2">
        <v>45695</v>
      </c>
      <c r="C885" t="s">
        <v>53</v>
      </c>
      <c r="D885" t="s">
        <v>207</v>
      </c>
      <c r="E885" t="s">
        <v>389</v>
      </c>
      <c r="F885">
        <v>5</v>
      </c>
      <c r="G885">
        <v>21040</v>
      </c>
    </row>
    <row r="886" spans="1:7" x14ac:dyDescent="0.35">
      <c r="A886" t="s">
        <v>1275</v>
      </c>
      <c r="B886" s="2">
        <v>45858</v>
      </c>
      <c r="C886" t="s">
        <v>43</v>
      </c>
      <c r="D886" t="s">
        <v>283</v>
      </c>
      <c r="E886" t="s">
        <v>387</v>
      </c>
      <c r="F886">
        <v>6</v>
      </c>
      <c r="G886">
        <v>226950</v>
      </c>
    </row>
    <row r="887" spans="1:7" x14ac:dyDescent="0.35">
      <c r="A887" t="s">
        <v>1276</v>
      </c>
      <c r="B887" s="2">
        <v>46008</v>
      </c>
      <c r="C887" t="s">
        <v>7</v>
      </c>
      <c r="D887" t="s">
        <v>225</v>
      </c>
      <c r="E887" t="s">
        <v>394</v>
      </c>
      <c r="F887">
        <v>4</v>
      </c>
      <c r="G887">
        <v>104532</v>
      </c>
    </row>
    <row r="888" spans="1:7" x14ac:dyDescent="0.35">
      <c r="A888" t="s">
        <v>1277</v>
      </c>
      <c r="B888" s="2">
        <v>45789</v>
      </c>
      <c r="C888" t="s">
        <v>4</v>
      </c>
      <c r="D888" t="s">
        <v>201</v>
      </c>
      <c r="E888" t="s">
        <v>394</v>
      </c>
      <c r="F888">
        <v>2</v>
      </c>
      <c r="G888">
        <v>23630</v>
      </c>
    </row>
    <row r="889" spans="1:7" x14ac:dyDescent="0.35">
      <c r="A889" t="s">
        <v>1278</v>
      </c>
      <c r="B889" s="2">
        <v>45659</v>
      </c>
      <c r="C889" t="s">
        <v>65</v>
      </c>
      <c r="D889" t="s">
        <v>125</v>
      </c>
      <c r="E889" t="s">
        <v>391</v>
      </c>
      <c r="F889">
        <v>3</v>
      </c>
      <c r="G889">
        <v>1635</v>
      </c>
    </row>
    <row r="890" spans="1:7" x14ac:dyDescent="0.35">
      <c r="A890" t="s">
        <v>1279</v>
      </c>
      <c r="B890" s="2">
        <v>45887</v>
      </c>
      <c r="C890" t="s">
        <v>67</v>
      </c>
      <c r="D890" t="s">
        <v>223</v>
      </c>
      <c r="E890" t="s">
        <v>391</v>
      </c>
      <c r="F890">
        <v>7</v>
      </c>
      <c r="G890">
        <v>151312</v>
      </c>
    </row>
    <row r="891" spans="1:7" x14ac:dyDescent="0.35">
      <c r="A891" t="s">
        <v>1280</v>
      </c>
      <c r="B891" s="2">
        <v>45918</v>
      </c>
      <c r="C891" t="s">
        <v>53</v>
      </c>
      <c r="D891" t="s">
        <v>137</v>
      </c>
      <c r="E891" t="s">
        <v>403</v>
      </c>
      <c r="F891">
        <v>4</v>
      </c>
      <c r="G891">
        <v>16832</v>
      </c>
    </row>
    <row r="892" spans="1:7" x14ac:dyDescent="0.35">
      <c r="A892" t="s">
        <v>1281</v>
      </c>
      <c r="B892" s="2">
        <v>45783</v>
      </c>
      <c r="C892" t="s">
        <v>27</v>
      </c>
      <c r="D892" t="s">
        <v>321</v>
      </c>
      <c r="E892" t="s">
        <v>394</v>
      </c>
      <c r="F892">
        <v>3</v>
      </c>
      <c r="G892">
        <v>113052</v>
      </c>
    </row>
    <row r="893" spans="1:7" x14ac:dyDescent="0.35">
      <c r="A893" t="s">
        <v>1282</v>
      </c>
      <c r="B893" s="2">
        <v>45886</v>
      </c>
      <c r="C893" t="s">
        <v>25</v>
      </c>
      <c r="D893" t="s">
        <v>97</v>
      </c>
      <c r="E893" t="s">
        <v>389</v>
      </c>
      <c r="F893">
        <v>10</v>
      </c>
      <c r="G893">
        <v>182430</v>
      </c>
    </row>
    <row r="894" spans="1:7" x14ac:dyDescent="0.35">
      <c r="A894" t="s">
        <v>1283</v>
      </c>
      <c r="B894" s="2">
        <v>45854</v>
      </c>
      <c r="C894" t="s">
        <v>23</v>
      </c>
      <c r="D894" t="s">
        <v>363</v>
      </c>
      <c r="E894" t="s">
        <v>403</v>
      </c>
      <c r="F894">
        <v>9</v>
      </c>
      <c r="G894">
        <v>54621</v>
      </c>
    </row>
    <row r="895" spans="1:7" x14ac:dyDescent="0.35">
      <c r="A895" t="s">
        <v>1284</v>
      </c>
      <c r="B895" s="2">
        <v>45831</v>
      </c>
      <c r="C895" t="s">
        <v>39</v>
      </c>
      <c r="D895" t="s">
        <v>371</v>
      </c>
      <c r="E895" t="s">
        <v>403</v>
      </c>
      <c r="F895">
        <v>2</v>
      </c>
      <c r="G895">
        <v>96576</v>
      </c>
    </row>
    <row r="896" spans="1:7" x14ac:dyDescent="0.35">
      <c r="A896" t="s">
        <v>1285</v>
      </c>
      <c r="B896" s="2">
        <v>45784</v>
      </c>
      <c r="C896" t="s">
        <v>33</v>
      </c>
      <c r="D896" t="s">
        <v>263</v>
      </c>
      <c r="E896" t="s">
        <v>394</v>
      </c>
      <c r="F896">
        <v>6</v>
      </c>
      <c r="G896">
        <v>217518</v>
      </c>
    </row>
    <row r="897" spans="1:7" x14ac:dyDescent="0.35">
      <c r="A897" t="s">
        <v>1286</v>
      </c>
      <c r="B897" s="2">
        <v>45850</v>
      </c>
      <c r="C897" t="s">
        <v>57</v>
      </c>
      <c r="D897" t="s">
        <v>377</v>
      </c>
      <c r="E897" t="s">
        <v>391</v>
      </c>
      <c r="F897">
        <v>7</v>
      </c>
      <c r="G897">
        <v>341523</v>
      </c>
    </row>
    <row r="898" spans="1:7" x14ac:dyDescent="0.35">
      <c r="A898" t="s">
        <v>1287</v>
      </c>
      <c r="B898" s="2">
        <v>45786</v>
      </c>
      <c r="C898" t="s">
        <v>65</v>
      </c>
      <c r="D898" t="s">
        <v>99</v>
      </c>
      <c r="E898" t="s">
        <v>389</v>
      </c>
      <c r="F898">
        <v>3</v>
      </c>
      <c r="G898">
        <v>1635</v>
      </c>
    </row>
    <row r="899" spans="1:7" x14ac:dyDescent="0.35">
      <c r="A899" t="s">
        <v>1288</v>
      </c>
      <c r="B899" s="2">
        <v>45973</v>
      </c>
      <c r="C899" t="s">
        <v>10</v>
      </c>
      <c r="D899" t="s">
        <v>279</v>
      </c>
      <c r="E899" t="s">
        <v>387</v>
      </c>
      <c r="F899">
        <v>10</v>
      </c>
      <c r="G899">
        <v>45160</v>
      </c>
    </row>
    <row r="900" spans="1:7" x14ac:dyDescent="0.35">
      <c r="A900" t="s">
        <v>1289</v>
      </c>
      <c r="B900" s="2">
        <v>45918</v>
      </c>
      <c r="C900" t="s">
        <v>35</v>
      </c>
      <c r="D900" t="s">
        <v>113</v>
      </c>
      <c r="E900" t="s">
        <v>391</v>
      </c>
      <c r="F900">
        <v>3</v>
      </c>
      <c r="G900">
        <v>148380</v>
      </c>
    </row>
    <row r="901" spans="1:7" x14ac:dyDescent="0.35">
      <c r="A901" t="s">
        <v>1290</v>
      </c>
      <c r="B901" s="2">
        <v>45796</v>
      </c>
      <c r="C901" t="s">
        <v>61</v>
      </c>
      <c r="D901" t="s">
        <v>199</v>
      </c>
      <c r="E901" t="s">
        <v>389</v>
      </c>
      <c r="F901">
        <v>3</v>
      </c>
      <c r="G901">
        <v>75048</v>
      </c>
    </row>
    <row r="902" spans="1:7" x14ac:dyDescent="0.35">
      <c r="A902" t="s">
        <v>1291</v>
      </c>
      <c r="B902" s="2">
        <v>45946</v>
      </c>
      <c r="C902" t="s">
        <v>49</v>
      </c>
      <c r="D902" t="s">
        <v>125</v>
      </c>
      <c r="E902" t="s">
        <v>394</v>
      </c>
      <c r="F902">
        <v>10</v>
      </c>
      <c r="G902">
        <v>455140</v>
      </c>
    </row>
    <row r="903" spans="1:7" x14ac:dyDescent="0.35">
      <c r="A903" t="s">
        <v>1292</v>
      </c>
      <c r="B903" s="2">
        <v>45981</v>
      </c>
      <c r="C903" t="s">
        <v>27</v>
      </c>
      <c r="D903" t="s">
        <v>349</v>
      </c>
      <c r="E903" t="s">
        <v>394</v>
      </c>
      <c r="F903">
        <v>5</v>
      </c>
      <c r="G903">
        <v>188420</v>
      </c>
    </row>
    <row r="904" spans="1:7" x14ac:dyDescent="0.35">
      <c r="A904" t="s">
        <v>1293</v>
      </c>
      <c r="B904" s="2">
        <v>45899</v>
      </c>
      <c r="C904" t="s">
        <v>13</v>
      </c>
      <c r="D904" t="s">
        <v>173</v>
      </c>
      <c r="E904" t="s">
        <v>391</v>
      </c>
      <c r="F904">
        <v>6</v>
      </c>
      <c r="G904">
        <v>181062</v>
      </c>
    </row>
    <row r="905" spans="1:7" x14ac:dyDescent="0.35">
      <c r="A905" t="s">
        <v>1294</v>
      </c>
      <c r="B905" s="2">
        <v>45723</v>
      </c>
      <c r="C905" t="s">
        <v>7</v>
      </c>
      <c r="D905" t="s">
        <v>143</v>
      </c>
      <c r="E905" t="s">
        <v>387</v>
      </c>
      <c r="F905">
        <v>10</v>
      </c>
      <c r="G905">
        <v>261330</v>
      </c>
    </row>
    <row r="906" spans="1:7" x14ac:dyDescent="0.35">
      <c r="A906" t="s">
        <v>1295</v>
      </c>
      <c r="B906" s="2">
        <v>45908</v>
      </c>
      <c r="C906" t="s">
        <v>51</v>
      </c>
      <c r="D906" t="s">
        <v>137</v>
      </c>
      <c r="E906" t="s">
        <v>387</v>
      </c>
      <c r="F906">
        <v>8</v>
      </c>
      <c r="G906">
        <v>251512</v>
      </c>
    </row>
    <row r="907" spans="1:7" x14ac:dyDescent="0.35">
      <c r="A907" t="s">
        <v>1296</v>
      </c>
      <c r="B907" s="2">
        <v>45909</v>
      </c>
      <c r="C907" t="s">
        <v>55</v>
      </c>
      <c r="D907" t="s">
        <v>111</v>
      </c>
      <c r="E907" t="s">
        <v>389</v>
      </c>
      <c r="F907">
        <v>1</v>
      </c>
      <c r="G907">
        <v>11415</v>
      </c>
    </row>
    <row r="908" spans="1:7" x14ac:dyDescent="0.35">
      <c r="A908" t="s">
        <v>1297</v>
      </c>
      <c r="B908" s="2">
        <v>45944</v>
      </c>
      <c r="C908" t="s">
        <v>27</v>
      </c>
      <c r="D908" t="s">
        <v>233</v>
      </c>
      <c r="E908" t="s">
        <v>389</v>
      </c>
      <c r="F908">
        <v>9</v>
      </c>
      <c r="G908">
        <v>339156</v>
      </c>
    </row>
    <row r="909" spans="1:7" x14ac:dyDescent="0.35">
      <c r="A909" t="s">
        <v>1298</v>
      </c>
      <c r="B909" s="2">
        <v>45694</v>
      </c>
      <c r="C909" t="s">
        <v>31</v>
      </c>
      <c r="D909" t="s">
        <v>111</v>
      </c>
      <c r="E909" t="s">
        <v>389</v>
      </c>
      <c r="F909">
        <v>1</v>
      </c>
      <c r="G909">
        <v>29966</v>
      </c>
    </row>
    <row r="910" spans="1:7" x14ac:dyDescent="0.35">
      <c r="A910" t="s">
        <v>1299</v>
      </c>
      <c r="B910" s="2">
        <v>45930</v>
      </c>
      <c r="C910" t="s">
        <v>57</v>
      </c>
      <c r="D910" t="s">
        <v>305</v>
      </c>
      <c r="E910" t="s">
        <v>391</v>
      </c>
      <c r="F910">
        <v>9</v>
      </c>
      <c r="G910">
        <v>439101</v>
      </c>
    </row>
    <row r="911" spans="1:7" x14ac:dyDescent="0.35">
      <c r="A911" t="s">
        <v>1300</v>
      </c>
      <c r="B911" s="2">
        <v>45943</v>
      </c>
      <c r="C911" t="s">
        <v>65</v>
      </c>
      <c r="D911" t="s">
        <v>187</v>
      </c>
      <c r="E911" t="s">
        <v>389</v>
      </c>
      <c r="F911">
        <v>9</v>
      </c>
      <c r="G911">
        <v>4905</v>
      </c>
    </row>
    <row r="912" spans="1:7" x14ac:dyDescent="0.35">
      <c r="A912" t="s">
        <v>1301</v>
      </c>
      <c r="B912" s="2">
        <v>45946</v>
      </c>
      <c r="C912" t="s">
        <v>67</v>
      </c>
      <c r="D912" t="s">
        <v>249</v>
      </c>
      <c r="E912" t="s">
        <v>389</v>
      </c>
      <c r="F912">
        <v>4</v>
      </c>
      <c r="G912">
        <v>86464</v>
      </c>
    </row>
    <row r="913" spans="1:7" x14ac:dyDescent="0.35">
      <c r="A913" t="s">
        <v>1302</v>
      </c>
      <c r="B913" s="2">
        <v>45692</v>
      </c>
      <c r="C913" t="s">
        <v>37</v>
      </c>
      <c r="D913" t="s">
        <v>129</v>
      </c>
      <c r="E913" t="s">
        <v>391</v>
      </c>
      <c r="F913">
        <v>3</v>
      </c>
      <c r="G913">
        <v>5859</v>
      </c>
    </row>
    <row r="914" spans="1:7" x14ac:dyDescent="0.35">
      <c r="A914" t="s">
        <v>1303</v>
      </c>
      <c r="B914" s="2">
        <v>45673</v>
      </c>
      <c r="C914" t="s">
        <v>53</v>
      </c>
      <c r="D914" t="s">
        <v>125</v>
      </c>
      <c r="E914" t="s">
        <v>389</v>
      </c>
      <c r="F914">
        <v>5</v>
      </c>
      <c r="G914">
        <v>21040</v>
      </c>
    </row>
    <row r="915" spans="1:7" x14ac:dyDescent="0.35">
      <c r="A915" t="s">
        <v>1304</v>
      </c>
      <c r="B915" s="2">
        <v>45888</v>
      </c>
      <c r="C915" t="s">
        <v>21</v>
      </c>
      <c r="D915" t="s">
        <v>337</v>
      </c>
      <c r="E915" t="s">
        <v>403</v>
      </c>
      <c r="F915">
        <v>3</v>
      </c>
      <c r="G915">
        <v>45627</v>
      </c>
    </row>
    <row r="916" spans="1:7" x14ac:dyDescent="0.35">
      <c r="A916" t="s">
        <v>1305</v>
      </c>
      <c r="B916" s="2">
        <v>45665</v>
      </c>
      <c r="C916" t="s">
        <v>31</v>
      </c>
      <c r="D916" t="s">
        <v>333</v>
      </c>
      <c r="E916" t="s">
        <v>389</v>
      </c>
      <c r="F916">
        <v>7</v>
      </c>
      <c r="G916">
        <v>209762</v>
      </c>
    </row>
    <row r="917" spans="1:7" x14ac:dyDescent="0.35">
      <c r="A917" t="s">
        <v>1306</v>
      </c>
      <c r="B917" s="2">
        <v>45796</v>
      </c>
      <c r="C917" t="s">
        <v>67</v>
      </c>
      <c r="D917" t="s">
        <v>193</v>
      </c>
      <c r="E917" t="s">
        <v>389</v>
      </c>
      <c r="F917">
        <v>6</v>
      </c>
      <c r="G917">
        <v>129696</v>
      </c>
    </row>
    <row r="918" spans="1:7" x14ac:dyDescent="0.35">
      <c r="A918" t="s">
        <v>1307</v>
      </c>
      <c r="B918" s="2">
        <v>45670</v>
      </c>
      <c r="C918" t="s">
        <v>27</v>
      </c>
      <c r="D918" t="s">
        <v>93</v>
      </c>
      <c r="E918" t="s">
        <v>387</v>
      </c>
      <c r="F918">
        <v>9</v>
      </c>
      <c r="G918">
        <v>339156</v>
      </c>
    </row>
    <row r="919" spans="1:7" x14ac:dyDescent="0.35">
      <c r="A919" t="s">
        <v>1308</v>
      </c>
      <c r="B919" s="2">
        <v>45949</v>
      </c>
      <c r="C919" t="s">
        <v>49</v>
      </c>
      <c r="D919" t="s">
        <v>327</v>
      </c>
      <c r="E919" t="s">
        <v>389</v>
      </c>
      <c r="F919">
        <v>9</v>
      </c>
      <c r="G919">
        <v>409626</v>
      </c>
    </row>
    <row r="920" spans="1:7" x14ac:dyDescent="0.35">
      <c r="A920" t="s">
        <v>1309</v>
      </c>
      <c r="B920" s="2">
        <v>45763</v>
      </c>
      <c r="C920" t="s">
        <v>65</v>
      </c>
      <c r="D920" t="s">
        <v>255</v>
      </c>
      <c r="E920" t="s">
        <v>403</v>
      </c>
      <c r="F920">
        <v>9</v>
      </c>
      <c r="G920">
        <v>4905</v>
      </c>
    </row>
    <row r="921" spans="1:7" x14ac:dyDescent="0.35">
      <c r="A921" t="s">
        <v>1310</v>
      </c>
      <c r="B921" s="2">
        <v>45710</v>
      </c>
      <c r="C921" t="s">
        <v>67</v>
      </c>
      <c r="D921" t="s">
        <v>339</v>
      </c>
      <c r="E921" t="s">
        <v>387</v>
      </c>
      <c r="F921">
        <v>2</v>
      </c>
      <c r="G921">
        <v>43232</v>
      </c>
    </row>
    <row r="922" spans="1:7" x14ac:dyDescent="0.35">
      <c r="A922" t="s">
        <v>1311</v>
      </c>
      <c r="B922" s="2">
        <v>45891</v>
      </c>
      <c r="C922" t="s">
        <v>35</v>
      </c>
      <c r="D922" t="s">
        <v>119</v>
      </c>
      <c r="E922" t="s">
        <v>387</v>
      </c>
      <c r="F922">
        <v>7</v>
      </c>
      <c r="G922">
        <v>346220</v>
      </c>
    </row>
    <row r="923" spans="1:7" x14ac:dyDescent="0.35">
      <c r="A923" t="s">
        <v>1312</v>
      </c>
      <c r="B923" s="2">
        <v>45953</v>
      </c>
      <c r="C923" t="s">
        <v>55</v>
      </c>
      <c r="D923" t="s">
        <v>211</v>
      </c>
      <c r="E923" t="s">
        <v>403</v>
      </c>
      <c r="F923">
        <v>6</v>
      </c>
      <c r="G923">
        <v>68490</v>
      </c>
    </row>
    <row r="924" spans="1:7" x14ac:dyDescent="0.35">
      <c r="A924" t="s">
        <v>1313</v>
      </c>
      <c r="B924" s="2">
        <v>45895</v>
      </c>
      <c r="C924" t="s">
        <v>41</v>
      </c>
      <c r="D924" t="s">
        <v>233</v>
      </c>
      <c r="E924" t="s">
        <v>389</v>
      </c>
      <c r="F924">
        <v>8</v>
      </c>
      <c r="G924">
        <v>170096</v>
      </c>
    </row>
    <row r="925" spans="1:7" x14ac:dyDescent="0.35">
      <c r="A925" t="s">
        <v>1314</v>
      </c>
      <c r="B925" s="2">
        <v>45818</v>
      </c>
      <c r="C925" t="s">
        <v>37</v>
      </c>
      <c r="D925" t="s">
        <v>293</v>
      </c>
      <c r="E925" t="s">
        <v>403</v>
      </c>
      <c r="F925">
        <v>6</v>
      </c>
      <c r="G925">
        <v>11718</v>
      </c>
    </row>
    <row r="926" spans="1:7" x14ac:dyDescent="0.35">
      <c r="A926" t="s">
        <v>1315</v>
      </c>
      <c r="B926" s="2">
        <v>45775</v>
      </c>
      <c r="C926" t="s">
        <v>25</v>
      </c>
      <c r="D926" t="s">
        <v>343</v>
      </c>
      <c r="E926" t="s">
        <v>403</v>
      </c>
      <c r="F926">
        <v>9</v>
      </c>
      <c r="G926">
        <v>164187</v>
      </c>
    </row>
    <row r="927" spans="1:7" x14ac:dyDescent="0.35">
      <c r="A927" t="s">
        <v>1316</v>
      </c>
      <c r="B927" s="2">
        <v>45720</v>
      </c>
      <c r="C927" t="s">
        <v>53</v>
      </c>
      <c r="D927" t="s">
        <v>281</v>
      </c>
      <c r="E927" t="s">
        <v>389</v>
      </c>
      <c r="F927">
        <v>10</v>
      </c>
      <c r="G927">
        <v>42080</v>
      </c>
    </row>
    <row r="928" spans="1:7" x14ac:dyDescent="0.35">
      <c r="A928" t="s">
        <v>1317</v>
      </c>
      <c r="B928" s="2">
        <v>45883</v>
      </c>
      <c r="C928" t="s">
        <v>21</v>
      </c>
      <c r="D928" t="s">
        <v>283</v>
      </c>
      <c r="E928" t="s">
        <v>389</v>
      </c>
      <c r="F928">
        <v>8</v>
      </c>
      <c r="G928">
        <v>121672</v>
      </c>
    </row>
    <row r="929" spans="1:7" x14ac:dyDescent="0.35">
      <c r="A929" t="s">
        <v>1318</v>
      </c>
      <c r="B929" s="2">
        <v>45873</v>
      </c>
      <c r="C929" t="s">
        <v>61</v>
      </c>
      <c r="D929" t="s">
        <v>221</v>
      </c>
      <c r="E929" t="s">
        <v>394</v>
      </c>
      <c r="F929">
        <v>7</v>
      </c>
      <c r="G929">
        <v>175112</v>
      </c>
    </row>
    <row r="930" spans="1:7" x14ac:dyDescent="0.35">
      <c r="A930" t="s">
        <v>1319</v>
      </c>
      <c r="B930" s="2">
        <v>46007</v>
      </c>
      <c r="C930" t="s">
        <v>39</v>
      </c>
      <c r="D930" t="s">
        <v>153</v>
      </c>
      <c r="E930" t="s">
        <v>389</v>
      </c>
      <c r="F930">
        <v>1</v>
      </c>
      <c r="G930">
        <v>48288</v>
      </c>
    </row>
    <row r="931" spans="1:7" x14ac:dyDescent="0.35">
      <c r="A931" t="s">
        <v>1320</v>
      </c>
      <c r="B931" s="2">
        <v>45988</v>
      </c>
      <c r="C931" t="s">
        <v>41</v>
      </c>
      <c r="D931" t="s">
        <v>281</v>
      </c>
      <c r="E931" t="s">
        <v>389</v>
      </c>
      <c r="F931">
        <v>4</v>
      </c>
      <c r="G931">
        <v>85048</v>
      </c>
    </row>
    <row r="932" spans="1:7" x14ac:dyDescent="0.35">
      <c r="A932" t="s">
        <v>1321</v>
      </c>
      <c r="B932" s="2">
        <v>46011</v>
      </c>
      <c r="C932" t="s">
        <v>7</v>
      </c>
      <c r="D932" t="s">
        <v>279</v>
      </c>
      <c r="E932" t="s">
        <v>391</v>
      </c>
      <c r="F932">
        <v>8</v>
      </c>
      <c r="G932">
        <v>209064</v>
      </c>
    </row>
    <row r="933" spans="1:7" x14ac:dyDescent="0.35">
      <c r="A933" t="s">
        <v>1322</v>
      </c>
      <c r="B933" s="2">
        <v>45922</v>
      </c>
      <c r="C933" t="s">
        <v>67</v>
      </c>
      <c r="D933" t="s">
        <v>279</v>
      </c>
      <c r="E933" t="s">
        <v>389</v>
      </c>
      <c r="F933">
        <v>2</v>
      </c>
      <c r="G933">
        <v>43232</v>
      </c>
    </row>
    <row r="934" spans="1:7" x14ac:dyDescent="0.35">
      <c r="A934" t="s">
        <v>1323</v>
      </c>
      <c r="B934" s="2">
        <v>45880</v>
      </c>
      <c r="C934" t="s">
        <v>57</v>
      </c>
      <c r="D934" t="s">
        <v>161</v>
      </c>
      <c r="E934" t="s">
        <v>403</v>
      </c>
      <c r="F934">
        <v>2</v>
      </c>
      <c r="G934">
        <v>97578</v>
      </c>
    </row>
    <row r="935" spans="1:7" x14ac:dyDescent="0.35">
      <c r="A935" t="s">
        <v>1324</v>
      </c>
      <c r="B935" s="2">
        <v>45805</v>
      </c>
      <c r="C935" t="s">
        <v>61</v>
      </c>
      <c r="D935" t="s">
        <v>197</v>
      </c>
      <c r="E935" t="s">
        <v>391</v>
      </c>
      <c r="F935">
        <v>7</v>
      </c>
      <c r="G935">
        <v>175112</v>
      </c>
    </row>
    <row r="936" spans="1:7" x14ac:dyDescent="0.35">
      <c r="A936" t="s">
        <v>1325</v>
      </c>
      <c r="B936" s="2">
        <v>45953</v>
      </c>
      <c r="C936" t="s">
        <v>39</v>
      </c>
      <c r="D936" t="s">
        <v>261</v>
      </c>
      <c r="E936" t="s">
        <v>391</v>
      </c>
      <c r="F936">
        <v>4</v>
      </c>
      <c r="G936">
        <v>193152</v>
      </c>
    </row>
    <row r="937" spans="1:7" x14ac:dyDescent="0.35">
      <c r="A937" t="s">
        <v>1326</v>
      </c>
      <c r="B937" s="2">
        <v>46011</v>
      </c>
      <c r="C937" t="s">
        <v>10</v>
      </c>
      <c r="D937" t="s">
        <v>259</v>
      </c>
      <c r="E937" t="s">
        <v>403</v>
      </c>
      <c r="F937">
        <v>2</v>
      </c>
      <c r="G937">
        <v>9032</v>
      </c>
    </row>
    <row r="938" spans="1:7" x14ac:dyDescent="0.35">
      <c r="A938" t="s">
        <v>1327</v>
      </c>
      <c r="B938" s="2">
        <v>45966</v>
      </c>
      <c r="C938" t="s">
        <v>49</v>
      </c>
      <c r="D938" t="s">
        <v>273</v>
      </c>
      <c r="E938" t="s">
        <v>403</v>
      </c>
      <c r="F938">
        <v>9</v>
      </c>
      <c r="G938">
        <v>409626</v>
      </c>
    </row>
    <row r="939" spans="1:7" x14ac:dyDescent="0.35">
      <c r="A939" t="s">
        <v>1328</v>
      </c>
      <c r="B939" s="2">
        <v>45765</v>
      </c>
      <c r="C939" t="s">
        <v>61</v>
      </c>
      <c r="D939" t="s">
        <v>81</v>
      </c>
      <c r="E939" t="s">
        <v>391</v>
      </c>
      <c r="F939">
        <v>9</v>
      </c>
      <c r="G939">
        <v>225144</v>
      </c>
    </row>
    <row r="940" spans="1:7" x14ac:dyDescent="0.35">
      <c r="A940" t="s">
        <v>1329</v>
      </c>
      <c r="B940" s="2">
        <v>45670</v>
      </c>
      <c r="C940" t="s">
        <v>53</v>
      </c>
      <c r="D940" t="s">
        <v>195</v>
      </c>
      <c r="E940" t="s">
        <v>391</v>
      </c>
      <c r="F940">
        <v>10</v>
      </c>
      <c r="G940">
        <v>42080</v>
      </c>
    </row>
    <row r="941" spans="1:7" x14ac:dyDescent="0.35">
      <c r="A941" t="s">
        <v>1330</v>
      </c>
      <c r="B941" s="2">
        <v>45916</v>
      </c>
      <c r="C941" t="s">
        <v>35</v>
      </c>
      <c r="D941" t="s">
        <v>323</v>
      </c>
      <c r="E941" t="s">
        <v>387</v>
      </c>
      <c r="F941">
        <v>8</v>
      </c>
      <c r="G941">
        <v>395680</v>
      </c>
    </row>
    <row r="942" spans="1:7" x14ac:dyDescent="0.35">
      <c r="A942" t="s">
        <v>1331</v>
      </c>
      <c r="B942" s="2">
        <v>45888</v>
      </c>
      <c r="C942" t="s">
        <v>63</v>
      </c>
      <c r="D942" t="s">
        <v>95</v>
      </c>
      <c r="E942" t="s">
        <v>391</v>
      </c>
      <c r="F942">
        <v>4</v>
      </c>
      <c r="G942">
        <v>35072</v>
      </c>
    </row>
    <row r="943" spans="1:7" x14ac:dyDescent="0.35">
      <c r="A943" t="s">
        <v>1332</v>
      </c>
      <c r="B943" s="2">
        <v>45912</v>
      </c>
      <c r="C943" t="s">
        <v>29</v>
      </c>
      <c r="D943" t="s">
        <v>323</v>
      </c>
      <c r="E943" t="s">
        <v>387</v>
      </c>
      <c r="F943">
        <v>4</v>
      </c>
      <c r="G943">
        <v>170576</v>
      </c>
    </row>
    <row r="944" spans="1:7" x14ac:dyDescent="0.35">
      <c r="A944" t="s">
        <v>1333</v>
      </c>
      <c r="B944" s="2">
        <v>45897</v>
      </c>
      <c r="C944" t="s">
        <v>23</v>
      </c>
      <c r="D944" t="s">
        <v>283</v>
      </c>
      <c r="E944" t="s">
        <v>403</v>
      </c>
      <c r="F944">
        <v>3</v>
      </c>
      <c r="G944">
        <v>18207</v>
      </c>
    </row>
    <row r="945" spans="1:7" x14ac:dyDescent="0.35">
      <c r="A945" t="s">
        <v>1334</v>
      </c>
      <c r="B945" s="2">
        <v>45781</v>
      </c>
      <c r="C945" t="s">
        <v>33</v>
      </c>
      <c r="D945" t="s">
        <v>265</v>
      </c>
      <c r="E945" t="s">
        <v>391</v>
      </c>
      <c r="F945">
        <v>8</v>
      </c>
      <c r="G945">
        <v>290024</v>
      </c>
    </row>
    <row r="946" spans="1:7" x14ac:dyDescent="0.35">
      <c r="A946" t="s">
        <v>1335</v>
      </c>
      <c r="B946" s="2">
        <v>45947</v>
      </c>
      <c r="C946" t="s">
        <v>57</v>
      </c>
      <c r="D946" t="s">
        <v>193</v>
      </c>
      <c r="E946" t="s">
        <v>391</v>
      </c>
      <c r="F946">
        <v>6</v>
      </c>
      <c r="G946">
        <v>292734</v>
      </c>
    </row>
    <row r="947" spans="1:7" x14ac:dyDescent="0.35">
      <c r="A947" t="s">
        <v>1336</v>
      </c>
      <c r="B947" s="2">
        <v>45827</v>
      </c>
      <c r="C947" t="s">
        <v>55</v>
      </c>
      <c r="D947" t="s">
        <v>271</v>
      </c>
      <c r="E947" t="s">
        <v>389</v>
      </c>
      <c r="F947">
        <v>8</v>
      </c>
      <c r="G947">
        <v>91320</v>
      </c>
    </row>
    <row r="948" spans="1:7" x14ac:dyDescent="0.35">
      <c r="A948" t="s">
        <v>1337</v>
      </c>
      <c r="B948" s="2">
        <v>45789</v>
      </c>
      <c r="C948" t="s">
        <v>4</v>
      </c>
      <c r="D948" t="s">
        <v>333</v>
      </c>
      <c r="E948" t="s">
        <v>387</v>
      </c>
      <c r="F948">
        <v>5</v>
      </c>
      <c r="G948">
        <v>59075</v>
      </c>
    </row>
    <row r="949" spans="1:7" x14ac:dyDescent="0.35">
      <c r="A949" t="s">
        <v>1338</v>
      </c>
      <c r="B949" s="2">
        <v>45881</v>
      </c>
      <c r="C949" t="s">
        <v>33</v>
      </c>
      <c r="D949" t="s">
        <v>181</v>
      </c>
      <c r="E949" t="s">
        <v>403</v>
      </c>
      <c r="F949">
        <v>5</v>
      </c>
      <c r="G949">
        <v>181265</v>
      </c>
    </row>
    <row r="950" spans="1:7" x14ac:dyDescent="0.35">
      <c r="A950" t="s">
        <v>1339</v>
      </c>
      <c r="B950" s="2">
        <v>45890</v>
      </c>
      <c r="C950" t="s">
        <v>23</v>
      </c>
      <c r="D950" t="s">
        <v>169</v>
      </c>
      <c r="E950" t="s">
        <v>403</v>
      </c>
      <c r="F950">
        <v>10</v>
      </c>
      <c r="G950">
        <v>60690</v>
      </c>
    </row>
    <row r="951" spans="1:7" x14ac:dyDescent="0.35">
      <c r="A951" t="s">
        <v>1340</v>
      </c>
      <c r="B951" s="2">
        <v>45661</v>
      </c>
      <c r="C951" t="s">
        <v>27</v>
      </c>
      <c r="D951" t="s">
        <v>149</v>
      </c>
      <c r="E951" t="s">
        <v>403</v>
      </c>
      <c r="F951">
        <v>10</v>
      </c>
      <c r="G951">
        <v>376840</v>
      </c>
    </row>
    <row r="952" spans="1:7" x14ac:dyDescent="0.35">
      <c r="A952" t="s">
        <v>1341</v>
      </c>
      <c r="B952" s="2">
        <v>45778</v>
      </c>
      <c r="C952" t="s">
        <v>47</v>
      </c>
      <c r="D952" t="s">
        <v>141</v>
      </c>
      <c r="E952" t="s">
        <v>391</v>
      </c>
      <c r="F952">
        <v>7</v>
      </c>
      <c r="G952">
        <v>154434</v>
      </c>
    </row>
    <row r="953" spans="1:7" x14ac:dyDescent="0.35">
      <c r="A953" t="s">
        <v>1342</v>
      </c>
      <c r="B953" s="2">
        <v>45806</v>
      </c>
      <c r="C953" t="s">
        <v>7</v>
      </c>
      <c r="D953" t="s">
        <v>97</v>
      </c>
      <c r="E953" t="s">
        <v>394</v>
      </c>
      <c r="F953">
        <v>7</v>
      </c>
      <c r="G953">
        <v>182931</v>
      </c>
    </row>
    <row r="954" spans="1:7" x14ac:dyDescent="0.35">
      <c r="A954" t="s">
        <v>1343</v>
      </c>
      <c r="B954" s="2">
        <v>45805</v>
      </c>
      <c r="C954" t="s">
        <v>41</v>
      </c>
      <c r="D954" t="s">
        <v>333</v>
      </c>
      <c r="E954" t="s">
        <v>389</v>
      </c>
      <c r="F954">
        <v>9</v>
      </c>
      <c r="G954">
        <v>191358</v>
      </c>
    </row>
    <row r="955" spans="1:7" x14ac:dyDescent="0.35">
      <c r="A955" t="s">
        <v>1344</v>
      </c>
      <c r="B955" s="2">
        <v>45840</v>
      </c>
      <c r="C955" t="s">
        <v>63</v>
      </c>
      <c r="D955" t="s">
        <v>259</v>
      </c>
      <c r="E955" t="s">
        <v>391</v>
      </c>
      <c r="F955">
        <v>3</v>
      </c>
      <c r="G955">
        <v>26304</v>
      </c>
    </row>
    <row r="956" spans="1:7" x14ac:dyDescent="0.35">
      <c r="A956" t="s">
        <v>1345</v>
      </c>
      <c r="B956" s="2">
        <v>45988</v>
      </c>
      <c r="C956" t="s">
        <v>43</v>
      </c>
      <c r="D956" t="s">
        <v>207</v>
      </c>
      <c r="E956" t="s">
        <v>403</v>
      </c>
      <c r="F956">
        <v>9</v>
      </c>
      <c r="G956">
        <v>340425</v>
      </c>
    </row>
    <row r="957" spans="1:7" x14ac:dyDescent="0.35">
      <c r="A957" t="s">
        <v>1346</v>
      </c>
      <c r="B957" s="2">
        <v>45847</v>
      </c>
      <c r="C957" t="s">
        <v>53</v>
      </c>
      <c r="D957" t="s">
        <v>129</v>
      </c>
      <c r="E957" t="s">
        <v>391</v>
      </c>
      <c r="F957">
        <v>1</v>
      </c>
      <c r="G957">
        <v>4208</v>
      </c>
    </row>
    <row r="958" spans="1:7" x14ac:dyDescent="0.35">
      <c r="A958" t="s">
        <v>1347</v>
      </c>
      <c r="B958" s="2">
        <v>45893</v>
      </c>
      <c r="C958" t="s">
        <v>49</v>
      </c>
      <c r="D958" t="s">
        <v>223</v>
      </c>
      <c r="E958" t="s">
        <v>389</v>
      </c>
      <c r="F958">
        <v>8</v>
      </c>
      <c r="G958">
        <v>364112</v>
      </c>
    </row>
    <row r="959" spans="1:7" x14ac:dyDescent="0.35">
      <c r="A959" t="s">
        <v>1348</v>
      </c>
      <c r="B959" s="2">
        <v>45928</v>
      </c>
      <c r="C959" t="s">
        <v>63</v>
      </c>
      <c r="D959" t="s">
        <v>109</v>
      </c>
      <c r="E959" t="s">
        <v>387</v>
      </c>
      <c r="F959">
        <v>5</v>
      </c>
      <c r="G959">
        <v>43840</v>
      </c>
    </row>
    <row r="960" spans="1:7" x14ac:dyDescent="0.35">
      <c r="A960" t="s">
        <v>1349</v>
      </c>
      <c r="B960" s="2">
        <v>45899</v>
      </c>
      <c r="C960" t="s">
        <v>45</v>
      </c>
      <c r="D960" t="s">
        <v>259</v>
      </c>
      <c r="E960" t="s">
        <v>403</v>
      </c>
      <c r="F960">
        <v>1</v>
      </c>
      <c r="G960">
        <v>7826</v>
      </c>
    </row>
    <row r="961" spans="1:7" x14ac:dyDescent="0.35">
      <c r="A961" t="s">
        <v>1350</v>
      </c>
      <c r="B961" s="2">
        <v>45871</v>
      </c>
      <c r="C961" t="s">
        <v>43</v>
      </c>
      <c r="D961" t="s">
        <v>261</v>
      </c>
      <c r="E961" t="s">
        <v>394</v>
      </c>
      <c r="F961">
        <v>5</v>
      </c>
      <c r="G961">
        <v>189125</v>
      </c>
    </row>
    <row r="962" spans="1:7" x14ac:dyDescent="0.35">
      <c r="A962" t="s">
        <v>1351</v>
      </c>
      <c r="B962" s="2">
        <v>45969</v>
      </c>
      <c r="C962" t="s">
        <v>43</v>
      </c>
      <c r="D962" t="s">
        <v>173</v>
      </c>
      <c r="E962" t="s">
        <v>394</v>
      </c>
      <c r="F962">
        <v>5</v>
      </c>
      <c r="G962">
        <v>189125</v>
      </c>
    </row>
    <row r="963" spans="1:7" x14ac:dyDescent="0.35">
      <c r="A963" t="s">
        <v>1352</v>
      </c>
      <c r="B963" s="2">
        <v>45873</v>
      </c>
      <c r="C963" t="s">
        <v>13</v>
      </c>
      <c r="D963" t="s">
        <v>123</v>
      </c>
      <c r="E963" t="s">
        <v>403</v>
      </c>
      <c r="F963">
        <v>6</v>
      </c>
      <c r="G963">
        <v>181062</v>
      </c>
    </row>
    <row r="964" spans="1:7" x14ac:dyDescent="0.35">
      <c r="A964" t="s">
        <v>1353</v>
      </c>
      <c r="B964" s="2">
        <v>45942</v>
      </c>
      <c r="C964" t="s">
        <v>27</v>
      </c>
      <c r="D964" t="s">
        <v>149</v>
      </c>
      <c r="E964" t="s">
        <v>394</v>
      </c>
      <c r="F964">
        <v>4</v>
      </c>
      <c r="G964">
        <v>150736</v>
      </c>
    </row>
    <row r="965" spans="1:7" x14ac:dyDescent="0.35">
      <c r="A965" t="s">
        <v>1354</v>
      </c>
      <c r="B965" s="2">
        <v>45761</v>
      </c>
      <c r="C965" t="s">
        <v>49</v>
      </c>
      <c r="D965" t="s">
        <v>305</v>
      </c>
      <c r="E965" t="s">
        <v>394</v>
      </c>
      <c r="F965">
        <v>4</v>
      </c>
      <c r="G965">
        <v>182056</v>
      </c>
    </row>
    <row r="966" spans="1:7" x14ac:dyDescent="0.35">
      <c r="A966" t="s">
        <v>1355</v>
      </c>
      <c r="B966" s="2">
        <v>45838</v>
      </c>
      <c r="C966" t="s">
        <v>25</v>
      </c>
      <c r="D966" t="s">
        <v>237</v>
      </c>
      <c r="E966" t="s">
        <v>387</v>
      </c>
      <c r="F966">
        <v>4</v>
      </c>
      <c r="G966">
        <v>72972</v>
      </c>
    </row>
    <row r="967" spans="1:7" x14ac:dyDescent="0.35">
      <c r="A967" t="s">
        <v>1356</v>
      </c>
      <c r="B967" s="2">
        <v>45926</v>
      </c>
      <c r="C967" t="s">
        <v>39</v>
      </c>
      <c r="D967" t="s">
        <v>147</v>
      </c>
      <c r="E967" t="s">
        <v>394</v>
      </c>
      <c r="F967">
        <v>7</v>
      </c>
      <c r="G967">
        <v>338016</v>
      </c>
    </row>
    <row r="968" spans="1:7" x14ac:dyDescent="0.35">
      <c r="A968" t="s">
        <v>1357</v>
      </c>
      <c r="B968" s="2">
        <v>45746</v>
      </c>
      <c r="C968" t="s">
        <v>33</v>
      </c>
      <c r="D968" t="s">
        <v>373</v>
      </c>
      <c r="E968" t="s">
        <v>394</v>
      </c>
      <c r="F968">
        <v>1</v>
      </c>
      <c r="G968">
        <v>36253</v>
      </c>
    </row>
    <row r="969" spans="1:7" x14ac:dyDescent="0.35">
      <c r="A969" t="s">
        <v>1358</v>
      </c>
      <c r="B969" s="2">
        <v>45702</v>
      </c>
      <c r="C969" t="s">
        <v>39</v>
      </c>
      <c r="D969" t="s">
        <v>363</v>
      </c>
      <c r="E969" t="s">
        <v>403</v>
      </c>
      <c r="F969">
        <v>1</v>
      </c>
      <c r="G969">
        <v>48288</v>
      </c>
    </row>
    <row r="970" spans="1:7" x14ac:dyDescent="0.35">
      <c r="A970" t="s">
        <v>1359</v>
      </c>
      <c r="B970" s="2">
        <v>45885</v>
      </c>
      <c r="C970" t="s">
        <v>59</v>
      </c>
      <c r="D970" t="s">
        <v>335</v>
      </c>
      <c r="E970" t="s">
        <v>394</v>
      </c>
      <c r="F970">
        <v>5</v>
      </c>
      <c r="G970">
        <v>240530</v>
      </c>
    </row>
    <row r="971" spans="1:7" x14ac:dyDescent="0.35">
      <c r="A971" t="s">
        <v>1360</v>
      </c>
      <c r="B971" s="2">
        <v>45660</v>
      </c>
      <c r="C971" t="s">
        <v>37</v>
      </c>
      <c r="D971" t="s">
        <v>317</v>
      </c>
      <c r="E971" t="s">
        <v>394</v>
      </c>
      <c r="F971">
        <v>6</v>
      </c>
      <c r="G971">
        <v>11718</v>
      </c>
    </row>
    <row r="972" spans="1:7" x14ac:dyDescent="0.35">
      <c r="A972" t="s">
        <v>1361</v>
      </c>
      <c r="B972" s="2">
        <v>45961</v>
      </c>
      <c r="C972" t="s">
        <v>27</v>
      </c>
      <c r="D972" t="s">
        <v>313</v>
      </c>
      <c r="E972" t="s">
        <v>387</v>
      </c>
      <c r="F972">
        <v>2</v>
      </c>
      <c r="G972">
        <v>75368</v>
      </c>
    </row>
    <row r="973" spans="1:7" x14ac:dyDescent="0.35">
      <c r="A973" t="s">
        <v>1362</v>
      </c>
      <c r="B973" s="2">
        <v>45899</v>
      </c>
      <c r="C973" t="s">
        <v>27</v>
      </c>
      <c r="D973" t="s">
        <v>311</v>
      </c>
      <c r="E973" t="s">
        <v>394</v>
      </c>
      <c r="F973">
        <v>10</v>
      </c>
      <c r="G973">
        <v>376840</v>
      </c>
    </row>
    <row r="974" spans="1:7" x14ac:dyDescent="0.35">
      <c r="A974" t="s">
        <v>1363</v>
      </c>
      <c r="B974" s="2">
        <v>45754</v>
      </c>
      <c r="C974" t="s">
        <v>47</v>
      </c>
      <c r="D974" t="s">
        <v>183</v>
      </c>
      <c r="E974" t="s">
        <v>394</v>
      </c>
      <c r="F974">
        <v>3</v>
      </c>
      <c r="G974">
        <v>66186</v>
      </c>
    </row>
    <row r="975" spans="1:7" x14ac:dyDescent="0.35">
      <c r="A975" t="s">
        <v>1364</v>
      </c>
      <c r="B975" s="2">
        <v>45898</v>
      </c>
      <c r="C975" t="s">
        <v>19</v>
      </c>
      <c r="D975" t="s">
        <v>361</v>
      </c>
      <c r="E975" t="s">
        <v>394</v>
      </c>
      <c r="F975">
        <v>9</v>
      </c>
      <c r="G975">
        <v>379431</v>
      </c>
    </row>
    <row r="976" spans="1:7" x14ac:dyDescent="0.35">
      <c r="A976" t="s">
        <v>1365</v>
      </c>
      <c r="B976" s="2">
        <v>45910</v>
      </c>
      <c r="C976" t="s">
        <v>65</v>
      </c>
      <c r="D976" t="s">
        <v>263</v>
      </c>
      <c r="E976" t="s">
        <v>387</v>
      </c>
      <c r="F976">
        <v>5</v>
      </c>
      <c r="G976">
        <v>2725</v>
      </c>
    </row>
    <row r="977" spans="1:7" x14ac:dyDescent="0.35">
      <c r="A977" t="s">
        <v>1366</v>
      </c>
      <c r="B977" s="2">
        <v>45877</v>
      </c>
      <c r="C977" t="s">
        <v>51</v>
      </c>
      <c r="D977" t="s">
        <v>301</v>
      </c>
      <c r="E977" t="s">
        <v>394</v>
      </c>
      <c r="F977">
        <v>2</v>
      </c>
      <c r="G977">
        <v>62878</v>
      </c>
    </row>
    <row r="978" spans="1:7" x14ac:dyDescent="0.35">
      <c r="A978" t="s">
        <v>1367</v>
      </c>
      <c r="B978" s="2">
        <v>45673</v>
      </c>
      <c r="C978" t="s">
        <v>23</v>
      </c>
      <c r="D978" t="s">
        <v>181</v>
      </c>
      <c r="E978" t="s">
        <v>389</v>
      </c>
      <c r="F978">
        <v>10</v>
      </c>
      <c r="G978">
        <v>60690</v>
      </c>
    </row>
    <row r="979" spans="1:7" x14ac:dyDescent="0.35">
      <c r="A979" t="s">
        <v>1368</v>
      </c>
      <c r="B979" s="2">
        <v>45946</v>
      </c>
      <c r="C979" t="s">
        <v>65</v>
      </c>
      <c r="D979" t="s">
        <v>173</v>
      </c>
      <c r="E979" t="s">
        <v>387</v>
      </c>
      <c r="F979">
        <v>1</v>
      </c>
      <c r="G979">
        <v>545</v>
      </c>
    </row>
    <row r="980" spans="1:7" x14ac:dyDescent="0.35">
      <c r="A980" t="s">
        <v>1369</v>
      </c>
      <c r="B980" s="2">
        <v>45883</v>
      </c>
      <c r="C980" t="s">
        <v>10</v>
      </c>
      <c r="D980" t="s">
        <v>353</v>
      </c>
      <c r="E980" t="s">
        <v>403</v>
      </c>
      <c r="F980">
        <v>2</v>
      </c>
      <c r="G980">
        <v>9032</v>
      </c>
    </row>
    <row r="981" spans="1:7" x14ac:dyDescent="0.35">
      <c r="A981" t="s">
        <v>1370</v>
      </c>
      <c r="B981" s="2">
        <v>45833</v>
      </c>
      <c r="C981" t="s">
        <v>55</v>
      </c>
      <c r="D981" t="s">
        <v>325</v>
      </c>
      <c r="E981" t="s">
        <v>389</v>
      </c>
      <c r="F981">
        <v>3</v>
      </c>
      <c r="G981">
        <v>34245</v>
      </c>
    </row>
    <row r="982" spans="1:7" x14ac:dyDescent="0.35">
      <c r="A982" t="s">
        <v>1371</v>
      </c>
      <c r="B982" s="2">
        <v>45983</v>
      </c>
      <c r="C982" t="s">
        <v>37</v>
      </c>
      <c r="D982" t="s">
        <v>257</v>
      </c>
      <c r="E982" t="s">
        <v>403</v>
      </c>
      <c r="F982">
        <v>2</v>
      </c>
      <c r="G982">
        <v>3906</v>
      </c>
    </row>
    <row r="983" spans="1:7" x14ac:dyDescent="0.35">
      <c r="A983" t="s">
        <v>1372</v>
      </c>
      <c r="B983" s="2">
        <v>45729</v>
      </c>
      <c r="C983" t="s">
        <v>67</v>
      </c>
      <c r="D983" t="s">
        <v>371</v>
      </c>
      <c r="E983" t="s">
        <v>391</v>
      </c>
      <c r="F983">
        <v>10</v>
      </c>
      <c r="G983">
        <v>216160</v>
      </c>
    </row>
    <row r="984" spans="1:7" x14ac:dyDescent="0.35">
      <c r="A984" t="s">
        <v>1373</v>
      </c>
      <c r="B984" s="2">
        <v>45835</v>
      </c>
      <c r="C984" t="s">
        <v>23</v>
      </c>
      <c r="D984" t="s">
        <v>249</v>
      </c>
      <c r="E984" t="s">
        <v>403</v>
      </c>
      <c r="F984">
        <v>6</v>
      </c>
      <c r="G984">
        <v>36414</v>
      </c>
    </row>
    <row r="985" spans="1:7" x14ac:dyDescent="0.35">
      <c r="A985" t="s">
        <v>1374</v>
      </c>
      <c r="B985" s="2">
        <v>45903</v>
      </c>
      <c r="C985" t="s">
        <v>27</v>
      </c>
      <c r="D985" t="s">
        <v>261</v>
      </c>
      <c r="E985" t="s">
        <v>403</v>
      </c>
      <c r="F985">
        <v>4</v>
      </c>
      <c r="G985">
        <v>150736</v>
      </c>
    </row>
    <row r="986" spans="1:7" x14ac:dyDescent="0.35">
      <c r="A986" t="s">
        <v>1375</v>
      </c>
      <c r="B986" s="2">
        <v>45994</v>
      </c>
      <c r="C986" t="s">
        <v>49</v>
      </c>
      <c r="D986" t="s">
        <v>317</v>
      </c>
      <c r="E986" t="s">
        <v>403</v>
      </c>
      <c r="F986">
        <v>9</v>
      </c>
      <c r="G986">
        <v>409626</v>
      </c>
    </row>
    <row r="987" spans="1:7" x14ac:dyDescent="0.35">
      <c r="A987" t="s">
        <v>1376</v>
      </c>
      <c r="B987" s="2">
        <v>45775</v>
      </c>
      <c r="C987" t="s">
        <v>41</v>
      </c>
      <c r="D987" t="s">
        <v>277</v>
      </c>
      <c r="E987" t="s">
        <v>389</v>
      </c>
      <c r="F987">
        <v>9</v>
      </c>
      <c r="G987">
        <v>191358</v>
      </c>
    </row>
    <row r="988" spans="1:7" x14ac:dyDescent="0.35">
      <c r="A988" t="s">
        <v>1377</v>
      </c>
      <c r="B988" s="2">
        <v>45727</v>
      </c>
      <c r="C988" t="s">
        <v>4</v>
      </c>
      <c r="D988" t="s">
        <v>127</v>
      </c>
      <c r="E988" t="s">
        <v>403</v>
      </c>
      <c r="F988">
        <v>4</v>
      </c>
      <c r="G988">
        <v>47260</v>
      </c>
    </row>
    <row r="989" spans="1:7" x14ac:dyDescent="0.35">
      <c r="A989" t="s">
        <v>1378</v>
      </c>
      <c r="B989" s="2">
        <v>46020</v>
      </c>
      <c r="C989" t="s">
        <v>33</v>
      </c>
      <c r="D989" t="s">
        <v>291</v>
      </c>
      <c r="E989" t="s">
        <v>387</v>
      </c>
      <c r="F989">
        <v>10</v>
      </c>
      <c r="G989">
        <v>362530</v>
      </c>
    </row>
    <row r="990" spans="1:7" x14ac:dyDescent="0.35">
      <c r="A990" t="s">
        <v>1379</v>
      </c>
      <c r="B990" s="2">
        <v>45872</v>
      </c>
      <c r="C990" t="s">
        <v>45</v>
      </c>
      <c r="D990" t="s">
        <v>201</v>
      </c>
      <c r="E990" t="s">
        <v>387</v>
      </c>
      <c r="F990">
        <v>3</v>
      </c>
      <c r="G990">
        <v>23478</v>
      </c>
    </row>
    <row r="991" spans="1:7" x14ac:dyDescent="0.35">
      <c r="A991" t="s">
        <v>1380</v>
      </c>
      <c r="B991" s="2">
        <v>45827</v>
      </c>
      <c r="C991" t="s">
        <v>51</v>
      </c>
      <c r="D991" t="s">
        <v>343</v>
      </c>
      <c r="E991" t="s">
        <v>394</v>
      </c>
      <c r="F991">
        <v>1</v>
      </c>
      <c r="G991">
        <v>31439</v>
      </c>
    </row>
    <row r="992" spans="1:7" x14ac:dyDescent="0.35">
      <c r="A992" t="s">
        <v>1381</v>
      </c>
      <c r="B992" s="2">
        <v>45910</v>
      </c>
      <c r="C992" t="s">
        <v>39</v>
      </c>
      <c r="D992" t="s">
        <v>103</v>
      </c>
      <c r="E992" t="s">
        <v>387</v>
      </c>
      <c r="F992">
        <v>4</v>
      </c>
      <c r="G992">
        <v>193152</v>
      </c>
    </row>
    <row r="993" spans="1:7" x14ac:dyDescent="0.35">
      <c r="A993" t="s">
        <v>1382</v>
      </c>
      <c r="B993" s="2">
        <v>45682</v>
      </c>
      <c r="C993" t="s">
        <v>35</v>
      </c>
      <c r="D993" t="s">
        <v>281</v>
      </c>
      <c r="E993" t="s">
        <v>389</v>
      </c>
      <c r="F993">
        <v>9</v>
      </c>
      <c r="G993">
        <v>445140</v>
      </c>
    </row>
    <row r="994" spans="1:7" x14ac:dyDescent="0.35">
      <c r="A994" t="s">
        <v>1383</v>
      </c>
      <c r="B994" s="2">
        <v>45787</v>
      </c>
      <c r="C994" t="s">
        <v>13</v>
      </c>
      <c r="D994" t="s">
        <v>309</v>
      </c>
      <c r="E994" t="s">
        <v>394</v>
      </c>
      <c r="F994">
        <v>1</v>
      </c>
      <c r="G994">
        <v>30177</v>
      </c>
    </row>
    <row r="995" spans="1:7" x14ac:dyDescent="0.35">
      <c r="A995" t="s">
        <v>1384</v>
      </c>
      <c r="B995" s="2">
        <v>45929</v>
      </c>
      <c r="C995" t="s">
        <v>41</v>
      </c>
      <c r="D995" t="s">
        <v>301</v>
      </c>
      <c r="E995" t="s">
        <v>391</v>
      </c>
      <c r="F995">
        <v>8</v>
      </c>
      <c r="G995">
        <v>170096</v>
      </c>
    </row>
    <row r="996" spans="1:7" x14ac:dyDescent="0.35">
      <c r="A996" t="s">
        <v>1385</v>
      </c>
      <c r="B996" s="2">
        <v>45718</v>
      </c>
      <c r="C996" t="s">
        <v>35</v>
      </c>
      <c r="D996" t="s">
        <v>293</v>
      </c>
      <c r="E996" t="s">
        <v>403</v>
      </c>
      <c r="F996">
        <v>6</v>
      </c>
      <c r="G996">
        <v>296760</v>
      </c>
    </row>
    <row r="997" spans="1:7" x14ac:dyDescent="0.35">
      <c r="A997" t="s">
        <v>1386</v>
      </c>
      <c r="B997" s="2">
        <v>45951</v>
      </c>
      <c r="C997" t="s">
        <v>59</v>
      </c>
      <c r="D997" t="s">
        <v>229</v>
      </c>
      <c r="E997" t="s">
        <v>391</v>
      </c>
      <c r="F997">
        <v>1</v>
      </c>
      <c r="G997">
        <v>48106</v>
      </c>
    </row>
    <row r="998" spans="1:7" x14ac:dyDescent="0.35">
      <c r="A998" t="s">
        <v>1387</v>
      </c>
      <c r="B998" s="2">
        <v>45737</v>
      </c>
      <c r="C998" t="s">
        <v>57</v>
      </c>
      <c r="D998" t="s">
        <v>293</v>
      </c>
      <c r="E998" t="s">
        <v>394</v>
      </c>
      <c r="F998">
        <v>7</v>
      </c>
      <c r="G998">
        <v>341523</v>
      </c>
    </row>
    <row r="999" spans="1:7" x14ac:dyDescent="0.35">
      <c r="A999" t="s">
        <v>1388</v>
      </c>
      <c r="B999" s="2">
        <v>45914</v>
      </c>
      <c r="C999" t="s">
        <v>10</v>
      </c>
      <c r="D999" t="s">
        <v>81</v>
      </c>
      <c r="E999" t="s">
        <v>389</v>
      </c>
      <c r="F999">
        <v>3</v>
      </c>
      <c r="G999">
        <v>13548</v>
      </c>
    </row>
    <row r="1000" spans="1:7" x14ac:dyDescent="0.35">
      <c r="A1000" t="s">
        <v>1389</v>
      </c>
      <c r="B1000" s="2">
        <v>45846</v>
      </c>
      <c r="C1000" t="s">
        <v>53</v>
      </c>
      <c r="D1000" t="s">
        <v>74</v>
      </c>
      <c r="E1000" t="s">
        <v>403</v>
      </c>
      <c r="F1000">
        <v>10</v>
      </c>
      <c r="G1000">
        <v>42080</v>
      </c>
    </row>
    <row r="1001" spans="1:7" x14ac:dyDescent="0.35">
      <c r="A1001" t="s">
        <v>1390</v>
      </c>
      <c r="B1001" s="2">
        <v>45663</v>
      </c>
      <c r="C1001" t="s">
        <v>16</v>
      </c>
      <c r="D1001" t="s">
        <v>243</v>
      </c>
      <c r="E1001" t="s">
        <v>387</v>
      </c>
      <c r="F1001">
        <v>8</v>
      </c>
      <c r="G1001">
        <v>255696</v>
      </c>
    </row>
    <row r="1002" spans="1:7" x14ac:dyDescent="0.35">
      <c r="A1002" t="s">
        <v>1391</v>
      </c>
      <c r="B1002" s="2">
        <v>45795</v>
      </c>
      <c r="C1002" t="s">
        <v>10</v>
      </c>
      <c r="D1002" t="s">
        <v>333</v>
      </c>
      <c r="E1002" t="s">
        <v>387</v>
      </c>
      <c r="F1002">
        <v>4</v>
      </c>
      <c r="G1002">
        <v>18064</v>
      </c>
    </row>
    <row r="1003" spans="1:7" x14ac:dyDescent="0.35">
      <c r="A1003" t="s">
        <v>1392</v>
      </c>
      <c r="B1003" s="2">
        <v>45847</v>
      </c>
      <c r="C1003" t="s">
        <v>39</v>
      </c>
      <c r="D1003" t="s">
        <v>211</v>
      </c>
      <c r="E1003" t="s">
        <v>391</v>
      </c>
      <c r="F1003">
        <v>6</v>
      </c>
      <c r="G1003">
        <v>289728</v>
      </c>
    </row>
    <row r="1004" spans="1:7" x14ac:dyDescent="0.35">
      <c r="A1004" t="s">
        <v>1393</v>
      </c>
      <c r="B1004" s="2">
        <v>46005</v>
      </c>
      <c r="C1004" t="s">
        <v>67</v>
      </c>
      <c r="D1004" t="s">
        <v>323</v>
      </c>
      <c r="E1004" t="s">
        <v>389</v>
      </c>
      <c r="F1004">
        <v>4</v>
      </c>
      <c r="G1004">
        <v>86464</v>
      </c>
    </row>
    <row r="1005" spans="1:7" x14ac:dyDescent="0.35">
      <c r="A1005" t="s">
        <v>1394</v>
      </c>
      <c r="B1005" s="2">
        <v>45690</v>
      </c>
      <c r="C1005" t="s">
        <v>4</v>
      </c>
      <c r="D1005" t="s">
        <v>255</v>
      </c>
      <c r="E1005" t="s">
        <v>391</v>
      </c>
      <c r="F1005">
        <v>5</v>
      </c>
      <c r="G1005">
        <v>59075</v>
      </c>
    </row>
    <row r="1006" spans="1:7" x14ac:dyDescent="0.35">
      <c r="A1006" t="s">
        <v>1395</v>
      </c>
      <c r="B1006" s="2">
        <v>45828</v>
      </c>
      <c r="C1006" t="s">
        <v>55</v>
      </c>
      <c r="D1006" t="s">
        <v>88</v>
      </c>
      <c r="E1006" t="s">
        <v>394</v>
      </c>
      <c r="F1006">
        <v>6</v>
      </c>
      <c r="G1006">
        <v>68490</v>
      </c>
    </row>
    <row r="1007" spans="1:7" x14ac:dyDescent="0.35">
      <c r="A1007" t="s">
        <v>1396</v>
      </c>
      <c r="B1007" s="2">
        <v>45911</v>
      </c>
      <c r="C1007" t="s">
        <v>19</v>
      </c>
      <c r="D1007" t="s">
        <v>267</v>
      </c>
      <c r="E1007" t="s">
        <v>387</v>
      </c>
      <c r="F1007">
        <v>6</v>
      </c>
      <c r="G1007">
        <v>252954</v>
      </c>
    </row>
    <row r="1008" spans="1:7" x14ac:dyDescent="0.35">
      <c r="A1008" t="s">
        <v>1397</v>
      </c>
      <c r="B1008" s="2">
        <v>45721</v>
      </c>
      <c r="C1008" t="s">
        <v>67</v>
      </c>
      <c r="D1008" t="s">
        <v>267</v>
      </c>
      <c r="E1008" t="s">
        <v>387</v>
      </c>
      <c r="F1008">
        <v>8</v>
      </c>
      <c r="G1008">
        <v>172928</v>
      </c>
    </row>
    <row r="1009" spans="1:7" x14ac:dyDescent="0.35">
      <c r="A1009" t="s">
        <v>1398</v>
      </c>
      <c r="B1009" s="2">
        <v>45763</v>
      </c>
      <c r="C1009" t="s">
        <v>21</v>
      </c>
      <c r="D1009" t="s">
        <v>295</v>
      </c>
      <c r="E1009" t="s">
        <v>387</v>
      </c>
      <c r="F1009">
        <v>2</v>
      </c>
      <c r="G1009">
        <v>30418</v>
      </c>
    </row>
    <row r="1010" spans="1:7" x14ac:dyDescent="0.35">
      <c r="A1010" t="s">
        <v>1399</v>
      </c>
      <c r="B1010" s="2">
        <v>45972</v>
      </c>
      <c r="C1010" t="s">
        <v>55</v>
      </c>
      <c r="D1010" t="s">
        <v>325</v>
      </c>
      <c r="E1010" t="s">
        <v>394</v>
      </c>
      <c r="F1010">
        <v>7</v>
      </c>
      <c r="G1010">
        <v>79905</v>
      </c>
    </row>
    <row r="1011" spans="1:7" x14ac:dyDescent="0.35">
      <c r="A1011" t="s">
        <v>1400</v>
      </c>
      <c r="B1011" s="2">
        <v>45793</v>
      </c>
      <c r="C1011" t="s">
        <v>63</v>
      </c>
      <c r="D1011" t="s">
        <v>227</v>
      </c>
      <c r="E1011" t="s">
        <v>387</v>
      </c>
      <c r="F1011">
        <v>3</v>
      </c>
      <c r="G1011">
        <v>26304</v>
      </c>
    </row>
    <row r="1012" spans="1:7" x14ac:dyDescent="0.35">
      <c r="A1012" t="s">
        <v>1401</v>
      </c>
      <c r="B1012" s="2">
        <v>46006</v>
      </c>
      <c r="C1012" t="s">
        <v>7</v>
      </c>
      <c r="D1012" t="s">
        <v>297</v>
      </c>
      <c r="E1012" t="s">
        <v>394</v>
      </c>
      <c r="F1012">
        <v>3</v>
      </c>
      <c r="G1012">
        <v>78399</v>
      </c>
    </row>
    <row r="1013" spans="1:7" x14ac:dyDescent="0.35">
      <c r="A1013" t="s">
        <v>1402</v>
      </c>
      <c r="B1013" s="2">
        <v>45707</v>
      </c>
      <c r="C1013" t="s">
        <v>47</v>
      </c>
      <c r="D1013" t="s">
        <v>225</v>
      </c>
      <c r="E1013" t="s">
        <v>391</v>
      </c>
      <c r="F1013">
        <v>7</v>
      </c>
      <c r="G1013">
        <v>154434</v>
      </c>
    </row>
    <row r="1014" spans="1:7" x14ac:dyDescent="0.35">
      <c r="A1014" t="s">
        <v>1403</v>
      </c>
      <c r="B1014" s="2">
        <v>45689</v>
      </c>
      <c r="C1014" t="s">
        <v>53</v>
      </c>
      <c r="D1014" t="s">
        <v>311</v>
      </c>
      <c r="E1014" t="s">
        <v>391</v>
      </c>
      <c r="F1014">
        <v>10</v>
      </c>
      <c r="G1014">
        <v>42080</v>
      </c>
    </row>
    <row r="1015" spans="1:7" x14ac:dyDescent="0.35">
      <c r="A1015" t="s">
        <v>1404</v>
      </c>
      <c r="B1015" s="2">
        <v>45678</v>
      </c>
      <c r="C1015" t="s">
        <v>23</v>
      </c>
      <c r="D1015" t="s">
        <v>215</v>
      </c>
      <c r="E1015" t="s">
        <v>387</v>
      </c>
      <c r="F1015">
        <v>8</v>
      </c>
      <c r="G1015">
        <v>48552</v>
      </c>
    </row>
    <row r="1016" spans="1:7" x14ac:dyDescent="0.35">
      <c r="A1016" t="s">
        <v>1405</v>
      </c>
      <c r="B1016" s="2">
        <v>45673</v>
      </c>
      <c r="C1016" t="s">
        <v>10</v>
      </c>
      <c r="D1016" t="s">
        <v>161</v>
      </c>
      <c r="E1016" t="s">
        <v>389</v>
      </c>
      <c r="F1016">
        <v>4</v>
      </c>
      <c r="G1016">
        <v>18064</v>
      </c>
    </row>
    <row r="1017" spans="1:7" x14ac:dyDescent="0.35">
      <c r="A1017" t="s">
        <v>1406</v>
      </c>
      <c r="B1017" s="2">
        <v>45845</v>
      </c>
      <c r="C1017" t="s">
        <v>41</v>
      </c>
      <c r="D1017" t="s">
        <v>105</v>
      </c>
      <c r="E1017" t="s">
        <v>387</v>
      </c>
      <c r="F1017">
        <v>9</v>
      </c>
      <c r="G1017">
        <v>191358</v>
      </c>
    </row>
    <row r="1018" spans="1:7" x14ac:dyDescent="0.35">
      <c r="A1018" t="s">
        <v>1407</v>
      </c>
      <c r="B1018" s="2">
        <v>45774</v>
      </c>
      <c r="C1018" t="s">
        <v>53</v>
      </c>
      <c r="D1018" t="s">
        <v>163</v>
      </c>
      <c r="E1018" t="s">
        <v>394</v>
      </c>
      <c r="F1018">
        <v>5</v>
      </c>
      <c r="G1018">
        <v>21040</v>
      </c>
    </row>
    <row r="1019" spans="1:7" x14ac:dyDescent="0.35">
      <c r="A1019" t="s">
        <v>1408</v>
      </c>
      <c r="B1019" s="2">
        <v>45707</v>
      </c>
      <c r="C1019" t="s">
        <v>27</v>
      </c>
      <c r="D1019" t="s">
        <v>269</v>
      </c>
      <c r="E1019" t="s">
        <v>391</v>
      </c>
      <c r="F1019">
        <v>10</v>
      </c>
      <c r="G1019">
        <v>376840</v>
      </c>
    </row>
    <row r="1020" spans="1:7" x14ac:dyDescent="0.35">
      <c r="A1020" t="s">
        <v>1409</v>
      </c>
      <c r="B1020" s="2">
        <v>45701</v>
      </c>
      <c r="C1020" t="s">
        <v>37</v>
      </c>
      <c r="D1020" t="s">
        <v>199</v>
      </c>
      <c r="E1020" t="s">
        <v>387</v>
      </c>
      <c r="F1020">
        <v>10</v>
      </c>
      <c r="G1020">
        <v>19530</v>
      </c>
    </row>
    <row r="1021" spans="1:7" x14ac:dyDescent="0.35">
      <c r="A1021" t="s">
        <v>1410</v>
      </c>
      <c r="B1021" s="2">
        <v>46007</v>
      </c>
      <c r="C1021" t="s">
        <v>10</v>
      </c>
      <c r="D1021" t="s">
        <v>253</v>
      </c>
      <c r="E1021" t="s">
        <v>387</v>
      </c>
      <c r="F1021">
        <v>8</v>
      </c>
      <c r="G1021">
        <v>36128</v>
      </c>
    </row>
    <row r="1022" spans="1:7" x14ac:dyDescent="0.35">
      <c r="A1022" t="s">
        <v>1411</v>
      </c>
      <c r="B1022" s="2">
        <v>45908</v>
      </c>
      <c r="C1022" t="s">
        <v>57</v>
      </c>
      <c r="D1022" t="s">
        <v>211</v>
      </c>
      <c r="E1022" t="s">
        <v>387</v>
      </c>
      <c r="F1022">
        <v>8</v>
      </c>
      <c r="G1022">
        <v>390312</v>
      </c>
    </row>
    <row r="1023" spans="1:7" x14ac:dyDescent="0.35">
      <c r="A1023" t="s">
        <v>1412</v>
      </c>
      <c r="B1023" s="2">
        <v>45858</v>
      </c>
      <c r="C1023" t="s">
        <v>63</v>
      </c>
      <c r="D1023" t="s">
        <v>185</v>
      </c>
      <c r="E1023" t="s">
        <v>394</v>
      </c>
      <c r="F1023">
        <v>4</v>
      </c>
      <c r="G1023">
        <v>35072</v>
      </c>
    </row>
    <row r="1024" spans="1:7" x14ac:dyDescent="0.35">
      <c r="A1024" t="s">
        <v>1413</v>
      </c>
      <c r="B1024" s="2">
        <v>45833</v>
      </c>
      <c r="C1024" t="s">
        <v>39</v>
      </c>
      <c r="D1024" t="s">
        <v>325</v>
      </c>
      <c r="E1024" t="s">
        <v>391</v>
      </c>
      <c r="F1024">
        <v>5</v>
      </c>
      <c r="G1024">
        <v>241440</v>
      </c>
    </row>
    <row r="1025" spans="1:7" x14ac:dyDescent="0.35">
      <c r="A1025" t="s">
        <v>1414</v>
      </c>
      <c r="B1025" s="2">
        <v>45901</v>
      </c>
      <c r="C1025" t="s">
        <v>35</v>
      </c>
      <c r="D1025" t="s">
        <v>285</v>
      </c>
      <c r="E1025" t="s">
        <v>389</v>
      </c>
      <c r="F1025">
        <v>7</v>
      </c>
      <c r="G1025">
        <v>346220</v>
      </c>
    </row>
    <row r="1026" spans="1:7" x14ac:dyDescent="0.35">
      <c r="A1026" t="s">
        <v>1415</v>
      </c>
      <c r="B1026" s="2">
        <v>45741</v>
      </c>
      <c r="C1026" t="s">
        <v>67</v>
      </c>
      <c r="D1026" t="s">
        <v>117</v>
      </c>
      <c r="E1026" t="s">
        <v>387</v>
      </c>
      <c r="F1026">
        <v>4</v>
      </c>
      <c r="G1026">
        <v>86464</v>
      </c>
    </row>
    <row r="1027" spans="1:7" x14ac:dyDescent="0.35">
      <c r="A1027" t="s">
        <v>1416</v>
      </c>
      <c r="B1027" s="2">
        <v>45664</v>
      </c>
      <c r="C1027" t="s">
        <v>39</v>
      </c>
      <c r="D1027" t="s">
        <v>339</v>
      </c>
      <c r="E1027" t="s">
        <v>403</v>
      </c>
      <c r="F1027">
        <v>6</v>
      </c>
      <c r="G1027">
        <v>289728</v>
      </c>
    </row>
    <row r="1028" spans="1:7" x14ac:dyDescent="0.35">
      <c r="A1028" t="s">
        <v>1417</v>
      </c>
      <c r="B1028" s="2">
        <v>45716</v>
      </c>
      <c r="C1028" t="s">
        <v>31</v>
      </c>
      <c r="D1028" t="s">
        <v>84</v>
      </c>
      <c r="E1028" t="s">
        <v>387</v>
      </c>
      <c r="F1028">
        <v>4</v>
      </c>
      <c r="G1028">
        <v>119864</v>
      </c>
    </row>
    <row r="1029" spans="1:7" x14ac:dyDescent="0.35">
      <c r="A1029" t="s">
        <v>1418</v>
      </c>
      <c r="B1029" s="2">
        <v>45863</v>
      </c>
      <c r="C1029" t="s">
        <v>4</v>
      </c>
      <c r="D1029" t="s">
        <v>287</v>
      </c>
      <c r="E1029" t="s">
        <v>394</v>
      </c>
      <c r="F1029">
        <v>5</v>
      </c>
      <c r="G1029">
        <v>59075</v>
      </c>
    </row>
    <row r="1030" spans="1:7" x14ac:dyDescent="0.35">
      <c r="A1030" t="s">
        <v>1419</v>
      </c>
      <c r="B1030" s="2">
        <v>45866</v>
      </c>
      <c r="C1030" t="s">
        <v>63</v>
      </c>
      <c r="D1030" t="s">
        <v>337</v>
      </c>
      <c r="E1030" t="s">
        <v>394</v>
      </c>
      <c r="F1030">
        <v>5</v>
      </c>
      <c r="G1030">
        <v>43840</v>
      </c>
    </row>
    <row r="1031" spans="1:7" x14ac:dyDescent="0.35">
      <c r="A1031" t="s">
        <v>1420</v>
      </c>
      <c r="B1031" s="2">
        <v>45982</v>
      </c>
      <c r="C1031" t="s">
        <v>4</v>
      </c>
      <c r="D1031" t="s">
        <v>303</v>
      </c>
      <c r="E1031" t="s">
        <v>403</v>
      </c>
      <c r="F1031">
        <v>4</v>
      </c>
      <c r="G1031">
        <v>47260</v>
      </c>
    </row>
    <row r="1032" spans="1:7" x14ac:dyDescent="0.35">
      <c r="A1032" t="s">
        <v>1421</v>
      </c>
      <c r="B1032" s="2">
        <v>45672</v>
      </c>
      <c r="C1032" t="s">
        <v>47</v>
      </c>
      <c r="D1032" t="s">
        <v>101</v>
      </c>
      <c r="E1032" t="s">
        <v>387</v>
      </c>
      <c r="F1032">
        <v>3</v>
      </c>
      <c r="G1032">
        <v>66186</v>
      </c>
    </row>
    <row r="1033" spans="1:7" x14ac:dyDescent="0.35">
      <c r="A1033" t="s">
        <v>1422</v>
      </c>
      <c r="B1033" s="2">
        <v>45795</v>
      </c>
      <c r="C1033" t="s">
        <v>19</v>
      </c>
      <c r="D1033" t="s">
        <v>74</v>
      </c>
      <c r="E1033" t="s">
        <v>391</v>
      </c>
      <c r="F1033">
        <v>10</v>
      </c>
      <c r="G1033">
        <v>421590</v>
      </c>
    </row>
    <row r="1034" spans="1:7" x14ac:dyDescent="0.35">
      <c r="A1034" t="s">
        <v>1423</v>
      </c>
      <c r="B1034" s="2">
        <v>45934</v>
      </c>
      <c r="C1034" t="s">
        <v>41</v>
      </c>
      <c r="D1034" t="s">
        <v>263</v>
      </c>
      <c r="E1034" t="s">
        <v>394</v>
      </c>
      <c r="F1034">
        <v>4</v>
      </c>
      <c r="G1034">
        <v>85048</v>
      </c>
    </row>
    <row r="1035" spans="1:7" x14ac:dyDescent="0.35">
      <c r="A1035" t="s">
        <v>1424</v>
      </c>
      <c r="B1035" s="2">
        <v>45828</v>
      </c>
      <c r="C1035" t="s">
        <v>43</v>
      </c>
      <c r="D1035" t="s">
        <v>169</v>
      </c>
      <c r="E1035" t="s">
        <v>391</v>
      </c>
      <c r="F1035">
        <v>6</v>
      </c>
      <c r="G1035">
        <v>226950</v>
      </c>
    </row>
    <row r="1036" spans="1:7" x14ac:dyDescent="0.35">
      <c r="A1036" t="s">
        <v>1425</v>
      </c>
      <c r="B1036" s="2">
        <v>45661</v>
      </c>
      <c r="C1036" t="s">
        <v>31</v>
      </c>
      <c r="D1036" t="s">
        <v>189</v>
      </c>
      <c r="E1036" t="s">
        <v>389</v>
      </c>
      <c r="F1036">
        <v>9</v>
      </c>
      <c r="G1036">
        <v>269694</v>
      </c>
    </row>
    <row r="1037" spans="1:7" x14ac:dyDescent="0.35">
      <c r="A1037" t="s">
        <v>1426</v>
      </c>
      <c r="B1037" s="2">
        <v>45664</v>
      </c>
      <c r="C1037" t="s">
        <v>65</v>
      </c>
      <c r="D1037" t="s">
        <v>225</v>
      </c>
      <c r="E1037" t="s">
        <v>387</v>
      </c>
      <c r="F1037">
        <v>4</v>
      </c>
      <c r="G1037">
        <v>2180</v>
      </c>
    </row>
    <row r="1038" spans="1:7" x14ac:dyDescent="0.35">
      <c r="A1038" t="s">
        <v>1427</v>
      </c>
      <c r="B1038" s="2">
        <v>45829</v>
      </c>
      <c r="C1038" t="s">
        <v>43</v>
      </c>
      <c r="D1038" t="s">
        <v>365</v>
      </c>
      <c r="E1038" t="s">
        <v>391</v>
      </c>
      <c r="F1038">
        <v>10</v>
      </c>
      <c r="G1038">
        <v>378250</v>
      </c>
    </row>
    <row r="1039" spans="1:7" x14ac:dyDescent="0.35">
      <c r="A1039" t="s">
        <v>1428</v>
      </c>
      <c r="B1039" s="2">
        <v>45738</v>
      </c>
      <c r="C1039" t="s">
        <v>47</v>
      </c>
      <c r="D1039" t="s">
        <v>237</v>
      </c>
      <c r="E1039" t="s">
        <v>389</v>
      </c>
      <c r="F1039">
        <v>9</v>
      </c>
      <c r="G1039">
        <v>198558</v>
      </c>
    </row>
    <row r="1040" spans="1:7" x14ac:dyDescent="0.35">
      <c r="A1040" t="s">
        <v>1429</v>
      </c>
      <c r="B1040" s="2">
        <v>45876</v>
      </c>
      <c r="C1040" t="s">
        <v>19</v>
      </c>
      <c r="D1040" t="s">
        <v>329</v>
      </c>
      <c r="E1040" t="s">
        <v>403</v>
      </c>
      <c r="F1040">
        <v>2</v>
      </c>
      <c r="G1040">
        <v>84318</v>
      </c>
    </row>
    <row r="1041" spans="1:7" x14ac:dyDescent="0.35">
      <c r="A1041" t="s">
        <v>1430</v>
      </c>
      <c r="B1041" s="2">
        <v>45991</v>
      </c>
      <c r="C1041" t="s">
        <v>16</v>
      </c>
      <c r="D1041" t="s">
        <v>211</v>
      </c>
      <c r="E1041" t="s">
        <v>403</v>
      </c>
      <c r="F1041">
        <v>3</v>
      </c>
      <c r="G1041">
        <v>95886</v>
      </c>
    </row>
    <row r="1042" spans="1:7" x14ac:dyDescent="0.35">
      <c r="A1042" t="s">
        <v>1431</v>
      </c>
      <c r="B1042" s="2">
        <v>45872</v>
      </c>
      <c r="C1042" t="s">
        <v>13</v>
      </c>
      <c r="D1042" t="s">
        <v>247</v>
      </c>
      <c r="E1042" t="s">
        <v>387</v>
      </c>
      <c r="F1042">
        <v>4</v>
      </c>
      <c r="G1042">
        <v>120708</v>
      </c>
    </row>
    <row r="1043" spans="1:7" x14ac:dyDescent="0.35">
      <c r="A1043" t="s">
        <v>1432</v>
      </c>
      <c r="B1043" s="2">
        <v>45750</v>
      </c>
      <c r="C1043" t="s">
        <v>16</v>
      </c>
      <c r="D1043" t="s">
        <v>151</v>
      </c>
      <c r="E1043" t="s">
        <v>391</v>
      </c>
      <c r="F1043">
        <v>8</v>
      </c>
      <c r="G1043">
        <v>255696</v>
      </c>
    </row>
    <row r="1044" spans="1:7" x14ac:dyDescent="0.35">
      <c r="A1044" t="s">
        <v>1433</v>
      </c>
      <c r="B1044" s="2">
        <v>46008</v>
      </c>
      <c r="C1044" t="s">
        <v>37</v>
      </c>
      <c r="D1044" t="s">
        <v>349</v>
      </c>
      <c r="E1044" t="s">
        <v>391</v>
      </c>
      <c r="F1044">
        <v>7</v>
      </c>
      <c r="G1044">
        <v>13671</v>
      </c>
    </row>
    <row r="1045" spans="1:7" x14ac:dyDescent="0.35">
      <c r="A1045" t="s">
        <v>1434</v>
      </c>
      <c r="B1045" s="2">
        <v>45678</v>
      </c>
      <c r="C1045" t="s">
        <v>49</v>
      </c>
      <c r="D1045" t="s">
        <v>333</v>
      </c>
      <c r="E1045" t="s">
        <v>389</v>
      </c>
      <c r="F1045">
        <v>1</v>
      </c>
      <c r="G1045">
        <v>45514</v>
      </c>
    </row>
    <row r="1046" spans="1:7" x14ac:dyDescent="0.35">
      <c r="A1046" t="s">
        <v>1435</v>
      </c>
      <c r="B1046" s="2">
        <v>45927</v>
      </c>
      <c r="C1046" t="s">
        <v>57</v>
      </c>
      <c r="D1046" t="s">
        <v>281</v>
      </c>
      <c r="E1046" t="s">
        <v>389</v>
      </c>
      <c r="F1046">
        <v>7</v>
      </c>
      <c r="G1046">
        <v>341523</v>
      </c>
    </row>
    <row r="1047" spans="1:7" x14ac:dyDescent="0.35">
      <c r="A1047" t="s">
        <v>1436</v>
      </c>
      <c r="B1047" s="2">
        <v>45986</v>
      </c>
      <c r="C1047" t="s">
        <v>19</v>
      </c>
      <c r="D1047" t="s">
        <v>301</v>
      </c>
      <c r="E1047" t="s">
        <v>403</v>
      </c>
      <c r="F1047">
        <v>10</v>
      </c>
      <c r="G1047">
        <v>421590</v>
      </c>
    </row>
    <row r="1048" spans="1:7" x14ac:dyDescent="0.35">
      <c r="A1048" t="s">
        <v>1437</v>
      </c>
      <c r="B1048" s="2">
        <v>46010</v>
      </c>
      <c r="C1048" t="s">
        <v>39</v>
      </c>
      <c r="D1048" t="s">
        <v>337</v>
      </c>
      <c r="E1048" t="s">
        <v>403</v>
      </c>
      <c r="F1048">
        <v>10</v>
      </c>
      <c r="G1048">
        <v>482880</v>
      </c>
    </row>
    <row r="1049" spans="1:7" x14ac:dyDescent="0.35">
      <c r="A1049" t="s">
        <v>1438</v>
      </c>
      <c r="B1049" s="2">
        <v>45769</v>
      </c>
      <c r="C1049" t="s">
        <v>33</v>
      </c>
      <c r="D1049" t="s">
        <v>329</v>
      </c>
      <c r="E1049" t="s">
        <v>394</v>
      </c>
      <c r="F1049">
        <v>8</v>
      </c>
      <c r="G1049">
        <v>290024</v>
      </c>
    </row>
    <row r="1050" spans="1:7" x14ac:dyDescent="0.35">
      <c r="A1050" t="s">
        <v>1439</v>
      </c>
      <c r="B1050" s="2">
        <v>45794</v>
      </c>
      <c r="C1050" t="s">
        <v>13</v>
      </c>
      <c r="D1050" t="s">
        <v>373</v>
      </c>
      <c r="E1050" t="s">
        <v>394</v>
      </c>
      <c r="F1050">
        <v>1</v>
      </c>
      <c r="G1050">
        <v>30177</v>
      </c>
    </row>
    <row r="1051" spans="1:7" x14ac:dyDescent="0.35">
      <c r="A1051" t="s">
        <v>1440</v>
      </c>
      <c r="B1051" s="2">
        <v>45991</v>
      </c>
      <c r="C1051" t="s">
        <v>16</v>
      </c>
      <c r="D1051" t="s">
        <v>335</v>
      </c>
      <c r="E1051" t="s">
        <v>387</v>
      </c>
      <c r="F1051">
        <v>6</v>
      </c>
      <c r="G1051">
        <v>191772</v>
      </c>
    </row>
    <row r="1052" spans="1:7" x14ac:dyDescent="0.35">
      <c r="A1052" t="s">
        <v>1441</v>
      </c>
      <c r="B1052" s="2">
        <v>45673</v>
      </c>
      <c r="C1052" t="s">
        <v>10</v>
      </c>
      <c r="D1052" t="s">
        <v>345</v>
      </c>
      <c r="E1052" t="s">
        <v>403</v>
      </c>
      <c r="F1052">
        <v>9</v>
      </c>
      <c r="G1052">
        <v>40644</v>
      </c>
    </row>
    <row r="1053" spans="1:7" x14ac:dyDescent="0.35">
      <c r="A1053" t="s">
        <v>1442</v>
      </c>
      <c r="B1053" s="2">
        <v>45679</v>
      </c>
      <c r="C1053" t="s">
        <v>35</v>
      </c>
      <c r="D1053" t="s">
        <v>99</v>
      </c>
      <c r="E1053" t="s">
        <v>391</v>
      </c>
      <c r="F1053">
        <v>3</v>
      </c>
      <c r="G1053">
        <v>148380</v>
      </c>
    </row>
    <row r="1054" spans="1:7" x14ac:dyDescent="0.35">
      <c r="A1054" t="s">
        <v>1443</v>
      </c>
      <c r="B1054" s="2">
        <v>45814</v>
      </c>
      <c r="C1054" t="s">
        <v>57</v>
      </c>
      <c r="D1054" t="s">
        <v>301</v>
      </c>
      <c r="E1054" t="s">
        <v>394</v>
      </c>
      <c r="F1054">
        <v>8</v>
      </c>
      <c r="G1054">
        <v>390312</v>
      </c>
    </row>
    <row r="1055" spans="1:7" x14ac:dyDescent="0.35">
      <c r="A1055" t="s">
        <v>1444</v>
      </c>
      <c r="B1055" s="2">
        <v>45926</v>
      </c>
      <c r="C1055" t="s">
        <v>51</v>
      </c>
      <c r="D1055" t="s">
        <v>183</v>
      </c>
      <c r="E1055" t="s">
        <v>403</v>
      </c>
      <c r="F1055">
        <v>6</v>
      </c>
      <c r="G1055">
        <v>188634</v>
      </c>
    </row>
    <row r="1056" spans="1:7" x14ac:dyDescent="0.35">
      <c r="A1056" t="s">
        <v>1445</v>
      </c>
      <c r="B1056" s="2">
        <v>45659</v>
      </c>
      <c r="C1056" t="s">
        <v>43</v>
      </c>
      <c r="D1056" t="s">
        <v>231</v>
      </c>
      <c r="E1056" t="s">
        <v>403</v>
      </c>
      <c r="F1056">
        <v>8</v>
      </c>
      <c r="G1056">
        <v>302600</v>
      </c>
    </row>
    <row r="1057" spans="1:7" x14ac:dyDescent="0.35">
      <c r="A1057" t="s">
        <v>1446</v>
      </c>
      <c r="B1057" s="2">
        <v>45894</v>
      </c>
      <c r="C1057" t="s">
        <v>65</v>
      </c>
      <c r="D1057" t="s">
        <v>105</v>
      </c>
      <c r="E1057" t="s">
        <v>394</v>
      </c>
      <c r="F1057">
        <v>3</v>
      </c>
      <c r="G1057">
        <v>1635</v>
      </c>
    </row>
    <row r="1058" spans="1:7" x14ac:dyDescent="0.35">
      <c r="A1058" t="s">
        <v>1447</v>
      </c>
      <c r="B1058" s="2">
        <v>45823</v>
      </c>
      <c r="C1058" t="s">
        <v>23</v>
      </c>
      <c r="D1058" t="s">
        <v>183</v>
      </c>
      <c r="E1058" t="s">
        <v>389</v>
      </c>
      <c r="F1058">
        <v>5</v>
      </c>
      <c r="G1058">
        <v>30345</v>
      </c>
    </row>
    <row r="1059" spans="1:7" x14ac:dyDescent="0.35">
      <c r="A1059" t="s">
        <v>1448</v>
      </c>
      <c r="B1059" s="2">
        <v>45705</v>
      </c>
      <c r="C1059" t="s">
        <v>31</v>
      </c>
      <c r="D1059" t="s">
        <v>74</v>
      </c>
      <c r="E1059" t="s">
        <v>387</v>
      </c>
      <c r="F1059">
        <v>7</v>
      </c>
      <c r="G1059">
        <v>209762</v>
      </c>
    </row>
    <row r="1060" spans="1:7" x14ac:dyDescent="0.35">
      <c r="A1060" t="s">
        <v>1449</v>
      </c>
      <c r="B1060" s="2">
        <v>45929</v>
      </c>
      <c r="C1060" t="s">
        <v>13</v>
      </c>
      <c r="D1060" t="s">
        <v>289</v>
      </c>
      <c r="E1060" t="s">
        <v>394</v>
      </c>
      <c r="F1060">
        <v>5</v>
      </c>
      <c r="G1060">
        <v>150885</v>
      </c>
    </row>
    <row r="1061" spans="1:7" x14ac:dyDescent="0.35">
      <c r="A1061" t="s">
        <v>1450</v>
      </c>
      <c r="B1061" s="2">
        <v>45981</v>
      </c>
      <c r="C1061" t="s">
        <v>53</v>
      </c>
      <c r="D1061" t="s">
        <v>187</v>
      </c>
      <c r="E1061" t="s">
        <v>394</v>
      </c>
      <c r="F1061">
        <v>6</v>
      </c>
      <c r="G1061">
        <v>25248</v>
      </c>
    </row>
    <row r="1062" spans="1:7" x14ac:dyDescent="0.35">
      <c r="A1062" t="s">
        <v>1451</v>
      </c>
      <c r="B1062" s="2">
        <v>45823</v>
      </c>
      <c r="C1062" t="s">
        <v>55</v>
      </c>
      <c r="D1062" t="s">
        <v>93</v>
      </c>
      <c r="E1062" t="s">
        <v>403</v>
      </c>
      <c r="F1062">
        <v>3</v>
      </c>
      <c r="G1062">
        <v>34245</v>
      </c>
    </row>
    <row r="1063" spans="1:7" x14ac:dyDescent="0.35">
      <c r="A1063" t="s">
        <v>1452</v>
      </c>
      <c r="B1063" s="2">
        <v>45884</v>
      </c>
      <c r="C1063" t="s">
        <v>65</v>
      </c>
      <c r="D1063" t="s">
        <v>321</v>
      </c>
      <c r="E1063" t="s">
        <v>403</v>
      </c>
      <c r="F1063">
        <v>3</v>
      </c>
      <c r="G1063">
        <v>1635</v>
      </c>
    </row>
    <row r="1064" spans="1:7" x14ac:dyDescent="0.35">
      <c r="A1064" t="s">
        <v>1453</v>
      </c>
      <c r="B1064" s="2">
        <v>45837</v>
      </c>
      <c r="C1064" t="s">
        <v>47</v>
      </c>
      <c r="D1064" t="s">
        <v>213</v>
      </c>
      <c r="E1064" t="s">
        <v>391</v>
      </c>
      <c r="F1064">
        <v>6</v>
      </c>
      <c r="G1064">
        <v>132372</v>
      </c>
    </row>
    <row r="1065" spans="1:7" x14ac:dyDescent="0.35">
      <c r="A1065" t="s">
        <v>1454</v>
      </c>
      <c r="B1065" s="2">
        <v>45836</v>
      </c>
      <c r="C1065" t="s">
        <v>10</v>
      </c>
      <c r="D1065" t="s">
        <v>285</v>
      </c>
      <c r="E1065" t="s">
        <v>394</v>
      </c>
      <c r="F1065">
        <v>7</v>
      </c>
      <c r="G1065">
        <v>31612</v>
      </c>
    </row>
    <row r="1066" spans="1:7" x14ac:dyDescent="0.35">
      <c r="A1066" t="s">
        <v>1455</v>
      </c>
      <c r="B1066" s="2">
        <v>45746</v>
      </c>
      <c r="C1066" t="s">
        <v>7</v>
      </c>
      <c r="D1066" t="s">
        <v>121</v>
      </c>
      <c r="E1066" t="s">
        <v>389</v>
      </c>
      <c r="F1066">
        <v>10</v>
      </c>
      <c r="G1066">
        <v>261330</v>
      </c>
    </row>
    <row r="1067" spans="1:7" x14ac:dyDescent="0.35">
      <c r="A1067" t="s">
        <v>1456</v>
      </c>
      <c r="B1067" s="2">
        <v>45775</v>
      </c>
      <c r="C1067" t="s">
        <v>19</v>
      </c>
      <c r="D1067" t="s">
        <v>133</v>
      </c>
      <c r="E1067" t="s">
        <v>394</v>
      </c>
      <c r="F1067">
        <v>2</v>
      </c>
      <c r="G1067">
        <v>84318</v>
      </c>
    </row>
    <row r="1068" spans="1:7" x14ac:dyDescent="0.35">
      <c r="A1068" t="s">
        <v>1457</v>
      </c>
      <c r="B1068" s="2">
        <v>45933</v>
      </c>
      <c r="C1068" t="s">
        <v>55</v>
      </c>
      <c r="D1068" t="s">
        <v>339</v>
      </c>
      <c r="E1068" t="s">
        <v>389</v>
      </c>
      <c r="F1068">
        <v>2</v>
      </c>
      <c r="G1068">
        <v>22830</v>
      </c>
    </row>
    <row r="1069" spans="1:7" x14ac:dyDescent="0.35">
      <c r="A1069" t="s">
        <v>1458</v>
      </c>
      <c r="B1069" s="2">
        <v>46019</v>
      </c>
      <c r="C1069" t="s">
        <v>35</v>
      </c>
      <c r="D1069" t="s">
        <v>219</v>
      </c>
      <c r="E1069" t="s">
        <v>394</v>
      </c>
      <c r="F1069">
        <v>8</v>
      </c>
      <c r="G1069">
        <v>395680</v>
      </c>
    </row>
    <row r="1070" spans="1:7" x14ac:dyDescent="0.35">
      <c r="A1070" t="s">
        <v>1459</v>
      </c>
      <c r="B1070" s="2">
        <v>45979</v>
      </c>
      <c r="C1070" t="s">
        <v>53</v>
      </c>
      <c r="D1070" t="s">
        <v>331</v>
      </c>
      <c r="E1070" t="s">
        <v>403</v>
      </c>
      <c r="F1070">
        <v>8</v>
      </c>
      <c r="G1070">
        <v>33664</v>
      </c>
    </row>
    <row r="1071" spans="1:7" x14ac:dyDescent="0.35">
      <c r="A1071" t="s">
        <v>1460</v>
      </c>
      <c r="B1071" s="2">
        <v>45775</v>
      </c>
      <c r="C1071" t="s">
        <v>23</v>
      </c>
      <c r="D1071" t="s">
        <v>271</v>
      </c>
      <c r="E1071" t="s">
        <v>394</v>
      </c>
      <c r="F1071">
        <v>7</v>
      </c>
      <c r="G1071">
        <v>42483</v>
      </c>
    </row>
    <row r="1072" spans="1:7" x14ac:dyDescent="0.35">
      <c r="A1072" t="s">
        <v>1461</v>
      </c>
      <c r="B1072" s="2">
        <v>45863</v>
      </c>
      <c r="C1072" t="s">
        <v>31</v>
      </c>
      <c r="D1072" t="s">
        <v>74</v>
      </c>
      <c r="E1072" t="s">
        <v>391</v>
      </c>
      <c r="F1072">
        <v>1</v>
      </c>
      <c r="G1072">
        <v>29966</v>
      </c>
    </row>
    <row r="1073" spans="1:7" x14ac:dyDescent="0.35">
      <c r="A1073" t="s">
        <v>1462</v>
      </c>
      <c r="B1073" s="2">
        <v>46013</v>
      </c>
      <c r="C1073" t="s">
        <v>13</v>
      </c>
      <c r="D1073" t="s">
        <v>291</v>
      </c>
      <c r="E1073" t="s">
        <v>391</v>
      </c>
      <c r="F1073">
        <v>1</v>
      </c>
      <c r="G1073">
        <v>30177</v>
      </c>
    </row>
    <row r="1074" spans="1:7" x14ac:dyDescent="0.35">
      <c r="A1074" t="s">
        <v>1463</v>
      </c>
      <c r="B1074" s="2">
        <v>45665</v>
      </c>
      <c r="C1074" t="s">
        <v>41</v>
      </c>
      <c r="D1074" t="s">
        <v>377</v>
      </c>
      <c r="E1074" t="s">
        <v>389</v>
      </c>
      <c r="F1074">
        <v>8</v>
      </c>
      <c r="G1074">
        <v>170096</v>
      </c>
    </row>
    <row r="1075" spans="1:7" x14ac:dyDescent="0.35">
      <c r="A1075" t="s">
        <v>1464</v>
      </c>
      <c r="B1075" s="2">
        <v>45739</v>
      </c>
      <c r="C1075" t="s">
        <v>51</v>
      </c>
      <c r="D1075" t="s">
        <v>351</v>
      </c>
      <c r="E1075" t="s">
        <v>394</v>
      </c>
      <c r="F1075">
        <v>1</v>
      </c>
      <c r="G1075">
        <v>31439</v>
      </c>
    </row>
    <row r="1076" spans="1:7" x14ac:dyDescent="0.35">
      <c r="A1076" t="s">
        <v>1465</v>
      </c>
      <c r="B1076" s="2">
        <v>45660</v>
      </c>
      <c r="C1076" t="s">
        <v>10</v>
      </c>
      <c r="D1076" t="s">
        <v>333</v>
      </c>
      <c r="E1076" t="s">
        <v>387</v>
      </c>
      <c r="F1076">
        <v>10</v>
      </c>
      <c r="G1076">
        <v>45160</v>
      </c>
    </row>
    <row r="1077" spans="1:7" x14ac:dyDescent="0.35">
      <c r="A1077" t="s">
        <v>1466</v>
      </c>
      <c r="B1077" s="2">
        <v>45972</v>
      </c>
      <c r="C1077" t="s">
        <v>4</v>
      </c>
      <c r="D1077" t="s">
        <v>297</v>
      </c>
      <c r="E1077" t="s">
        <v>403</v>
      </c>
      <c r="F1077">
        <v>5</v>
      </c>
      <c r="G1077">
        <v>59075</v>
      </c>
    </row>
    <row r="1078" spans="1:7" x14ac:dyDescent="0.35">
      <c r="A1078" t="s">
        <v>1467</v>
      </c>
      <c r="B1078" s="2">
        <v>46018</v>
      </c>
      <c r="C1078" t="s">
        <v>55</v>
      </c>
      <c r="D1078" t="s">
        <v>363</v>
      </c>
      <c r="E1078" t="s">
        <v>391</v>
      </c>
      <c r="F1078">
        <v>6</v>
      </c>
      <c r="G1078">
        <v>68490</v>
      </c>
    </row>
    <row r="1079" spans="1:7" x14ac:dyDescent="0.35">
      <c r="A1079" t="s">
        <v>1468</v>
      </c>
      <c r="B1079" s="2">
        <v>45700</v>
      </c>
      <c r="C1079" t="s">
        <v>39</v>
      </c>
      <c r="D1079" t="s">
        <v>293</v>
      </c>
      <c r="E1079" t="s">
        <v>389</v>
      </c>
      <c r="F1079">
        <v>7</v>
      </c>
      <c r="G1079">
        <v>338016</v>
      </c>
    </row>
    <row r="1080" spans="1:7" x14ac:dyDescent="0.35">
      <c r="A1080" t="s">
        <v>1469</v>
      </c>
      <c r="B1080" s="2">
        <v>45956</v>
      </c>
      <c r="C1080" t="s">
        <v>7</v>
      </c>
      <c r="D1080" t="s">
        <v>169</v>
      </c>
      <c r="E1080" t="s">
        <v>389</v>
      </c>
      <c r="F1080">
        <v>5</v>
      </c>
      <c r="G1080">
        <v>130665</v>
      </c>
    </row>
    <row r="1081" spans="1:7" x14ac:dyDescent="0.35">
      <c r="A1081" t="s">
        <v>1470</v>
      </c>
      <c r="B1081" s="2">
        <v>45692</v>
      </c>
      <c r="C1081" t="s">
        <v>57</v>
      </c>
      <c r="D1081" t="s">
        <v>271</v>
      </c>
      <c r="E1081" t="s">
        <v>391</v>
      </c>
      <c r="F1081">
        <v>4</v>
      </c>
      <c r="G1081">
        <v>195156</v>
      </c>
    </row>
    <row r="1082" spans="1:7" x14ac:dyDescent="0.35">
      <c r="A1082" t="s">
        <v>1471</v>
      </c>
      <c r="B1082" s="2">
        <v>45695</v>
      </c>
      <c r="C1082" t="s">
        <v>45</v>
      </c>
      <c r="D1082" t="s">
        <v>181</v>
      </c>
      <c r="E1082" t="s">
        <v>389</v>
      </c>
      <c r="F1082">
        <v>7</v>
      </c>
      <c r="G1082">
        <v>54782</v>
      </c>
    </row>
    <row r="1083" spans="1:7" x14ac:dyDescent="0.35">
      <c r="A1083" t="s">
        <v>1472</v>
      </c>
      <c r="B1083" s="2">
        <v>45936</v>
      </c>
      <c r="C1083" t="s">
        <v>10</v>
      </c>
      <c r="D1083" t="s">
        <v>299</v>
      </c>
      <c r="E1083" t="s">
        <v>389</v>
      </c>
      <c r="F1083">
        <v>2</v>
      </c>
      <c r="G1083">
        <v>9032</v>
      </c>
    </row>
    <row r="1084" spans="1:7" x14ac:dyDescent="0.35">
      <c r="A1084" t="s">
        <v>1473</v>
      </c>
      <c r="B1084" s="2">
        <v>45826</v>
      </c>
      <c r="C1084" t="s">
        <v>23</v>
      </c>
      <c r="D1084" t="s">
        <v>255</v>
      </c>
      <c r="E1084" t="s">
        <v>387</v>
      </c>
      <c r="F1084">
        <v>8</v>
      </c>
      <c r="G1084">
        <v>48552</v>
      </c>
    </row>
    <row r="1085" spans="1:7" x14ac:dyDescent="0.35">
      <c r="A1085" t="s">
        <v>1474</v>
      </c>
      <c r="B1085" s="2">
        <v>45766</v>
      </c>
      <c r="C1085" t="s">
        <v>65</v>
      </c>
      <c r="D1085" t="s">
        <v>175</v>
      </c>
      <c r="E1085" t="s">
        <v>387</v>
      </c>
      <c r="F1085">
        <v>4</v>
      </c>
      <c r="G1085">
        <v>2180</v>
      </c>
    </row>
    <row r="1086" spans="1:7" x14ac:dyDescent="0.35">
      <c r="A1086" t="s">
        <v>1475</v>
      </c>
      <c r="B1086" s="2">
        <v>45929</v>
      </c>
      <c r="C1086" t="s">
        <v>41</v>
      </c>
      <c r="D1086" t="s">
        <v>149</v>
      </c>
      <c r="E1086" t="s">
        <v>403</v>
      </c>
      <c r="F1086">
        <v>6</v>
      </c>
      <c r="G1086">
        <v>127572</v>
      </c>
    </row>
    <row r="1087" spans="1:7" x14ac:dyDescent="0.35">
      <c r="A1087" t="s">
        <v>1476</v>
      </c>
      <c r="B1087" s="2">
        <v>45899</v>
      </c>
      <c r="C1087" t="s">
        <v>45</v>
      </c>
      <c r="D1087" t="s">
        <v>299</v>
      </c>
      <c r="E1087" t="s">
        <v>387</v>
      </c>
      <c r="F1087">
        <v>3</v>
      </c>
      <c r="G1087">
        <v>23478</v>
      </c>
    </row>
    <row r="1088" spans="1:7" x14ac:dyDescent="0.35">
      <c r="A1088" t="s">
        <v>1477</v>
      </c>
      <c r="B1088" s="2">
        <v>45904</v>
      </c>
      <c r="C1088" t="s">
        <v>63</v>
      </c>
      <c r="D1088" t="s">
        <v>215</v>
      </c>
      <c r="E1088" t="s">
        <v>394</v>
      </c>
      <c r="F1088">
        <v>2</v>
      </c>
      <c r="G1088">
        <v>17536</v>
      </c>
    </row>
    <row r="1089" spans="1:7" x14ac:dyDescent="0.35">
      <c r="A1089" t="s">
        <v>1478</v>
      </c>
      <c r="B1089" s="2">
        <v>45770</v>
      </c>
      <c r="C1089" t="s">
        <v>21</v>
      </c>
      <c r="D1089" t="s">
        <v>295</v>
      </c>
      <c r="E1089" t="s">
        <v>391</v>
      </c>
      <c r="F1089">
        <v>8</v>
      </c>
      <c r="G1089">
        <v>121672</v>
      </c>
    </row>
    <row r="1090" spans="1:7" x14ac:dyDescent="0.35">
      <c r="A1090" t="s">
        <v>1479</v>
      </c>
      <c r="B1090" s="2">
        <v>45796</v>
      </c>
      <c r="C1090" t="s">
        <v>49</v>
      </c>
      <c r="D1090" t="s">
        <v>315</v>
      </c>
      <c r="E1090" t="s">
        <v>394</v>
      </c>
      <c r="F1090">
        <v>10</v>
      </c>
      <c r="G1090">
        <v>455140</v>
      </c>
    </row>
    <row r="1091" spans="1:7" x14ac:dyDescent="0.35">
      <c r="A1091" t="s">
        <v>1480</v>
      </c>
      <c r="B1091" s="2">
        <v>45792</v>
      </c>
      <c r="C1091" t="s">
        <v>53</v>
      </c>
      <c r="D1091" t="s">
        <v>275</v>
      </c>
      <c r="E1091" t="s">
        <v>387</v>
      </c>
      <c r="F1091">
        <v>7</v>
      </c>
      <c r="G1091">
        <v>29456</v>
      </c>
    </row>
    <row r="1092" spans="1:7" x14ac:dyDescent="0.35">
      <c r="A1092" t="s">
        <v>1481</v>
      </c>
      <c r="B1092" s="2">
        <v>45686</v>
      </c>
      <c r="C1092" t="s">
        <v>63</v>
      </c>
      <c r="D1092" t="s">
        <v>141</v>
      </c>
      <c r="E1092" t="s">
        <v>394</v>
      </c>
      <c r="F1092">
        <v>7</v>
      </c>
      <c r="G1092">
        <v>61376</v>
      </c>
    </row>
    <row r="1093" spans="1:7" x14ac:dyDescent="0.35">
      <c r="A1093" t="s">
        <v>1482</v>
      </c>
      <c r="B1093" s="2">
        <v>45893</v>
      </c>
      <c r="C1093" t="s">
        <v>13</v>
      </c>
      <c r="D1093" t="s">
        <v>315</v>
      </c>
      <c r="E1093" t="s">
        <v>403</v>
      </c>
      <c r="F1093">
        <v>3</v>
      </c>
      <c r="G1093">
        <v>90531</v>
      </c>
    </row>
    <row r="1094" spans="1:7" x14ac:dyDescent="0.35">
      <c r="A1094" t="s">
        <v>1483</v>
      </c>
      <c r="B1094" s="2">
        <v>45846</v>
      </c>
      <c r="C1094" t="s">
        <v>7</v>
      </c>
      <c r="D1094" t="s">
        <v>199</v>
      </c>
      <c r="E1094" t="s">
        <v>389</v>
      </c>
      <c r="F1094">
        <v>9</v>
      </c>
      <c r="G1094">
        <v>235197</v>
      </c>
    </row>
    <row r="1095" spans="1:7" x14ac:dyDescent="0.35">
      <c r="A1095" t="s">
        <v>1484</v>
      </c>
      <c r="B1095" s="2">
        <v>45919</v>
      </c>
      <c r="C1095" t="s">
        <v>65</v>
      </c>
      <c r="D1095" t="s">
        <v>111</v>
      </c>
      <c r="E1095" t="s">
        <v>391</v>
      </c>
      <c r="F1095">
        <v>2</v>
      </c>
      <c r="G1095">
        <v>1090</v>
      </c>
    </row>
    <row r="1096" spans="1:7" x14ac:dyDescent="0.35">
      <c r="A1096" t="s">
        <v>1485</v>
      </c>
      <c r="B1096" s="2">
        <v>45944</v>
      </c>
      <c r="C1096" t="s">
        <v>59</v>
      </c>
      <c r="D1096" t="s">
        <v>261</v>
      </c>
      <c r="E1096" t="s">
        <v>403</v>
      </c>
      <c r="F1096">
        <v>6</v>
      </c>
      <c r="G1096">
        <v>288636</v>
      </c>
    </row>
    <row r="1097" spans="1:7" x14ac:dyDescent="0.35">
      <c r="A1097" t="s">
        <v>1486</v>
      </c>
      <c r="B1097" s="2">
        <v>45873</v>
      </c>
      <c r="C1097" t="s">
        <v>59</v>
      </c>
      <c r="D1097" t="s">
        <v>78</v>
      </c>
      <c r="E1097" t="s">
        <v>403</v>
      </c>
      <c r="F1097">
        <v>8</v>
      </c>
      <c r="G1097">
        <v>384848</v>
      </c>
    </row>
    <row r="1098" spans="1:7" x14ac:dyDescent="0.35">
      <c r="A1098" t="s">
        <v>1487</v>
      </c>
      <c r="B1098" s="2">
        <v>45792</v>
      </c>
      <c r="C1098" t="s">
        <v>37</v>
      </c>
      <c r="D1098" t="s">
        <v>167</v>
      </c>
      <c r="E1098" t="s">
        <v>394</v>
      </c>
      <c r="F1098">
        <v>7</v>
      </c>
      <c r="G1098">
        <v>13671</v>
      </c>
    </row>
    <row r="1099" spans="1:7" x14ac:dyDescent="0.35">
      <c r="A1099" t="s">
        <v>1488</v>
      </c>
      <c r="B1099" s="2">
        <v>45908</v>
      </c>
      <c r="C1099" t="s">
        <v>49</v>
      </c>
      <c r="D1099" t="s">
        <v>135</v>
      </c>
      <c r="E1099" t="s">
        <v>391</v>
      </c>
      <c r="F1099">
        <v>3</v>
      </c>
      <c r="G1099">
        <v>136542</v>
      </c>
    </row>
    <row r="1100" spans="1:7" x14ac:dyDescent="0.35">
      <c r="A1100" t="s">
        <v>1489</v>
      </c>
      <c r="B1100" s="2">
        <v>45671</v>
      </c>
      <c r="C1100" t="s">
        <v>41</v>
      </c>
      <c r="D1100" t="s">
        <v>351</v>
      </c>
      <c r="E1100" t="s">
        <v>387</v>
      </c>
      <c r="F1100">
        <v>5</v>
      </c>
      <c r="G1100">
        <v>106310</v>
      </c>
    </row>
    <row r="1101" spans="1:7" x14ac:dyDescent="0.35">
      <c r="A1101" t="s">
        <v>1490</v>
      </c>
      <c r="B1101" s="2">
        <v>45890</v>
      </c>
      <c r="C1101" t="s">
        <v>37</v>
      </c>
      <c r="D1101" t="s">
        <v>239</v>
      </c>
      <c r="E1101" t="s">
        <v>391</v>
      </c>
      <c r="F1101">
        <v>3</v>
      </c>
      <c r="G1101">
        <v>5859</v>
      </c>
    </row>
    <row r="1102" spans="1:7" x14ac:dyDescent="0.35">
      <c r="A1102" t="s">
        <v>1491</v>
      </c>
      <c r="B1102" s="2">
        <v>45913</v>
      </c>
      <c r="C1102" t="s">
        <v>59</v>
      </c>
      <c r="D1102" t="s">
        <v>109</v>
      </c>
      <c r="E1102" t="s">
        <v>391</v>
      </c>
      <c r="F1102">
        <v>2</v>
      </c>
      <c r="G1102">
        <v>96212</v>
      </c>
    </row>
    <row r="1103" spans="1:7" x14ac:dyDescent="0.35">
      <c r="A1103" t="s">
        <v>1492</v>
      </c>
      <c r="B1103" s="2">
        <v>45890</v>
      </c>
      <c r="C1103" t="s">
        <v>25</v>
      </c>
      <c r="D1103" t="s">
        <v>269</v>
      </c>
      <c r="E1103" t="s">
        <v>389</v>
      </c>
      <c r="F1103">
        <v>1</v>
      </c>
      <c r="G1103">
        <v>18243</v>
      </c>
    </row>
    <row r="1104" spans="1:7" x14ac:dyDescent="0.35">
      <c r="A1104" t="s">
        <v>1493</v>
      </c>
      <c r="B1104" s="2">
        <v>46010</v>
      </c>
      <c r="C1104" t="s">
        <v>41</v>
      </c>
      <c r="D1104" t="s">
        <v>365</v>
      </c>
      <c r="E1104" t="s">
        <v>403</v>
      </c>
      <c r="F1104">
        <v>2</v>
      </c>
      <c r="G1104">
        <v>42524</v>
      </c>
    </row>
    <row r="1105" spans="1:7" x14ac:dyDescent="0.35">
      <c r="A1105" t="s">
        <v>1494</v>
      </c>
      <c r="B1105" s="2">
        <v>45795</v>
      </c>
      <c r="C1105" t="s">
        <v>19</v>
      </c>
      <c r="D1105" t="s">
        <v>91</v>
      </c>
      <c r="E1105" t="s">
        <v>403</v>
      </c>
      <c r="F1105">
        <v>2</v>
      </c>
      <c r="G1105">
        <v>84318</v>
      </c>
    </row>
    <row r="1106" spans="1:7" x14ac:dyDescent="0.35">
      <c r="A1106" t="s">
        <v>1495</v>
      </c>
      <c r="B1106" s="2">
        <v>45666</v>
      </c>
      <c r="C1106" t="s">
        <v>10</v>
      </c>
      <c r="D1106" t="s">
        <v>355</v>
      </c>
      <c r="E1106" t="s">
        <v>403</v>
      </c>
      <c r="F1106">
        <v>10</v>
      </c>
      <c r="G1106">
        <v>45160</v>
      </c>
    </row>
    <row r="1107" spans="1:7" x14ac:dyDescent="0.35">
      <c r="A1107" t="s">
        <v>1496</v>
      </c>
      <c r="B1107" s="2">
        <v>45861</v>
      </c>
      <c r="C1107" t="s">
        <v>49</v>
      </c>
      <c r="D1107" t="s">
        <v>239</v>
      </c>
      <c r="E1107" t="s">
        <v>387</v>
      </c>
      <c r="F1107">
        <v>4</v>
      </c>
      <c r="G1107">
        <v>182056</v>
      </c>
    </row>
    <row r="1108" spans="1:7" x14ac:dyDescent="0.35">
      <c r="A1108" t="s">
        <v>1497</v>
      </c>
      <c r="B1108" s="2">
        <v>45848</v>
      </c>
      <c r="C1108" t="s">
        <v>4</v>
      </c>
      <c r="D1108" t="s">
        <v>163</v>
      </c>
      <c r="E1108" t="s">
        <v>387</v>
      </c>
      <c r="F1108">
        <v>8</v>
      </c>
      <c r="G1108">
        <v>94520</v>
      </c>
    </row>
    <row r="1109" spans="1:7" x14ac:dyDescent="0.35">
      <c r="A1109" t="s">
        <v>1498</v>
      </c>
      <c r="B1109" s="2">
        <v>45923</v>
      </c>
      <c r="C1109" t="s">
        <v>13</v>
      </c>
      <c r="D1109" t="s">
        <v>297</v>
      </c>
      <c r="E1109" t="s">
        <v>391</v>
      </c>
      <c r="F1109">
        <v>10</v>
      </c>
      <c r="G1109">
        <v>301770</v>
      </c>
    </row>
    <row r="1110" spans="1:7" x14ac:dyDescent="0.35">
      <c r="A1110" t="s">
        <v>1499</v>
      </c>
      <c r="B1110" s="2">
        <v>45791</v>
      </c>
      <c r="C1110" t="s">
        <v>41</v>
      </c>
      <c r="D1110" t="s">
        <v>173</v>
      </c>
      <c r="E1110" t="s">
        <v>391</v>
      </c>
      <c r="F1110">
        <v>5</v>
      </c>
      <c r="G1110">
        <v>106310</v>
      </c>
    </row>
    <row r="1111" spans="1:7" x14ac:dyDescent="0.35">
      <c r="A1111" t="s">
        <v>1500</v>
      </c>
      <c r="B1111" s="2">
        <v>45965</v>
      </c>
      <c r="C1111" t="s">
        <v>4</v>
      </c>
      <c r="D1111" t="s">
        <v>297</v>
      </c>
      <c r="E1111" t="s">
        <v>394</v>
      </c>
      <c r="F1111">
        <v>5</v>
      </c>
      <c r="G1111">
        <v>59075</v>
      </c>
    </row>
    <row r="1112" spans="1:7" x14ac:dyDescent="0.35">
      <c r="A1112" t="s">
        <v>1501</v>
      </c>
      <c r="B1112" s="2">
        <v>45825</v>
      </c>
      <c r="C1112" t="s">
        <v>67</v>
      </c>
      <c r="D1112" t="s">
        <v>197</v>
      </c>
      <c r="E1112" t="s">
        <v>394</v>
      </c>
      <c r="F1112">
        <v>2</v>
      </c>
      <c r="G1112">
        <v>43232</v>
      </c>
    </row>
    <row r="1113" spans="1:7" x14ac:dyDescent="0.35">
      <c r="A1113" t="s">
        <v>1502</v>
      </c>
      <c r="B1113" s="2">
        <v>45784</v>
      </c>
      <c r="C1113" t="s">
        <v>33</v>
      </c>
      <c r="D1113" t="s">
        <v>173</v>
      </c>
      <c r="E1113" t="s">
        <v>394</v>
      </c>
      <c r="F1113">
        <v>2</v>
      </c>
      <c r="G1113">
        <v>72506</v>
      </c>
    </row>
    <row r="1114" spans="1:7" x14ac:dyDescent="0.35">
      <c r="A1114" t="s">
        <v>1503</v>
      </c>
      <c r="B1114" s="2">
        <v>45746</v>
      </c>
      <c r="C1114" t="s">
        <v>25</v>
      </c>
      <c r="D1114" t="s">
        <v>243</v>
      </c>
      <c r="E1114" t="s">
        <v>391</v>
      </c>
      <c r="F1114">
        <v>2</v>
      </c>
      <c r="G1114">
        <v>36486</v>
      </c>
    </row>
    <row r="1115" spans="1:7" x14ac:dyDescent="0.35">
      <c r="A1115" t="s">
        <v>1504</v>
      </c>
      <c r="B1115" s="2">
        <v>45705</v>
      </c>
      <c r="C1115" t="s">
        <v>37</v>
      </c>
      <c r="D1115" t="s">
        <v>95</v>
      </c>
      <c r="E1115" t="s">
        <v>394</v>
      </c>
      <c r="F1115">
        <v>2</v>
      </c>
      <c r="G1115">
        <v>3906</v>
      </c>
    </row>
    <row r="1116" spans="1:7" x14ac:dyDescent="0.35">
      <c r="A1116" t="s">
        <v>1505</v>
      </c>
      <c r="B1116" s="2">
        <v>45852</v>
      </c>
      <c r="C1116" t="s">
        <v>45</v>
      </c>
      <c r="D1116" t="s">
        <v>117</v>
      </c>
      <c r="E1116" t="s">
        <v>391</v>
      </c>
      <c r="F1116">
        <v>1</v>
      </c>
      <c r="G1116">
        <v>7826</v>
      </c>
    </row>
    <row r="1117" spans="1:7" x14ac:dyDescent="0.35">
      <c r="A1117" t="s">
        <v>1506</v>
      </c>
      <c r="B1117" s="2">
        <v>45986</v>
      </c>
      <c r="C1117" t="s">
        <v>49</v>
      </c>
      <c r="D1117" t="s">
        <v>199</v>
      </c>
      <c r="E1117" t="s">
        <v>387</v>
      </c>
      <c r="F1117">
        <v>2</v>
      </c>
      <c r="G1117">
        <v>91028</v>
      </c>
    </row>
    <row r="1118" spans="1:7" x14ac:dyDescent="0.35">
      <c r="A1118" t="s">
        <v>1507</v>
      </c>
      <c r="B1118" s="2">
        <v>45981</v>
      </c>
      <c r="C1118" t="s">
        <v>43</v>
      </c>
      <c r="D1118" t="s">
        <v>307</v>
      </c>
      <c r="E1118" t="s">
        <v>403</v>
      </c>
      <c r="F1118">
        <v>4</v>
      </c>
      <c r="G1118">
        <v>151300</v>
      </c>
    </row>
    <row r="1119" spans="1:7" x14ac:dyDescent="0.35">
      <c r="A1119" t="s">
        <v>1508</v>
      </c>
      <c r="B1119" s="2">
        <v>45860</v>
      </c>
      <c r="C1119" t="s">
        <v>4</v>
      </c>
      <c r="D1119" t="s">
        <v>271</v>
      </c>
      <c r="E1119" t="s">
        <v>394</v>
      </c>
      <c r="F1119">
        <v>3</v>
      </c>
      <c r="G1119">
        <v>35445</v>
      </c>
    </row>
    <row r="1120" spans="1:7" x14ac:dyDescent="0.35">
      <c r="A1120" t="s">
        <v>1509</v>
      </c>
      <c r="B1120" s="2">
        <v>45778</v>
      </c>
      <c r="C1120" t="s">
        <v>45</v>
      </c>
      <c r="D1120" t="s">
        <v>335</v>
      </c>
      <c r="E1120" t="s">
        <v>387</v>
      </c>
      <c r="F1120">
        <v>10</v>
      </c>
      <c r="G1120">
        <v>78260</v>
      </c>
    </row>
    <row r="1121" spans="1:7" x14ac:dyDescent="0.35">
      <c r="A1121" t="s">
        <v>1510</v>
      </c>
      <c r="B1121" s="2">
        <v>45968</v>
      </c>
      <c r="C1121" t="s">
        <v>33</v>
      </c>
      <c r="D1121" t="s">
        <v>247</v>
      </c>
      <c r="E1121" t="s">
        <v>403</v>
      </c>
      <c r="F1121">
        <v>10</v>
      </c>
      <c r="G1121">
        <v>362530</v>
      </c>
    </row>
    <row r="1122" spans="1:7" x14ac:dyDescent="0.35">
      <c r="A1122" t="s">
        <v>1511</v>
      </c>
      <c r="B1122" s="2">
        <v>45945</v>
      </c>
      <c r="C1122" t="s">
        <v>7</v>
      </c>
      <c r="D1122" t="s">
        <v>333</v>
      </c>
      <c r="E1122" t="s">
        <v>391</v>
      </c>
      <c r="F1122">
        <v>7</v>
      </c>
      <c r="G1122">
        <v>182931</v>
      </c>
    </row>
    <row r="1123" spans="1:7" x14ac:dyDescent="0.35">
      <c r="A1123" t="s">
        <v>1512</v>
      </c>
      <c r="B1123" s="2">
        <v>45782</v>
      </c>
      <c r="C1123" t="s">
        <v>61</v>
      </c>
      <c r="D1123" t="s">
        <v>311</v>
      </c>
      <c r="E1123" t="s">
        <v>387</v>
      </c>
      <c r="F1123">
        <v>1</v>
      </c>
      <c r="G1123">
        <v>25016</v>
      </c>
    </row>
    <row r="1124" spans="1:7" x14ac:dyDescent="0.35">
      <c r="A1124" t="s">
        <v>1513</v>
      </c>
      <c r="B1124" s="2">
        <v>45679</v>
      </c>
      <c r="C1124" t="s">
        <v>25</v>
      </c>
      <c r="D1124" t="s">
        <v>353</v>
      </c>
      <c r="E1124" t="s">
        <v>389</v>
      </c>
      <c r="F1124">
        <v>9</v>
      </c>
      <c r="G1124">
        <v>164187</v>
      </c>
    </row>
    <row r="1125" spans="1:7" x14ac:dyDescent="0.35">
      <c r="A1125" t="s">
        <v>1514</v>
      </c>
      <c r="B1125" s="2">
        <v>45738</v>
      </c>
      <c r="C1125" t="s">
        <v>61</v>
      </c>
      <c r="D1125" t="s">
        <v>177</v>
      </c>
      <c r="E1125" t="s">
        <v>389</v>
      </c>
      <c r="F1125">
        <v>8</v>
      </c>
      <c r="G1125">
        <v>200128</v>
      </c>
    </row>
    <row r="1126" spans="1:7" x14ac:dyDescent="0.35">
      <c r="A1126" t="s">
        <v>1515</v>
      </c>
      <c r="B1126" s="2">
        <v>45978</v>
      </c>
      <c r="C1126" t="s">
        <v>63</v>
      </c>
      <c r="D1126" t="s">
        <v>343</v>
      </c>
      <c r="E1126" t="s">
        <v>391</v>
      </c>
      <c r="F1126">
        <v>6</v>
      </c>
      <c r="G1126">
        <v>52608</v>
      </c>
    </row>
    <row r="1127" spans="1:7" x14ac:dyDescent="0.35">
      <c r="A1127" t="s">
        <v>1516</v>
      </c>
      <c r="B1127" s="2">
        <v>45779</v>
      </c>
      <c r="C1127" t="s">
        <v>31</v>
      </c>
      <c r="D1127" t="s">
        <v>237</v>
      </c>
      <c r="E1127" t="s">
        <v>389</v>
      </c>
      <c r="F1127">
        <v>9</v>
      </c>
      <c r="G1127">
        <v>269694</v>
      </c>
    </row>
    <row r="1128" spans="1:7" x14ac:dyDescent="0.35">
      <c r="A1128" t="s">
        <v>1517</v>
      </c>
      <c r="B1128" s="2">
        <v>45787</v>
      </c>
      <c r="C1128" t="s">
        <v>67</v>
      </c>
      <c r="D1128" t="s">
        <v>231</v>
      </c>
      <c r="E1128" t="s">
        <v>389</v>
      </c>
      <c r="F1128">
        <v>10</v>
      </c>
      <c r="G1128">
        <v>216160</v>
      </c>
    </row>
    <row r="1129" spans="1:7" x14ac:dyDescent="0.35">
      <c r="A1129" t="s">
        <v>1518</v>
      </c>
      <c r="B1129" s="2">
        <v>45919</v>
      </c>
      <c r="C1129" t="s">
        <v>31</v>
      </c>
      <c r="D1129" t="s">
        <v>155</v>
      </c>
      <c r="E1129" t="s">
        <v>391</v>
      </c>
      <c r="F1129">
        <v>5</v>
      </c>
      <c r="G1129">
        <v>149830</v>
      </c>
    </row>
    <row r="1130" spans="1:7" x14ac:dyDescent="0.35">
      <c r="A1130" t="s">
        <v>1519</v>
      </c>
      <c r="B1130" s="2">
        <v>45977</v>
      </c>
      <c r="C1130" t="s">
        <v>43</v>
      </c>
      <c r="D1130" t="s">
        <v>111</v>
      </c>
      <c r="E1130" t="s">
        <v>387</v>
      </c>
      <c r="F1130">
        <v>2</v>
      </c>
      <c r="G1130">
        <v>75650</v>
      </c>
    </row>
    <row r="1131" spans="1:7" x14ac:dyDescent="0.35">
      <c r="A1131" t="s">
        <v>1520</v>
      </c>
      <c r="B1131" s="2">
        <v>45711</v>
      </c>
      <c r="C1131" t="s">
        <v>61</v>
      </c>
      <c r="D1131" t="s">
        <v>189</v>
      </c>
      <c r="E1131" t="s">
        <v>387</v>
      </c>
      <c r="F1131">
        <v>10</v>
      </c>
      <c r="G1131">
        <v>250160</v>
      </c>
    </row>
    <row r="1132" spans="1:7" x14ac:dyDescent="0.35">
      <c r="A1132" t="s">
        <v>1521</v>
      </c>
      <c r="B1132" s="2">
        <v>45986</v>
      </c>
      <c r="C1132" t="s">
        <v>35</v>
      </c>
      <c r="D1132" t="s">
        <v>181</v>
      </c>
      <c r="E1132" t="s">
        <v>387</v>
      </c>
      <c r="F1132">
        <v>6</v>
      </c>
      <c r="G1132">
        <v>296760</v>
      </c>
    </row>
    <row r="1133" spans="1:7" x14ac:dyDescent="0.35">
      <c r="A1133" t="s">
        <v>1522</v>
      </c>
      <c r="B1133" s="2">
        <v>45972</v>
      </c>
      <c r="C1133" t="s">
        <v>57</v>
      </c>
      <c r="D1133" t="s">
        <v>301</v>
      </c>
      <c r="E1133" t="s">
        <v>387</v>
      </c>
      <c r="F1133">
        <v>7</v>
      </c>
      <c r="G1133">
        <v>341523</v>
      </c>
    </row>
    <row r="1134" spans="1:7" x14ac:dyDescent="0.35">
      <c r="A1134" t="s">
        <v>1523</v>
      </c>
      <c r="B1134" s="2">
        <v>45984</v>
      </c>
      <c r="C1134" t="s">
        <v>16</v>
      </c>
      <c r="D1134" t="s">
        <v>125</v>
      </c>
      <c r="E1134" t="s">
        <v>403</v>
      </c>
      <c r="F1134">
        <v>3</v>
      </c>
      <c r="G1134">
        <v>95886</v>
      </c>
    </row>
    <row r="1135" spans="1:7" x14ac:dyDescent="0.35">
      <c r="A1135" t="s">
        <v>1524</v>
      </c>
      <c r="B1135" s="2">
        <v>45687</v>
      </c>
      <c r="C1135" t="s">
        <v>23</v>
      </c>
      <c r="D1135" t="s">
        <v>359</v>
      </c>
      <c r="E1135" t="s">
        <v>394</v>
      </c>
      <c r="F1135">
        <v>9</v>
      </c>
      <c r="G1135">
        <v>54621</v>
      </c>
    </row>
    <row r="1136" spans="1:7" x14ac:dyDescent="0.35">
      <c r="A1136" t="s">
        <v>1525</v>
      </c>
      <c r="B1136" s="2">
        <v>45850</v>
      </c>
      <c r="C1136" t="s">
        <v>59</v>
      </c>
      <c r="D1136" t="s">
        <v>321</v>
      </c>
      <c r="E1136" t="s">
        <v>389</v>
      </c>
      <c r="F1136">
        <v>2</v>
      </c>
      <c r="G1136">
        <v>96212</v>
      </c>
    </row>
    <row r="1137" spans="1:7" x14ac:dyDescent="0.35">
      <c r="A1137" t="s">
        <v>1526</v>
      </c>
      <c r="B1137" s="2">
        <v>45888</v>
      </c>
      <c r="C1137" t="s">
        <v>27</v>
      </c>
      <c r="D1137" t="s">
        <v>271</v>
      </c>
      <c r="E1137" t="s">
        <v>403</v>
      </c>
      <c r="F1137">
        <v>8</v>
      </c>
      <c r="G1137">
        <v>301472</v>
      </c>
    </row>
    <row r="1138" spans="1:7" x14ac:dyDescent="0.35">
      <c r="A1138" t="s">
        <v>1527</v>
      </c>
      <c r="B1138" s="2">
        <v>45805</v>
      </c>
      <c r="C1138" t="s">
        <v>67</v>
      </c>
      <c r="D1138" t="s">
        <v>213</v>
      </c>
      <c r="E1138" t="s">
        <v>389</v>
      </c>
      <c r="F1138">
        <v>10</v>
      </c>
      <c r="G1138">
        <v>216160</v>
      </c>
    </row>
    <row r="1139" spans="1:7" x14ac:dyDescent="0.35">
      <c r="A1139" t="s">
        <v>1528</v>
      </c>
      <c r="B1139" s="2">
        <v>45995</v>
      </c>
      <c r="C1139" t="s">
        <v>4</v>
      </c>
      <c r="D1139" t="s">
        <v>151</v>
      </c>
      <c r="E1139" t="s">
        <v>389</v>
      </c>
      <c r="F1139">
        <v>2</v>
      </c>
      <c r="G1139">
        <v>23630</v>
      </c>
    </row>
    <row r="1140" spans="1:7" x14ac:dyDescent="0.35">
      <c r="A1140" t="s">
        <v>1529</v>
      </c>
      <c r="B1140" s="2">
        <v>45932</v>
      </c>
      <c r="C1140" t="s">
        <v>63</v>
      </c>
      <c r="D1140" t="s">
        <v>179</v>
      </c>
      <c r="E1140" t="s">
        <v>403</v>
      </c>
      <c r="F1140">
        <v>2</v>
      </c>
      <c r="G1140">
        <v>17536</v>
      </c>
    </row>
    <row r="1141" spans="1:7" x14ac:dyDescent="0.35">
      <c r="A1141" t="s">
        <v>1530</v>
      </c>
      <c r="B1141" s="2">
        <v>45833</v>
      </c>
      <c r="C1141" t="s">
        <v>53</v>
      </c>
      <c r="D1141" t="s">
        <v>167</v>
      </c>
      <c r="E1141" t="s">
        <v>391</v>
      </c>
      <c r="F1141">
        <v>8</v>
      </c>
      <c r="G1141">
        <v>33664</v>
      </c>
    </row>
    <row r="1142" spans="1:7" x14ac:dyDescent="0.35">
      <c r="A1142" t="s">
        <v>1531</v>
      </c>
      <c r="B1142" s="2">
        <v>45770</v>
      </c>
      <c r="C1142" t="s">
        <v>25</v>
      </c>
      <c r="D1142" t="s">
        <v>107</v>
      </c>
      <c r="E1142" t="s">
        <v>387</v>
      </c>
      <c r="F1142">
        <v>7</v>
      </c>
      <c r="G1142">
        <v>127701</v>
      </c>
    </row>
    <row r="1143" spans="1:7" x14ac:dyDescent="0.35">
      <c r="A1143" t="s">
        <v>1532</v>
      </c>
      <c r="B1143" s="2">
        <v>45808</v>
      </c>
      <c r="C1143" t="s">
        <v>4</v>
      </c>
      <c r="D1143" t="s">
        <v>327</v>
      </c>
      <c r="E1143" t="s">
        <v>389</v>
      </c>
      <c r="F1143">
        <v>1</v>
      </c>
      <c r="G1143">
        <v>11815</v>
      </c>
    </row>
    <row r="1144" spans="1:7" x14ac:dyDescent="0.35">
      <c r="A1144" t="s">
        <v>1533</v>
      </c>
      <c r="B1144" s="2">
        <v>45732</v>
      </c>
      <c r="C1144" t="s">
        <v>7</v>
      </c>
      <c r="D1144" t="s">
        <v>269</v>
      </c>
      <c r="E1144" t="s">
        <v>387</v>
      </c>
      <c r="F1144">
        <v>7</v>
      </c>
      <c r="G1144">
        <v>182931</v>
      </c>
    </row>
    <row r="1145" spans="1:7" x14ac:dyDescent="0.35">
      <c r="A1145" t="s">
        <v>1534</v>
      </c>
      <c r="B1145" s="2">
        <v>45913</v>
      </c>
      <c r="C1145" t="s">
        <v>65</v>
      </c>
      <c r="D1145" t="s">
        <v>373</v>
      </c>
      <c r="E1145" t="s">
        <v>389</v>
      </c>
      <c r="F1145">
        <v>9</v>
      </c>
      <c r="G1145">
        <v>4905</v>
      </c>
    </row>
    <row r="1146" spans="1:7" x14ac:dyDescent="0.35">
      <c r="A1146" t="s">
        <v>1535</v>
      </c>
      <c r="B1146" s="2">
        <v>45732</v>
      </c>
      <c r="C1146" t="s">
        <v>10</v>
      </c>
      <c r="D1146" t="s">
        <v>289</v>
      </c>
      <c r="E1146" t="s">
        <v>403</v>
      </c>
      <c r="F1146">
        <v>3</v>
      </c>
      <c r="G1146">
        <v>13548</v>
      </c>
    </row>
    <row r="1147" spans="1:7" x14ac:dyDescent="0.35">
      <c r="A1147" t="s">
        <v>1536</v>
      </c>
      <c r="B1147" s="2">
        <v>45805</v>
      </c>
      <c r="C1147" t="s">
        <v>31</v>
      </c>
      <c r="D1147" t="s">
        <v>377</v>
      </c>
      <c r="E1147" t="s">
        <v>389</v>
      </c>
      <c r="F1147">
        <v>4</v>
      </c>
      <c r="G1147">
        <v>119864</v>
      </c>
    </row>
    <row r="1148" spans="1:7" x14ac:dyDescent="0.35">
      <c r="A1148" t="s">
        <v>1537</v>
      </c>
      <c r="B1148" s="2">
        <v>45696</v>
      </c>
      <c r="C1148" t="s">
        <v>51</v>
      </c>
      <c r="D1148" t="s">
        <v>243</v>
      </c>
      <c r="E1148" t="s">
        <v>389</v>
      </c>
      <c r="F1148">
        <v>9</v>
      </c>
      <c r="G1148">
        <v>282951</v>
      </c>
    </row>
    <row r="1149" spans="1:7" x14ac:dyDescent="0.35">
      <c r="A1149" t="s">
        <v>1538</v>
      </c>
      <c r="B1149" s="2">
        <v>45795</v>
      </c>
      <c r="C1149" t="s">
        <v>25</v>
      </c>
      <c r="D1149" t="s">
        <v>329</v>
      </c>
      <c r="E1149" t="s">
        <v>391</v>
      </c>
      <c r="F1149">
        <v>5</v>
      </c>
      <c r="G1149">
        <v>91215</v>
      </c>
    </row>
    <row r="1150" spans="1:7" x14ac:dyDescent="0.35">
      <c r="A1150" t="s">
        <v>1539</v>
      </c>
      <c r="B1150" s="2">
        <v>45939</v>
      </c>
      <c r="C1150" t="s">
        <v>4</v>
      </c>
      <c r="D1150" t="s">
        <v>367</v>
      </c>
      <c r="E1150" t="s">
        <v>391</v>
      </c>
      <c r="F1150">
        <v>5</v>
      </c>
      <c r="G1150">
        <v>59075</v>
      </c>
    </row>
    <row r="1151" spans="1:7" x14ac:dyDescent="0.35">
      <c r="A1151" t="s">
        <v>1540</v>
      </c>
      <c r="B1151" s="2">
        <v>45766</v>
      </c>
      <c r="C1151" t="s">
        <v>47</v>
      </c>
      <c r="D1151" t="s">
        <v>265</v>
      </c>
      <c r="E1151" t="s">
        <v>394</v>
      </c>
      <c r="F1151">
        <v>2</v>
      </c>
      <c r="G1151">
        <v>44124</v>
      </c>
    </row>
    <row r="1152" spans="1:7" x14ac:dyDescent="0.35">
      <c r="A1152" t="s">
        <v>1541</v>
      </c>
      <c r="B1152" s="2">
        <v>45754</v>
      </c>
      <c r="C1152" t="s">
        <v>61</v>
      </c>
      <c r="D1152" t="s">
        <v>167</v>
      </c>
      <c r="E1152" t="s">
        <v>394</v>
      </c>
      <c r="F1152">
        <v>9</v>
      </c>
      <c r="G1152">
        <v>225144</v>
      </c>
    </row>
    <row r="1153" spans="1:7" x14ac:dyDescent="0.35">
      <c r="A1153" t="s">
        <v>1542</v>
      </c>
      <c r="B1153" s="2">
        <v>45912</v>
      </c>
      <c r="C1153" t="s">
        <v>39</v>
      </c>
      <c r="D1153" t="s">
        <v>343</v>
      </c>
      <c r="E1153" t="s">
        <v>391</v>
      </c>
      <c r="F1153">
        <v>3</v>
      </c>
      <c r="G1153">
        <v>144864</v>
      </c>
    </row>
    <row r="1154" spans="1:7" x14ac:dyDescent="0.35">
      <c r="A1154" t="s">
        <v>1543</v>
      </c>
      <c r="B1154" s="2">
        <v>45894</v>
      </c>
      <c r="C1154" t="s">
        <v>7</v>
      </c>
      <c r="D1154" t="s">
        <v>375</v>
      </c>
      <c r="E1154" t="s">
        <v>394</v>
      </c>
      <c r="F1154">
        <v>7</v>
      </c>
      <c r="G1154">
        <v>182931</v>
      </c>
    </row>
    <row r="1155" spans="1:7" x14ac:dyDescent="0.35">
      <c r="A1155" t="s">
        <v>1544</v>
      </c>
      <c r="B1155" s="2">
        <v>45849</v>
      </c>
      <c r="C1155" t="s">
        <v>10</v>
      </c>
      <c r="D1155" t="s">
        <v>139</v>
      </c>
      <c r="E1155" t="s">
        <v>391</v>
      </c>
      <c r="F1155">
        <v>5</v>
      </c>
      <c r="G1155">
        <v>22580</v>
      </c>
    </row>
    <row r="1156" spans="1:7" x14ac:dyDescent="0.35">
      <c r="A1156" t="s">
        <v>1545</v>
      </c>
      <c r="B1156" s="2">
        <v>45849</v>
      </c>
      <c r="C1156" t="s">
        <v>35</v>
      </c>
      <c r="D1156" t="s">
        <v>151</v>
      </c>
      <c r="E1156" t="s">
        <v>387</v>
      </c>
      <c r="F1156">
        <v>7</v>
      </c>
      <c r="G1156">
        <v>346220</v>
      </c>
    </row>
    <row r="1157" spans="1:7" x14ac:dyDescent="0.35">
      <c r="A1157" t="s">
        <v>1546</v>
      </c>
      <c r="B1157" s="2">
        <v>45827</v>
      </c>
      <c r="C1157" t="s">
        <v>31</v>
      </c>
      <c r="D1157" t="s">
        <v>305</v>
      </c>
      <c r="E1157" t="s">
        <v>403</v>
      </c>
      <c r="F1157">
        <v>4</v>
      </c>
      <c r="G1157">
        <v>119864</v>
      </c>
    </row>
    <row r="1158" spans="1:7" x14ac:dyDescent="0.35">
      <c r="A1158" t="s">
        <v>1547</v>
      </c>
      <c r="B1158" s="2">
        <v>45817</v>
      </c>
      <c r="C1158" t="s">
        <v>49</v>
      </c>
      <c r="D1158" t="s">
        <v>285</v>
      </c>
      <c r="E1158" t="s">
        <v>391</v>
      </c>
      <c r="F1158">
        <v>9</v>
      </c>
      <c r="G1158">
        <v>409626</v>
      </c>
    </row>
    <row r="1159" spans="1:7" x14ac:dyDescent="0.35">
      <c r="A1159" t="s">
        <v>1548</v>
      </c>
      <c r="B1159" s="2">
        <v>45744</v>
      </c>
      <c r="C1159" t="s">
        <v>35</v>
      </c>
      <c r="D1159" t="s">
        <v>361</v>
      </c>
      <c r="E1159" t="s">
        <v>391</v>
      </c>
      <c r="F1159">
        <v>2</v>
      </c>
      <c r="G1159">
        <v>98920</v>
      </c>
    </row>
    <row r="1160" spans="1:7" x14ac:dyDescent="0.35">
      <c r="A1160" t="s">
        <v>1549</v>
      </c>
      <c r="B1160" s="2">
        <v>45821</v>
      </c>
      <c r="C1160" t="s">
        <v>16</v>
      </c>
      <c r="D1160" t="s">
        <v>255</v>
      </c>
      <c r="E1160" t="s">
        <v>394</v>
      </c>
      <c r="F1160">
        <v>6</v>
      </c>
      <c r="G1160">
        <v>191772</v>
      </c>
    </row>
    <row r="1161" spans="1:7" x14ac:dyDescent="0.35">
      <c r="A1161" t="s">
        <v>1550</v>
      </c>
      <c r="B1161" s="2">
        <v>45896</v>
      </c>
      <c r="C1161" t="s">
        <v>53</v>
      </c>
      <c r="D1161" t="s">
        <v>357</v>
      </c>
      <c r="E1161" t="s">
        <v>391</v>
      </c>
      <c r="F1161">
        <v>1</v>
      </c>
      <c r="G1161">
        <v>4208</v>
      </c>
    </row>
    <row r="1162" spans="1:7" x14ac:dyDescent="0.35">
      <c r="A1162" t="s">
        <v>1551</v>
      </c>
      <c r="B1162" s="2">
        <v>46001</v>
      </c>
      <c r="C1162" t="s">
        <v>63</v>
      </c>
      <c r="D1162" t="s">
        <v>207</v>
      </c>
      <c r="E1162" t="s">
        <v>403</v>
      </c>
      <c r="F1162">
        <v>3</v>
      </c>
      <c r="G1162">
        <v>26304</v>
      </c>
    </row>
    <row r="1163" spans="1:7" x14ac:dyDescent="0.35">
      <c r="A1163" t="s">
        <v>1552</v>
      </c>
      <c r="B1163" s="2">
        <v>45779</v>
      </c>
      <c r="C1163" t="s">
        <v>41</v>
      </c>
      <c r="D1163" t="s">
        <v>355</v>
      </c>
      <c r="E1163" t="s">
        <v>403</v>
      </c>
      <c r="F1163">
        <v>2</v>
      </c>
      <c r="G1163">
        <v>42524</v>
      </c>
    </row>
    <row r="1164" spans="1:7" x14ac:dyDescent="0.35">
      <c r="A1164" t="s">
        <v>1553</v>
      </c>
      <c r="B1164" s="2">
        <v>45745</v>
      </c>
      <c r="C1164" t="s">
        <v>16</v>
      </c>
      <c r="D1164" t="s">
        <v>333</v>
      </c>
      <c r="E1164" t="s">
        <v>391</v>
      </c>
      <c r="F1164">
        <v>9</v>
      </c>
      <c r="G1164">
        <v>287658</v>
      </c>
    </row>
    <row r="1165" spans="1:7" x14ac:dyDescent="0.35">
      <c r="A1165" t="s">
        <v>1554</v>
      </c>
      <c r="B1165" s="2">
        <v>45678</v>
      </c>
      <c r="C1165" t="s">
        <v>49</v>
      </c>
      <c r="D1165" t="s">
        <v>131</v>
      </c>
      <c r="E1165" t="s">
        <v>403</v>
      </c>
      <c r="F1165">
        <v>5</v>
      </c>
      <c r="G1165">
        <v>227570</v>
      </c>
    </row>
    <row r="1166" spans="1:7" x14ac:dyDescent="0.35">
      <c r="A1166" t="s">
        <v>1555</v>
      </c>
      <c r="B1166" s="2">
        <v>45714</v>
      </c>
      <c r="C1166" t="s">
        <v>19</v>
      </c>
      <c r="D1166" t="s">
        <v>205</v>
      </c>
      <c r="E1166" t="s">
        <v>387</v>
      </c>
      <c r="F1166">
        <v>8</v>
      </c>
      <c r="G1166">
        <v>337272</v>
      </c>
    </row>
    <row r="1167" spans="1:7" x14ac:dyDescent="0.35">
      <c r="A1167" t="s">
        <v>1556</v>
      </c>
      <c r="B1167" s="2">
        <v>45838</v>
      </c>
      <c r="C1167" t="s">
        <v>63</v>
      </c>
      <c r="D1167" t="s">
        <v>127</v>
      </c>
      <c r="E1167" t="s">
        <v>394</v>
      </c>
      <c r="F1167">
        <v>2</v>
      </c>
      <c r="G1167">
        <v>17536</v>
      </c>
    </row>
    <row r="1168" spans="1:7" x14ac:dyDescent="0.35">
      <c r="A1168" t="s">
        <v>1557</v>
      </c>
      <c r="B1168" s="2">
        <v>45937</v>
      </c>
      <c r="C1168" t="s">
        <v>33</v>
      </c>
      <c r="D1168" t="s">
        <v>88</v>
      </c>
      <c r="E1168" t="s">
        <v>391</v>
      </c>
      <c r="F1168">
        <v>4</v>
      </c>
      <c r="G1168">
        <v>145012</v>
      </c>
    </row>
    <row r="1169" spans="1:7" x14ac:dyDescent="0.35">
      <c r="A1169" t="s">
        <v>1558</v>
      </c>
      <c r="B1169" s="2">
        <v>45959</v>
      </c>
      <c r="C1169" t="s">
        <v>29</v>
      </c>
      <c r="D1169" t="s">
        <v>191</v>
      </c>
      <c r="E1169" t="s">
        <v>389</v>
      </c>
      <c r="F1169">
        <v>8</v>
      </c>
      <c r="G1169">
        <v>341152</v>
      </c>
    </row>
    <row r="1170" spans="1:7" x14ac:dyDescent="0.35">
      <c r="A1170" t="s">
        <v>1559</v>
      </c>
      <c r="B1170" s="2">
        <v>45715</v>
      </c>
      <c r="C1170" t="s">
        <v>41</v>
      </c>
      <c r="D1170" t="s">
        <v>319</v>
      </c>
      <c r="E1170" t="s">
        <v>403</v>
      </c>
      <c r="F1170">
        <v>6</v>
      </c>
      <c r="G1170">
        <v>127572</v>
      </c>
    </row>
    <row r="1171" spans="1:7" x14ac:dyDescent="0.35">
      <c r="A1171" t="s">
        <v>1560</v>
      </c>
      <c r="B1171" s="2">
        <v>45726</v>
      </c>
      <c r="C1171" t="s">
        <v>39</v>
      </c>
      <c r="D1171" t="s">
        <v>123</v>
      </c>
      <c r="E1171" t="s">
        <v>394</v>
      </c>
      <c r="F1171">
        <v>3</v>
      </c>
      <c r="G1171">
        <v>144864</v>
      </c>
    </row>
    <row r="1172" spans="1:7" x14ac:dyDescent="0.35">
      <c r="A1172" t="s">
        <v>1561</v>
      </c>
      <c r="B1172" s="2">
        <v>45957</v>
      </c>
      <c r="C1172" t="s">
        <v>65</v>
      </c>
      <c r="D1172" t="s">
        <v>209</v>
      </c>
      <c r="E1172" t="s">
        <v>389</v>
      </c>
      <c r="F1172">
        <v>9</v>
      </c>
      <c r="G1172">
        <v>4905</v>
      </c>
    </row>
    <row r="1173" spans="1:7" x14ac:dyDescent="0.35">
      <c r="A1173" t="s">
        <v>1562</v>
      </c>
      <c r="B1173" s="2">
        <v>45738</v>
      </c>
      <c r="C1173" t="s">
        <v>47</v>
      </c>
      <c r="D1173" t="s">
        <v>123</v>
      </c>
      <c r="E1173" t="s">
        <v>387</v>
      </c>
      <c r="F1173">
        <v>6</v>
      </c>
      <c r="G1173">
        <v>132372</v>
      </c>
    </row>
    <row r="1174" spans="1:7" x14ac:dyDescent="0.35">
      <c r="A1174" t="s">
        <v>1563</v>
      </c>
      <c r="B1174" s="2">
        <v>45752</v>
      </c>
      <c r="C1174" t="s">
        <v>13</v>
      </c>
      <c r="D1174" t="s">
        <v>159</v>
      </c>
      <c r="E1174" t="s">
        <v>391</v>
      </c>
      <c r="F1174">
        <v>5</v>
      </c>
      <c r="G1174">
        <v>150885</v>
      </c>
    </row>
    <row r="1175" spans="1:7" x14ac:dyDescent="0.35">
      <c r="A1175" t="s">
        <v>1564</v>
      </c>
      <c r="B1175" s="2">
        <v>45813</v>
      </c>
      <c r="C1175" t="s">
        <v>39</v>
      </c>
      <c r="D1175" t="s">
        <v>165</v>
      </c>
      <c r="E1175" t="s">
        <v>387</v>
      </c>
      <c r="F1175">
        <v>8</v>
      </c>
      <c r="G1175">
        <v>386304</v>
      </c>
    </row>
    <row r="1176" spans="1:7" x14ac:dyDescent="0.35">
      <c r="A1176" t="s">
        <v>1565</v>
      </c>
      <c r="B1176" s="2">
        <v>45896</v>
      </c>
      <c r="C1176" t="s">
        <v>33</v>
      </c>
      <c r="D1176" t="s">
        <v>221</v>
      </c>
      <c r="E1176" t="s">
        <v>387</v>
      </c>
      <c r="F1176">
        <v>4</v>
      </c>
      <c r="G1176">
        <v>145012</v>
      </c>
    </row>
    <row r="1177" spans="1:7" x14ac:dyDescent="0.35">
      <c r="A1177" t="s">
        <v>1566</v>
      </c>
      <c r="B1177" s="2">
        <v>45772</v>
      </c>
      <c r="C1177" t="s">
        <v>59</v>
      </c>
      <c r="D1177" t="s">
        <v>265</v>
      </c>
      <c r="E1177" t="s">
        <v>403</v>
      </c>
      <c r="F1177">
        <v>10</v>
      </c>
      <c r="G1177">
        <v>481060</v>
      </c>
    </row>
    <row r="1178" spans="1:7" x14ac:dyDescent="0.35">
      <c r="A1178" t="s">
        <v>1567</v>
      </c>
      <c r="B1178" s="2">
        <v>45976</v>
      </c>
      <c r="C1178" t="s">
        <v>33</v>
      </c>
      <c r="D1178" t="s">
        <v>143</v>
      </c>
      <c r="E1178" t="s">
        <v>387</v>
      </c>
      <c r="F1178">
        <v>3</v>
      </c>
      <c r="G1178">
        <v>108759</v>
      </c>
    </row>
    <row r="1179" spans="1:7" x14ac:dyDescent="0.35">
      <c r="A1179" t="s">
        <v>1568</v>
      </c>
      <c r="B1179" s="2">
        <v>46014</v>
      </c>
      <c r="C1179" t="s">
        <v>51</v>
      </c>
      <c r="D1179" t="s">
        <v>221</v>
      </c>
      <c r="E1179" t="s">
        <v>389</v>
      </c>
      <c r="F1179">
        <v>6</v>
      </c>
      <c r="G1179">
        <v>188634</v>
      </c>
    </row>
    <row r="1180" spans="1:7" x14ac:dyDescent="0.35">
      <c r="A1180" t="s">
        <v>1569</v>
      </c>
      <c r="B1180" s="2">
        <v>45878</v>
      </c>
      <c r="C1180" t="s">
        <v>61</v>
      </c>
      <c r="D1180" t="s">
        <v>113</v>
      </c>
      <c r="E1180" t="s">
        <v>403</v>
      </c>
      <c r="F1180">
        <v>5</v>
      </c>
      <c r="G1180">
        <v>125080</v>
      </c>
    </row>
    <row r="1181" spans="1:7" x14ac:dyDescent="0.35">
      <c r="A1181" t="s">
        <v>1570</v>
      </c>
      <c r="B1181" s="2">
        <v>45953</v>
      </c>
      <c r="C1181" t="s">
        <v>57</v>
      </c>
      <c r="D1181" t="s">
        <v>103</v>
      </c>
      <c r="E1181" t="s">
        <v>394</v>
      </c>
      <c r="F1181">
        <v>8</v>
      </c>
      <c r="G1181">
        <v>390312</v>
      </c>
    </row>
    <row r="1182" spans="1:7" x14ac:dyDescent="0.35">
      <c r="A1182" t="s">
        <v>1571</v>
      </c>
      <c r="B1182" s="2">
        <v>45819</v>
      </c>
      <c r="C1182" t="s">
        <v>37</v>
      </c>
      <c r="D1182" t="s">
        <v>347</v>
      </c>
      <c r="E1182" t="s">
        <v>403</v>
      </c>
      <c r="F1182">
        <v>1</v>
      </c>
      <c r="G1182">
        <v>1953</v>
      </c>
    </row>
    <row r="1183" spans="1:7" x14ac:dyDescent="0.35">
      <c r="A1183" t="s">
        <v>1572</v>
      </c>
      <c r="B1183" s="2">
        <v>45765</v>
      </c>
      <c r="C1183" t="s">
        <v>41</v>
      </c>
      <c r="D1183" t="s">
        <v>237</v>
      </c>
      <c r="E1183" t="s">
        <v>403</v>
      </c>
      <c r="F1183">
        <v>10</v>
      </c>
      <c r="G1183">
        <v>212620</v>
      </c>
    </row>
    <row r="1184" spans="1:7" x14ac:dyDescent="0.35">
      <c r="A1184" t="s">
        <v>1573</v>
      </c>
      <c r="B1184" s="2">
        <v>45833</v>
      </c>
      <c r="C1184" t="s">
        <v>37</v>
      </c>
      <c r="D1184" t="s">
        <v>111</v>
      </c>
      <c r="E1184" t="s">
        <v>403</v>
      </c>
      <c r="F1184">
        <v>6</v>
      </c>
      <c r="G1184">
        <v>11718</v>
      </c>
    </row>
    <row r="1185" spans="1:7" x14ac:dyDescent="0.35">
      <c r="A1185" t="s">
        <v>1574</v>
      </c>
      <c r="B1185" s="2">
        <v>45690</v>
      </c>
      <c r="C1185" t="s">
        <v>61</v>
      </c>
      <c r="D1185" t="s">
        <v>159</v>
      </c>
      <c r="E1185" t="s">
        <v>394</v>
      </c>
      <c r="F1185">
        <v>5</v>
      </c>
      <c r="G1185">
        <v>125080</v>
      </c>
    </row>
    <row r="1186" spans="1:7" x14ac:dyDescent="0.35">
      <c r="A1186" t="s">
        <v>1575</v>
      </c>
      <c r="B1186" s="2">
        <v>45672</v>
      </c>
      <c r="C1186" t="s">
        <v>33</v>
      </c>
      <c r="D1186" t="s">
        <v>281</v>
      </c>
      <c r="E1186" t="s">
        <v>403</v>
      </c>
      <c r="F1186">
        <v>10</v>
      </c>
      <c r="G1186">
        <v>362530</v>
      </c>
    </row>
    <row r="1187" spans="1:7" x14ac:dyDescent="0.35">
      <c r="A1187" t="s">
        <v>1576</v>
      </c>
      <c r="B1187" s="2">
        <v>45828</v>
      </c>
      <c r="C1187" t="s">
        <v>45</v>
      </c>
      <c r="D1187" t="s">
        <v>109</v>
      </c>
      <c r="E1187" t="s">
        <v>403</v>
      </c>
      <c r="F1187">
        <v>6</v>
      </c>
      <c r="G1187">
        <v>46956</v>
      </c>
    </row>
    <row r="1188" spans="1:7" x14ac:dyDescent="0.35">
      <c r="A1188" t="s">
        <v>1577</v>
      </c>
      <c r="B1188" s="2">
        <v>45861</v>
      </c>
      <c r="C1188" t="s">
        <v>63</v>
      </c>
      <c r="D1188" t="s">
        <v>211</v>
      </c>
      <c r="E1188" t="s">
        <v>387</v>
      </c>
      <c r="F1188">
        <v>2</v>
      </c>
      <c r="G1188">
        <v>17536</v>
      </c>
    </row>
    <row r="1189" spans="1:7" x14ac:dyDescent="0.35">
      <c r="A1189" t="s">
        <v>1578</v>
      </c>
      <c r="B1189" s="2">
        <v>45982</v>
      </c>
      <c r="C1189" t="s">
        <v>25</v>
      </c>
      <c r="D1189" t="s">
        <v>373</v>
      </c>
      <c r="E1189" t="s">
        <v>391</v>
      </c>
      <c r="F1189">
        <v>9</v>
      </c>
      <c r="G1189">
        <v>164187</v>
      </c>
    </row>
    <row r="1190" spans="1:7" x14ac:dyDescent="0.35">
      <c r="A1190" t="s">
        <v>1579</v>
      </c>
      <c r="B1190" s="2">
        <v>45734</v>
      </c>
      <c r="C1190" t="s">
        <v>41</v>
      </c>
      <c r="D1190" t="s">
        <v>109</v>
      </c>
      <c r="E1190" t="s">
        <v>394</v>
      </c>
      <c r="F1190">
        <v>3</v>
      </c>
      <c r="G1190">
        <v>63786</v>
      </c>
    </row>
    <row r="1191" spans="1:7" x14ac:dyDescent="0.35">
      <c r="A1191" t="s">
        <v>1580</v>
      </c>
      <c r="B1191" s="2">
        <v>45978</v>
      </c>
      <c r="C1191" t="s">
        <v>7</v>
      </c>
      <c r="D1191" t="s">
        <v>373</v>
      </c>
      <c r="E1191" t="s">
        <v>403</v>
      </c>
      <c r="F1191">
        <v>2</v>
      </c>
      <c r="G1191">
        <v>52266</v>
      </c>
    </row>
    <row r="1192" spans="1:7" x14ac:dyDescent="0.35">
      <c r="A1192" t="s">
        <v>1581</v>
      </c>
      <c r="B1192" s="2">
        <v>46006</v>
      </c>
      <c r="C1192" t="s">
        <v>53</v>
      </c>
      <c r="D1192" t="s">
        <v>107</v>
      </c>
      <c r="E1192" t="s">
        <v>389</v>
      </c>
      <c r="F1192">
        <v>2</v>
      </c>
      <c r="G1192">
        <v>8416</v>
      </c>
    </row>
    <row r="1193" spans="1:7" x14ac:dyDescent="0.35">
      <c r="A1193" t="s">
        <v>1582</v>
      </c>
      <c r="B1193" s="2">
        <v>45712</v>
      </c>
      <c r="C1193" t="s">
        <v>67</v>
      </c>
      <c r="D1193" t="s">
        <v>327</v>
      </c>
      <c r="E1193" t="s">
        <v>403</v>
      </c>
      <c r="F1193">
        <v>4</v>
      </c>
      <c r="G1193">
        <v>86464</v>
      </c>
    </row>
    <row r="1194" spans="1:7" x14ac:dyDescent="0.35">
      <c r="A1194" t="s">
        <v>1583</v>
      </c>
      <c r="B1194" s="2">
        <v>45970</v>
      </c>
      <c r="C1194" t="s">
        <v>10</v>
      </c>
      <c r="D1194" t="s">
        <v>255</v>
      </c>
      <c r="E1194" t="s">
        <v>389</v>
      </c>
      <c r="F1194">
        <v>2</v>
      </c>
      <c r="G1194">
        <v>9032</v>
      </c>
    </row>
    <row r="1195" spans="1:7" x14ac:dyDescent="0.35">
      <c r="A1195" t="s">
        <v>1584</v>
      </c>
      <c r="B1195" s="2">
        <v>45874</v>
      </c>
      <c r="C1195" t="s">
        <v>47</v>
      </c>
      <c r="D1195" t="s">
        <v>135</v>
      </c>
      <c r="E1195" t="s">
        <v>389</v>
      </c>
      <c r="F1195">
        <v>3</v>
      </c>
      <c r="G1195">
        <v>66186</v>
      </c>
    </row>
    <row r="1196" spans="1:7" x14ac:dyDescent="0.35">
      <c r="A1196" t="s">
        <v>1585</v>
      </c>
      <c r="B1196" s="2">
        <v>45709</v>
      </c>
      <c r="C1196" t="s">
        <v>55</v>
      </c>
      <c r="D1196" t="s">
        <v>95</v>
      </c>
      <c r="E1196" t="s">
        <v>389</v>
      </c>
      <c r="F1196">
        <v>5</v>
      </c>
      <c r="G1196">
        <v>57075</v>
      </c>
    </row>
    <row r="1197" spans="1:7" x14ac:dyDescent="0.35">
      <c r="A1197" t="s">
        <v>1586</v>
      </c>
      <c r="B1197" s="2">
        <v>45689</v>
      </c>
      <c r="C1197" t="s">
        <v>13</v>
      </c>
      <c r="D1197" t="s">
        <v>113</v>
      </c>
      <c r="E1197" t="s">
        <v>394</v>
      </c>
      <c r="F1197">
        <v>5</v>
      </c>
      <c r="G1197">
        <v>150885</v>
      </c>
    </row>
    <row r="1198" spans="1:7" x14ac:dyDescent="0.35">
      <c r="A1198" t="s">
        <v>1587</v>
      </c>
      <c r="B1198" s="2">
        <v>45747</v>
      </c>
      <c r="C1198" t="s">
        <v>16</v>
      </c>
      <c r="D1198" t="s">
        <v>185</v>
      </c>
      <c r="E1198" t="s">
        <v>394</v>
      </c>
      <c r="F1198">
        <v>3</v>
      </c>
      <c r="G1198">
        <v>95886</v>
      </c>
    </row>
    <row r="1199" spans="1:7" x14ac:dyDescent="0.35">
      <c r="A1199" t="s">
        <v>1588</v>
      </c>
      <c r="B1199" s="2">
        <v>45919</v>
      </c>
      <c r="C1199" t="s">
        <v>13</v>
      </c>
      <c r="D1199" t="s">
        <v>207</v>
      </c>
      <c r="E1199" t="s">
        <v>387</v>
      </c>
      <c r="F1199">
        <v>1</v>
      </c>
      <c r="G1199">
        <v>30177</v>
      </c>
    </row>
    <row r="1200" spans="1:7" x14ac:dyDescent="0.35">
      <c r="A1200" t="s">
        <v>1589</v>
      </c>
      <c r="B1200" s="2">
        <v>45991</v>
      </c>
      <c r="C1200" t="s">
        <v>23</v>
      </c>
      <c r="D1200" t="s">
        <v>327</v>
      </c>
      <c r="E1200" t="s">
        <v>389</v>
      </c>
      <c r="F1200">
        <v>9</v>
      </c>
      <c r="G1200">
        <v>54621</v>
      </c>
    </row>
    <row r="1201" spans="1:7" x14ac:dyDescent="0.35">
      <c r="A1201" t="s">
        <v>1590</v>
      </c>
      <c r="B1201" s="2">
        <v>45981</v>
      </c>
      <c r="C1201" t="s">
        <v>67</v>
      </c>
      <c r="D1201" t="s">
        <v>305</v>
      </c>
      <c r="E1201" t="s">
        <v>389</v>
      </c>
      <c r="F1201">
        <v>5</v>
      </c>
      <c r="G1201">
        <v>108080</v>
      </c>
    </row>
    <row r="1202" spans="1:7" x14ac:dyDescent="0.35">
      <c r="A1202" t="s">
        <v>1591</v>
      </c>
      <c r="B1202" s="2">
        <v>45856</v>
      </c>
      <c r="C1202" t="s">
        <v>33</v>
      </c>
      <c r="D1202" t="s">
        <v>313</v>
      </c>
      <c r="E1202" t="s">
        <v>403</v>
      </c>
      <c r="F1202">
        <v>5</v>
      </c>
      <c r="G1202">
        <v>181265</v>
      </c>
    </row>
    <row r="1203" spans="1:7" x14ac:dyDescent="0.35">
      <c r="A1203" t="s">
        <v>1592</v>
      </c>
      <c r="B1203" s="2">
        <v>45842</v>
      </c>
      <c r="C1203" t="s">
        <v>53</v>
      </c>
      <c r="D1203" t="s">
        <v>341</v>
      </c>
      <c r="E1203" t="s">
        <v>389</v>
      </c>
      <c r="F1203">
        <v>10</v>
      </c>
      <c r="G1203">
        <v>42080</v>
      </c>
    </row>
    <row r="1204" spans="1:7" x14ac:dyDescent="0.35">
      <c r="A1204" t="s">
        <v>1593</v>
      </c>
      <c r="B1204" s="2">
        <v>45867</v>
      </c>
      <c r="C1204" t="s">
        <v>25</v>
      </c>
      <c r="D1204" t="s">
        <v>325</v>
      </c>
      <c r="E1204" t="s">
        <v>389</v>
      </c>
      <c r="F1204">
        <v>1</v>
      </c>
      <c r="G1204">
        <v>18243</v>
      </c>
    </row>
    <row r="1205" spans="1:7" x14ac:dyDescent="0.35">
      <c r="A1205" t="s">
        <v>1594</v>
      </c>
      <c r="B1205" s="2">
        <v>46019</v>
      </c>
      <c r="C1205" t="s">
        <v>43</v>
      </c>
      <c r="D1205" t="s">
        <v>291</v>
      </c>
      <c r="E1205" t="s">
        <v>391</v>
      </c>
      <c r="F1205">
        <v>1</v>
      </c>
      <c r="G1205">
        <v>37825</v>
      </c>
    </row>
    <row r="1206" spans="1:7" x14ac:dyDescent="0.35">
      <c r="A1206" t="s">
        <v>1595</v>
      </c>
      <c r="B1206" s="2">
        <v>45928</v>
      </c>
      <c r="C1206" t="s">
        <v>49</v>
      </c>
      <c r="D1206" t="s">
        <v>289</v>
      </c>
      <c r="E1206" t="s">
        <v>391</v>
      </c>
      <c r="F1206">
        <v>4</v>
      </c>
      <c r="G1206">
        <v>182056</v>
      </c>
    </row>
    <row r="1207" spans="1:7" x14ac:dyDescent="0.35">
      <c r="A1207" t="s">
        <v>1596</v>
      </c>
      <c r="B1207" s="2">
        <v>45885</v>
      </c>
      <c r="C1207" t="s">
        <v>21</v>
      </c>
      <c r="D1207" t="s">
        <v>173</v>
      </c>
      <c r="E1207" t="s">
        <v>387</v>
      </c>
      <c r="F1207">
        <v>1</v>
      </c>
      <c r="G1207">
        <v>15209</v>
      </c>
    </row>
    <row r="1208" spans="1:7" x14ac:dyDescent="0.35">
      <c r="A1208" t="s">
        <v>1597</v>
      </c>
      <c r="B1208" s="2">
        <v>45672</v>
      </c>
      <c r="C1208" t="s">
        <v>7</v>
      </c>
      <c r="D1208" t="s">
        <v>167</v>
      </c>
      <c r="E1208" t="s">
        <v>391</v>
      </c>
      <c r="F1208">
        <v>9</v>
      </c>
      <c r="G1208">
        <v>235197</v>
      </c>
    </row>
    <row r="1209" spans="1:7" x14ac:dyDescent="0.35">
      <c r="A1209" t="s">
        <v>1598</v>
      </c>
      <c r="B1209" s="2">
        <v>45722</v>
      </c>
      <c r="C1209" t="s">
        <v>13</v>
      </c>
      <c r="D1209" t="s">
        <v>151</v>
      </c>
      <c r="E1209" t="s">
        <v>403</v>
      </c>
      <c r="F1209">
        <v>2</v>
      </c>
      <c r="G1209">
        <v>60354</v>
      </c>
    </row>
    <row r="1210" spans="1:7" x14ac:dyDescent="0.35">
      <c r="A1210" t="s">
        <v>1599</v>
      </c>
      <c r="B1210" s="2">
        <v>45968</v>
      </c>
      <c r="C1210" t="s">
        <v>45</v>
      </c>
      <c r="D1210" t="s">
        <v>119</v>
      </c>
      <c r="E1210" t="s">
        <v>387</v>
      </c>
      <c r="F1210">
        <v>4</v>
      </c>
      <c r="G1210">
        <v>31304</v>
      </c>
    </row>
    <row r="1211" spans="1:7" x14ac:dyDescent="0.35">
      <c r="A1211" t="s">
        <v>1600</v>
      </c>
      <c r="B1211" s="2">
        <v>45740</v>
      </c>
      <c r="C1211" t="s">
        <v>63</v>
      </c>
      <c r="D1211" t="s">
        <v>271</v>
      </c>
      <c r="E1211" t="s">
        <v>391</v>
      </c>
      <c r="F1211">
        <v>8</v>
      </c>
      <c r="G1211">
        <v>70144</v>
      </c>
    </row>
    <row r="1212" spans="1:7" x14ac:dyDescent="0.35">
      <c r="A1212" t="s">
        <v>1601</v>
      </c>
      <c r="B1212" s="2">
        <v>45833</v>
      </c>
      <c r="C1212" t="s">
        <v>4</v>
      </c>
      <c r="D1212" t="s">
        <v>379</v>
      </c>
      <c r="E1212" t="s">
        <v>394</v>
      </c>
      <c r="F1212">
        <v>7</v>
      </c>
      <c r="G1212">
        <v>82705</v>
      </c>
    </row>
    <row r="1213" spans="1:7" x14ac:dyDescent="0.35">
      <c r="A1213" t="s">
        <v>1602</v>
      </c>
      <c r="B1213" s="2">
        <v>45871</v>
      </c>
      <c r="C1213" t="s">
        <v>31</v>
      </c>
      <c r="D1213" t="s">
        <v>235</v>
      </c>
      <c r="E1213" t="s">
        <v>403</v>
      </c>
      <c r="F1213">
        <v>3</v>
      </c>
      <c r="G1213">
        <v>89898</v>
      </c>
    </row>
    <row r="1214" spans="1:7" x14ac:dyDescent="0.35">
      <c r="A1214" t="s">
        <v>1603</v>
      </c>
      <c r="B1214" s="2">
        <v>45765</v>
      </c>
      <c r="C1214" t="s">
        <v>33</v>
      </c>
      <c r="D1214" t="s">
        <v>299</v>
      </c>
      <c r="E1214" t="s">
        <v>387</v>
      </c>
      <c r="F1214">
        <v>9</v>
      </c>
      <c r="G1214">
        <v>326277</v>
      </c>
    </row>
    <row r="1215" spans="1:7" x14ac:dyDescent="0.35">
      <c r="A1215" t="s">
        <v>1604</v>
      </c>
      <c r="B1215" s="2">
        <v>45901</v>
      </c>
      <c r="C1215" t="s">
        <v>10</v>
      </c>
      <c r="D1215" t="s">
        <v>333</v>
      </c>
      <c r="E1215" t="s">
        <v>394</v>
      </c>
      <c r="F1215">
        <v>3</v>
      </c>
      <c r="G1215">
        <v>13548</v>
      </c>
    </row>
    <row r="1216" spans="1:7" x14ac:dyDescent="0.35">
      <c r="A1216" t="s">
        <v>1605</v>
      </c>
      <c r="B1216" s="2">
        <v>45812</v>
      </c>
      <c r="C1216" t="s">
        <v>53</v>
      </c>
      <c r="D1216" t="s">
        <v>287</v>
      </c>
      <c r="E1216" t="s">
        <v>394</v>
      </c>
      <c r="F1216">
        <v>9</v>
      </c>
      <c r="G1216">
        <v>37872</v>
      </c>
    </row>
    <row r="1217" spans="1:7" x14ac:dyDescent="0.35">
      <c r="A1217" t="s">
        <v>1606</v>
      </c>
      <c r="B1217" s="2">
        <v>45740</v>
      </c>
      <c r="C1217" t="s">
        <v>53</v>
      </c>
      <c r="D1217" t="s">
        <v>105</v>
      </c>
      <c r="E1217" t="s">
        <v>387</v>
      </c>
      <c r="F1217">
        <v>4</v>
      </c>
      <c r="G1217">
        <v>16832</v>
      </c>
    </row>
    <row r="1218" spans="1:7" x14ac:dyDescent="0.35">
      <c r="A1218" t="s">
        <v>1607</v>
      </c>
      <c r="B1218" s="2">
        <v>45706</v>
      </c>
      <c r="C1218" t="s">
        <v>25</v>
      </c>
      <c r="D1218" t="s">
        <v>339</v>
      </c>
      <c r="E1218" t="s">
        <v>394</v>
      </c>
      <c r="F1218">
        <v>9</v>
      </c>
      <c r="G1218">
        <v>164187</v>
      </c>
    </row>
    <row r="1219" spans="1:7" x14ac:dyDescent="0.35">
      <c r="A1219" t="s">
        <v>1608</v>
      </c>
      <c r="B1219" s="2">
        <v>45869</v>
      </c>
      <c r="C1219" t="s">
        <v>59</v>
      </c>
      <c r="D1219" t="s">
        <v>127</v>
      </c>
      <c r="E1219" t="s">
        <v>391</v>
      </c>
      <c r="F1219">
        <v>8</v>
      </c>
      <c r="G1219">
        <v>384848</v>
      </c>
    </row>
    <row r="1220" spans="1:7" x14ac:dyDescent="0.35">
      <c r="A1220" t="s">
        <v>1609</v>
      </c>
      <c r="B1220" s="2">
        <v>45909</v>
      </c>
      <c r="C1220" t="s">
        <v>25</v>
      </c>
      <c r="D1220" t="s">
        <v>223</v>
      </c>
      <c r="E1220" t="s">
        <v>389</v>
      </c>
      <c r="F1220">
        <v>9</v>
      </c>
      <c r="G1220">
        <v>164187</v>
      </c>
    </row>
    <row r="1221" spans="1:7" x14ac:dyDescent="0.35">
      <c r="A1221" t="s">
        <v>1610</v>
      </c>
      <c r="B1221" s="2">
        <v>45907</v>
      </c>
      <c r="C1221" t="s">
        <v>55</v>
      </c>
      <c r="D1221" t="s">
        <v>149</v>
      </c>
      <c r="E1221" t="s">
        <v>394</v>
      </c>
      <c r="F1221">
        <v>1</v>
      </c>
      <c r="G1221">
        <v>11415</v>
      </c>
    </row>
    <row r="1222" spans="1:7" x14ac:dyDescent="0.35">
      <c r="A1222" t="s">
        <v>1611</v>
      </c>
      <c r="B1222" s="2">
        <v>45813</v>
      </c>
      <c r="C1222" t="s">
        <v>61</v>
      </c>
      <c r="D1222" t="s">
        <v>137</v>
      </c>
      <c r="E1222" t="s">
        <v>387</v>
      </c>
      <c r="F1222">
        <v>9</v>
      </c>
      <c r="G1222">
        <v>225144</v>
      </c>
    </row>
    <row r="1223" spans="1:7" x14ac:dyDescent="0.35">
      <c r="A1223" t="s">
        <v>1612</v>
      </c>
      <c r="B1223" s="2">
        <v>45997</v>
      </c>
      <c r="C1223" t="s">
        <v>53</v>
      </c>
      <c r="D1223" t="s">
        <v>84</v>
      </c>
      <c r="E1223" t="s">
        <v>391</v>
      </c>
      <c r="F1223">
        <v>9</v>
      </c>
      <c r="G1223">
        <v>37872</v>
      </c>
    </row>
    <row r="1224" spans="1:7" x14ac:dyDescent="0.35">
      <c r="A1224" t="s">
        <v>1613</v>
      </c>
      <c r="B1224" s="2">
        <v>45680</v>
      </c>
      <c r="C1224" t="s">
        <v>45</v>
      </c>
      <c r="D1224" t="s">
        <v>273</v>
      </c>
      <c r="E1224" t="s">
        <v>387</v>
      </c>
      <c r="F1224">
        <v>6</v>
      </c>
      <c r="G1224">
        <v>46956</v>
      </c>
    </row>
    <row r="1225" spans="1:7" x14ac:dyDescent="0.35">
      <c r="A1225" t="s">
        <v>1614</v>
      </c>
      <c r="B1225" s="2">
        <v>45719</v>
      </c>
      <c r="C1225" t="s">
        <v>27</v>
      </c>
      <c r="D1225" t="s">
        <v>357</v>
      </c>
      <c r="E1225" t="s">
        <v>387</v>
      </c>
      <c r="F1225">
        <v>3</v>
      </c>
      <c r="G1225">
        <v>113052</v>
      </c>
    </row>
    <row r="1226" spans="1:7" x14ac:dyDescent="0.35">
      <c r="A1226" t="s">
        <v>1615</v>
      </c>
      <c r="B1226" s="2">
        <v>45780</v>
      </c>
      <c r="C1226" t="s">
        <v>31</v>
      </c>
      <c r="D1226" t="s">
        <v>195</v>
      </c>
      <c r="E1226" t="s">
        <v>387</v>
      </c>
      <c r="F1226">
        <v>7</v>
      </c>
      <c r="G1226">
        <v>209762</v>
      </c>
    </row>
    <row r="1227" spans="1:7" x14ac:dyDescent="0.35">
      <c r="A1227" t="s">
        <v>1616</v>
      </c>
      <c r="B1227" s="2">
        <v>45777</v>
      </c>
      <c r="C1227" t="s">
        <v>65</v>
      </c>
      <c r="D1227" t="s">
        <v>255</v>
      </c>
      <c r="E1227" t="s">
        <v>387</v>
      </c>
      <c r="F1227">
        <v>1</v>
      </c>
      <c r="G1227">
        <v>545</v>
      </c>
    </row>
    <row r="1228" spans="1:7" x14ac:dyDescent="0.35">
      <c r="A1228" t="s">
        <v>1617</v>
      </c>
      <c r="B1228" s="2">
        <v>45977</v>
      </c>
      <c r="C1228" t="s">
        <v>23</v>
      </c>
      <c r="D1228" t="s">
        <v>225</v>
      </c>
      <c r="E1228" t="s">
        <v>394</v>
      </c>
      <c r="F1228">
        <v>9</v>
      </c>
      <c r="G1228">
        <v>54621</v>
      </c>
    </row>
    <row r="1229" spans="1:7" x14ac:dyDescent="0.35">
      <c r="A1229" t="s">
        <v>1618</v>
      </c>
      <c r="B1229" s="2">
        <v>45869</v>
      </c>
      <c r="C1229" t="s">
        <v>16</v>
      </c>
      <c r="D1229" t="s">
        <v>91</v>
      </c>
      <c r="E1229" t="s">
        <v>391</v>
      </c>
      <c r="F1229">
        <v>3</v>
      </c>
      <c r="G1229">
        <v>95886</v>
      </c>
    </row>
    <row r="1230" spans="1:7" x14ac:dyDescent="0.35">
      <c r="A1230" t="s">
        <v>1619</v>
      </c>
      <c r="B1230" s="2">
        <v>45941</v>
      </c>
      <c r="C1230" t="s">
        <v>4</v>
      </c>
      <c r="D1230" t="s">
        <v>299</v>
      </c>
      <c r="E1230" t="s">
        <v>394</v>
      </c>
      <c r="F1230">
        <v>5</v>
      </c>
      <c r="G1230">
        <v>59075</v>
      </c>
    </row>
    <row r="1231" spans="1:7" x14ac:dyDescent="0.35">
      <c r="A1231" t="s">
        <v>1620</v>
      </c>
      <c r="B1231" s="2">
        <v>45964</v>
      </c>
      <c r="C1231" t="s">
        <v>19</v>
      </c>
      <c r="D1231" t="s">
        <v>159</v>
      </c>
      <c r="E1231" t="s">
        <v>394</v>
      </c>
      <c r="F1231">
        <v>10</v>
      </c>
      <c r="G1231">
        <v>421590</v>
      </c>
    </row>
    <row r="1232" spans="1:7" x14ac:dyDescent="0.35">
      <c r="A1232" t="s">
        <v>1621</v>
      </c>
      <c r="B1232" s="2">
        <v>45731</v>
      </c>
      <c r="C1232" t="s">
        <v>55</v>
      </c>
      <c r="D1232" t="s">
        <v>311</v>
      </c>
      <c r="E1232" t="s">
        <v>403</v>
      </c>
      <c r="F1232">
        <v>2</v>
      </c>
      <c r="G1232">
        <v>22830</v>
      </c>
    </row>
    <row r="1233" spans="1:7" x14ac:dyDescent="0.35">
      <c r="A1233" t="s">
        <v>1622</v>
      </c>
      <c r="B1233" s="2">
        <v>45835</v>
      </c>
      <c r="C1233" t="s">
        <v>29</v>
      </c>
      <c r="D1233" t="s">
        <v>263</v>
      </c>
      <c r="E1233" t="s">
        <v>391</v>
      </c>
      <c r="F1233">
        <v>5</v>
      </c>
      <c r="G1233">
        <v>213220</v>
      </c>
    </row>
    <row r="1234" spans="1:7" x14ac:dyDescent="0.35">
      <c r="A1234" t="s">
        <v>1623</v>
      </c>
      <c r="B1234" s="2">
        <v>45991</v>
      </c>
      <c r="C1234" t="s">
        <v>39</v>
      </c>
      <c r="D1234" t="s">
        <v>351</v>
      </c>
      <c r="E1234" t="s">
        <v>391</v>
      </c>
      <c r="F1234">
        <v>4</v>
      </c>
      <c r="G1234">
        <v>193152</v>
      </c>
    </row>
    <row r="1235" spans="1:7" x14ac:dyDescent="0.35">
      <c r="A1235" t="s">
        <v>1624</v>
      </c>
      <c r="B1235" s="2">
        <v>45738</v>
      </c>
      <c r="C1235" t="s">
        <v>57</v>
      </c>
      <c r="D1235" t="s">
        <v>129</v>
      </c>
      <c r="E1235" t="s">
        <v>403</v>
      </c>
      <c r="F1235">
        <v>7</v>
      </c>
      <c r="G1235">
        <v>341523</v>
      </c>
    </row>
    <row r="1236" spans="1:7" x14ac:dyDescent="0.35">
      <c r="A1236" t="s">
        <v>1625</v>
      </c>
      <c r="B1236" s="2">
        <v>45948</v>
      </c>
      <c r="C1236" t="s">
        <v>57</v>
      </c>
      <c r="D1236" t="s">
        <v>183</v>
      </c>
      <c r="E1236" t="s">
        <v>394</v>
      </c>
      <c r="F1236">
        <v>10</v>
      </c>
      <c r="G1236">
        <v>487890</v>
      </c>
    </row>
    <row r="1237" spans="1:7" x14ac:dyDescent="0.35">
      <c r="A1237" t="s">
        <v>1626</v>
      </c>
      <c r="B1237" s="2">
        <v>45686</v>
      </c>
      <c r="C1237" t="s">
        <v>7</v>
      </c>
      <c r="D1237" t="s">
        <v>315</v>
      </c>
      <c r="E1237" t="s">
        <v>389</v>
      </c>
      <c r="F1237">
        <v>4</v>
      </c>
      <c r="G1237">
        <v>104532</v>
      </c>
    </row>
    <row r="1238" spans="1:7" x14ac:dyDescent="0.35">
      <c r="A1238" t="s">
        <v>1627</v>
      </c>
      <c r="B1238" s="2">
        <v>45998</v>
      </c>
      <c r="C1238" t="s">
        <v>33</v>
      </c>
      <c r="D1238" t="s">
        <v>195</v>
      </c>
      <c r="E1238" t="s">
        <v>394</v>
      </c>
      <c r="F1238">
        <v>2</v>
      </c>
      <c r="G1238">
        <v>72506</v>
      </c>
    </row>
    <row r="1239" spans="1:7" x14ac:dyDescent="0.35">
      <c r="A1239" t="s">
        <v>1628</v>
      </c>
      <c r="B1239" s="2">
        <v>45975</v>
      </c>
      <c r="C1239" t="s">
        <v>57</v>
      </c>
      <c r="D1239" t="s">
        <v>191</v>
      </c>
      <c r="E1239" t="s">
        <v>387</v>
      </c>
      <c r="F1239">
        <v>10</v>
      </c>
      <c r="G1239">
        <v>487890</v>
      </c>
    </row>
    <row r="1240" spans="1:7" x14ac:dyDescent="0.35">
      <c r="A1240" t="s">
        <v>1629</v>
      </c>
      <c r="B1240" s="2">
        <v>45991</v>
      </c>
      <c r="C1240" t="s">
        <v>41</v>
      </c>
      <c r="D1240" t="s">
        <v>133</v>
      </c>
      <c r="E1240" t="s">
        <v>403</v>
      </c>
      <c r="F1240">
        <v>1</v>
      </c>
      <c r="G1240">
        <v>21262</v>
      </c>
    </row>
    <row r="1241" spans="1:7" x14ac:dyDescent="0.35">
      <c r="A1241" t="s">
        <v>1630</v>
      </c>
      <c r="B1241" s="2">
        <v>45808</v>
      </c>
      <c r="C1241" t="s">
        <v>55</v>
      </c>
      <c r="D1241" t="s">
        <v>207</v>
      </c>
      <c r="E1241" t="s">
        <v>391</v>
      </c>
      <c r="F1241">
        <v>4</v>
      </c>
      <c r="G1241">
        <v>45660</v>
      </c>
    </row>
    <row r="1242" spans="1:7" x14ac:dyDescent="0.35">
      <c r="A1242" t="s">
        <v>1631</v>
      </c>
      <c r="B1242" s="2">
        <v>45727</v>
      </c>
      <c r="C1242" t="s">
        <v>47</v>
      </c>
      <c r="D1242" t="s">
        <v>307</v>
      </c>
      <c r="E1242" t="s">
        <v>391</v>
      </c>
      <c r="F1242">
        <v>1</v>
      </c>
      <c r="G1242">
        <v>22062</v>
      </c>
    </row>
    <row r="1243" spans="1:7" x14ac:dyDescent="0.35">
      <c r="A1243" t="s">
        <v>1632</v>
      </c>
      <c r="B1243" s="2">
        <v>45924</v>
      </c>
      <c r="C1243" t="s">
        <v>37</v>
      </c>
      <c r="D1243" t="s">
        <v>263</v>
      </c>
      <c r="E1243" t="s">
        <v>394</v>
      </c>
      <c r="F1243">
        <v>8</v>
      </c>
      <c r="G1243">
        <v>15624</v>
      </c>
    </row>
    <row r="1244" spans="1:7" x14ac:dyDescent="0.35">
      <c r="A1244" t="s">
        <v>1633</v>
      </c>
      <c r="B1244" s="2">
        <v>45838</v>
      </c>
      <c r="C1244" t="s">
        <v>33</v>
      </c>
      <c r="D1244" t="s">
        <v>351</v>
      </c>
      <c r="E1244" t="s">
        <v>389</v>
      </c>
      <c r="F1244">
        <v>1</v>
      </c>
      <c r="G1244">
        <v>36253</v>
      </c>
    </row>
    <row r="1245" spans="1:7" x14ac:dyDescent="0.35">
      <c r="A1245" t="s">
        <v>1634</v>
      </c>
      <c r="B1245" s="2">
        <v>45741</v>
      </c>
      <c r="C1245" t="s">
        <v>49</v>
      </c>
      <c r="D1245" t="s">
        <v>249</v>
      </c>
      <c r="E1245" t="s">
        <v>387</v>
      </c>
      <c r="F1245">
        <v>4</v>
      </c>
      <c r="G1245">
        <v>182056</v>
      </c>
    </row>
    <row r="1246" spans="1:7" x14ac:dyDescent="0.35">
      <c r="A1246" t="s">
        <v>1635</v>
      </c>
      <c r="B1246" s="2">
        <v>45871</v>
      </c>
      <c r="C1246" t="s">
        <v>25</v>
      </c>
      <c r="D1246" t="s">
        <v>323</v>
      </c>
      <c r="E1246" t="s">
        <v>403</v>
      </c>
      <c r="F1246">
        <v>6</v>
      </c>
      <c r="G1246">
        <v>109458</v>
      </c>
    </row>
    <row r="1247" spans="1:7" x14ac:dyDescent="0.35">
      <c r="A1247" t="s">
        <v>1636</v>
      </c>
      <c r="B1247" s="2">
        <v>45918</v>
      </c>
      <c r="C1247" t="s">
        <v>41</v>
      </c>
      <c r="D1247" t="s">
        <v>213</v>
      </c>
      <c r="E1247" t="s">
        <v>389</v>
      </c>
      <c r="F1247">
        <v>8</v>
      </c>
      <c r="G1247">
        <v>170096</v>
      </c>
    </row>
    <row r="1248" spans="1:7" x14ac:dyDescent="0.35">
      <c r="A1248" t="s">
        <v>1637</v>
      </c>
      <c r="B1248" s="2">
        <v>45787</v>
      </c>
      <c r="C1248" t="s">
        <v>55</v>
      </c>
      <c r="D1248" t="s">
        <v>305</v>
      </c>
      <c r="E1248" t="s">
        <v>387</v>
      </c>
      <c r="F1248">
        <v>8</v>
      </c>
      <c r="G1248">
        <v>91320</v>
      </c>
    </row>
    <row r="1249" spans="1:7" x14ac:dyDescent="0.35">
      <c r="A1249" t="s">
        <v>1638</v>
      </c>
      <c r="B1249" s="2">
        <v>45693</v>
      </c>
      <c r="C1249" t="s">
        <v>61</v>
      </c>
      <c r="D1249" t="s">
        <v>371</v>
      </c>
      <c r="E1249" t="s">
        <v>389</v>
      </c>
      <c r="F1249">
        <v>4</v>
      </c>
      <c r="G1249">
        <v>100064</v>
      </c>
    </row>
    <row r="1250" spans="1:7" x14ac:dyDescent="0.35">
      <c r="A1250" t="s">
        <v>1639</v>
      </c>
      <c r="B1250" s="2">
        <v>45746</v>
      </c>
      <c r="C1250" t="s">
        <v>35</v>
      </c>
      <c r="D1250" t="s">
        <v>257</v>
      </c>
      <c r="E1250" t="s">
        <v>391</v>
      </c>
      <c r="F1250">
        <v>5</v>
      </c>
      <c r="G1250">
        <v>247300</v>
      </c>
    </row>
    <row r="1251" spans="1:7" x14ac:dyDescent="0.35">
      <c r="A1251" t="s">
        <v>1640</v>
      </c>
      <c r="B1251" s="2">
        <v>45694</v>
      </c>
      <c r="C1251" t="s">
        <v>53</v>
      </c>
      <c r="D1251" t="s">
        <v>305</v>
      </c>
      <c r="E1251" t="s">
        <v>387</v>
      </c>
      <c r="F1251">
        <v>1</v>
      </c>
      <c r="G1251">
        <v>4208</v>
      </c>
    </row>
    <row r="1252" spans="1:7" x14ac:dyDescent="0.35">
      <c r="A1252" t="s">
        <v>1641</v>
      </c>
      <c r="B1252" s="2">
        <v>45768</v>
      </c>
      <c r="C1252" t="s">
        <v>67</v>
      </c>
      <c r="D1252" t="s">
        <v>327</v>
      </c>
      <c r="E1252" t="s">
        <v>389</v>
      </c>
      <c r="F1252">
        <v>1</v>
      </c>
      <c r="G1252">
        <v>21616</v>
      </c>
    </row>
    <row r="1253" spans="1:7" x14ac:dyDescent="0.35">
      <c r="A1253" t="s">
        <v>1642</v>
      </c>
      <c r="B1253" s="2">
        <v>45675</v>
      </c>
      <c r="C1253" t="s">
        <v>39</v>
      </c>
      <c r="D1253" t="s">
        <v>221</v>
      </c>
      <c r="E1253" t="s">
        <v>389</v>
      </c>
      <c r="F1253">
        <v>6</v>
      </c>
      <c r="G1253">
        <v>289728</v>
      </c>
    </row>
    <row r="1254" spans="1:7" x14ac:dyDescent="0.35">
      <c r="A1254" t="s">
        <v>1643</v>
      </c>
      <c r="B1254" s="2">
        <v>45812</v>
      </c>
      <c r="C1254" t="s">
        <v>27</v>
      </c>
      <c r="D1254" t="s">
        <v>367</v>
      </c>
      <c r="E1254" t="s">
        <v>403</v>
      </c>
      <c r="F1254">
        <v>10</v>
      </c>
      <c r="G1254">
        <v>376840</v>
      </c>
    </row>
    <row r="1255" spans="1:7" x14ac:dyDescent="0.35">
      <c r="A1255" t="s">
        <v>1644</v>
      </c>
      <c r="B1255" s="2">
        <v>45988</v>
      </c>
      <c r="C1255" t="s">
        <v>55</v>
      </c>
      <c r="D1255" t="s">
        <v>317</v>
      </c>
      <c r="E1255" t="s">
        <v>387</v>
      </c>
      <c r="F1255">
        <v>2</v>
      </c>
      <c r="G1255">
        <v>22830</v>
      </c>
    </row>
    <row r="1256" spans="1:7" x14ac:dyDescent="0.35">
      <c r="A1256" t="s">
        <v>1645</v>
      </c>
      <c r="B1256" s="2">
        <v>45956</v>
      </c>
      <c r="C1256" t="s">
        <v>67</v>
      </c>
      <c r="D1256" t="s">
        <v>357</v>
      </c>
      <c r="E1256" t="s">
        <v>394</v>
      </c>
      <c r="F1256">
        <v>5</v>
      </c>
      <c r="G1256">
        <v>108080</v>
      </c>
    </row>
    <row r="1257" spans="1:7" x14ac:dyDescent="0.35">
      <c r="A1257" t="s">
        <v>1646</v>
      </c>
      <c r="B1257" s="2">
        <v>45701</v>
      </c>
      <c r="C1257" t="s">
        <v>55</v>
      </c>
      <c r="D1257" t="s">
        <v>297</v>
      </c>
      <c r="E1257" t="s">
        <v>387</v>
      </c>
      <c r="F1257">
        <v>2</v>
      </c>
      <c r="G1257">
        <v>22830</v>
      </c>
    </row>
    <row r="1258" spans="1:7" x14ac:dyDescent="0.35">
      <c r="A1258" t="s">
        <v>1647</v>
      </c>
      <c r="B1258" s="2">
        <v>45848</v>
      </c>
      <c r="C1258" t="s">
        <v>29</v>
      </c>
      <c r="D1258" t="s">
        <v>235</v>
      </c>
      <c r="E1258" t="s">
        <v>394</v>
      </c>
      <c r="F1258">
        <v>1</v>
      </c>
      <c r="G1258">
        <v>42644</v>
      </c>
    </row>
    <row r="1259" spans="1:7" x14ac:dyDescent="0.35">
      <c r="A1259" t="s">
        <v>1648</v>
      </c>
      <c r="B1259" s="2">
        <v>45741</v>
      </c>
      <c r="C1259" t="s">
        <v>35</v>
      </c>
      <c r="D1259" t="s">
        <v>209</v>
      </c>
      <c r="E1259" t="s">
        <v>389</v>
      </c>
      <c r="F1259">
        <v>6</v>
      </c>
      <c r="G1259">
        <v>296760</v>
      </c>
    </row>
    <row r="1260" spans="1:7" x14ac:dyDescent="0.35">
      <c r="A1260" t="s">
        <v>1649</v>
      </c>
      <c r="B1260" s="2">
        <v>45766</v>
      </c>
      <c r="C1260" t="s">
        <v>65</v>
      </c>
      <c r="D1260" t="s">
        <v>165</v>
      </c>
      <c r="E1260" t="s">
        <v>387</v>
      </c>
      <c r="F1260">
        <v>1</v>
      </c>
      <c r="G1260">
        <v>545</v>
      </c>
    </row>
    <row r="1261" spans="1:7" x14ac:dyDescent="0.35">
      <c r="A1261" t="s">
        <v>1650</v>
      </c>
      <c r="B1261" s="2">
        <v>45960</v>
      </c>
      <c r="C1261" t="s">
        <v>59</v>
      </c>
      <c r="D1261" t="s">
        <v>185</v>
      </c>
      <c r="E1261" t="s">
        <v>391</v>
      </c>
      <c r="F1261">
        <v>1</v>
      </c>
      <c r="G1261">
        <v>48106</v>
      </c>
    </row>
    <row r="1262" spans="1:7" x14ac:dyDescent="0.35">
      <c r="A1262" t="s">
        <v>1651</v>
      </c>
      <c r="B1262" s="2">
        <v>45859</v>
      </c>
      <c r="C1262" t="s">
        <v>59</v>
      </c>
      <c r="D1262" t="s">
        <v>97</v>
      </c>
      <c r="E1262" t="s">
        <v>394</v>
      </c>
      <c r="F1262">
        <v>9</v>
      </c>
      <c r="G1262">
        <v>432954</v>
      </c>
    </row>
    <row r="1263" spans="1:7" x14ac:dyDescent="0.35">
      <c r="A1263" t="s">
        <v>1652</v>
      </c>
      <c r="B1263" s="2">
        <v>45867</v>
      </c>
      <c r="C1263" t="s">
        <v>10</v>
      </c>
      <c r="D1263" t="s">
        <v>291</v>
      </c>
      <c r="E1263" t="s">
        <v>391</v>
      </c>
      <c r="F1263">
        <v>6</v>
      </c>
      <c r="G1263">
        <v>27096</v>
      </c>
    </row>
    <row r="1264" spans="1:7" x14ac:dyDescent="0.35">
      <c r="A1264" t="s">
        <v>1653</v>
      </c>
      <c r="B1264" s="2">
        <v>45762</v>
      </c>
      <c r="C1264" t="s">
        <v>19</v>
      </c>
      <c r="D1264" t="s">
        <v>215</v>
      </c>
      <c r="E1264" t="s">
        <v>391</v>
      </c>
      <c r="F1264">
        <v>3</v>
      </c>
      <c r="G1264">
        <v>126477</v>
      </c>
    </row>
    <row r="1265" spans="1:7" x14ac:dyDescent="0.35">
      <c r="A1265" t="s">
        <v>1654</v>
      </c>
      <c r="B1265" s="2">
        <v>45722</v>
      </c>
      <c r="C1265" t="s">
        <v>55</v>
      </c>
      <c r="D1265" t="s">
        <v>145</v>
      </c>
      <c r="E1265" t="s">
        <v>394</v>
      </c>
      <c r="F1265">
        <v>2</v>
      </c>
      <c r="G1265">
        <v>22830</v>
      </c>
    </row>
    <row r="1266" spans="1:7" x14ac:dyDescent="0.35">
      <c r="A1266" t="s">
        <v>1655</v>
      </c>
      <c r="B1266" s="2">
        <v>45861</v>
      </c>
      <c r="C1266" t="s">
        <v>39</v>
      </c>
      <c r="D1266" t="s">
        <v>201</v>
      </c>
      <c r="E1266" t="s">
        <v>403</v>
      </c>
      <c r="F1266">
        <v>1</v>
      </c>
      <c r="G1266">
        <v>48288</v>
      </c>
    </row>
    <row r="1267" spans="1:7" x14ac:dyDescent="0.35">
      <c r="A1267" t="s">
        <v>1656</v>
      </c>
      <c r="B1267" s="2">
        <v>45669</v>
      </c>
      <c r="C1267" t="s">
        <v>55</v>
      </c>
      <c r="D1267" t="s">
        <v>261</v>
      </c>
      <c r="E1267" t="s">
        <v>403</v>
      </c>
      <c r="F1267">
        <v>6</v>
      </c>
      <c r="G1267">
        <v>68490</v>
      </c>
    </row>
    <row r="1268" spans="1:7" x14ac:dyDescent="0.35">
      <c r="A1268" t="s">
        <v>1657</v>
      </c>
      <c r="B1268" s="2">
        <v>45665</v>
      </c>
      <c r="C1268" t="s">
        <v>13</v>
      </c>
      <c r="D1268" t="s">
        <v>281</v>
      </c>
      <c r="E1268" t="s">
        <v>391</v>
      </c>
      <c r="F1268">
        <v>5</v>
      </c>
      <c r="G1268">
        <v>150885</v>
      </c>
    </row>
    <row r="1269" spans="1:7" x14ac:dyDescent="0.35">
      <c r="A1269" t="s">
        <v>1658</v>
      </c>
      <c r="B1269" s="2">
        <v>45773</v>
      </c>
      <c r="C1269" t="s">
        <v>16</v>
      </c>
      <c r="D1269" t="s">
        <v>291</v>
      </c>
      <c r="E1269" t="s">
        <v>403</v>
      </c>
      <c r="F1269">
        <v>7</v>
      </c>
      <c r="G1269">
        <v>223734</v>
      </c>
    </row>
    <row r="1270" spans="1:7" x14ac:dyDescent="0.35">
      <c r="A1270" t="s">
        <v>1659</v>
      </c>
      <c r="B1270" s="2">
        <v>45853</v>
      </c>
      <c r="C1270" t="s">
        <v>7</v>
      </c>
      <c r="D1270" t="s">
        <v>187</v>
      </c>
      <c r="E1270" t="s">
        <v>403</v>
      </c>
      <c r="F1270">
        <v>9</v>
      </c>
      <c r="G1270">
        <v>235197</v>
      </c>
    </row>
    <row r="1271" spans="1:7" x14ac:dyDescent="0.35">
      <c r="A1271" t="s">
        <v>1660</v>
      </c>
      <c r="B1271" s="2">
        <v>45763</v>
      </c>
      <c r="C1271" t="s">
        <v>57</v>
      </c>
      <c r="D1271" t="s">
        <v>239</v>
      </c>
      <c r="E1271" t="s">
        <v>394</v>
      </c>
      <c r="F1271">
        <v>2</v>
      </c>
      <c r="G1271">
        <v>97578</v>
      </c>
    </row>
    <row r="1272" spans="1:7" x14ac:dyDescent="0.35">
      <c r="A1272" t="s">
        <v>1661</v>
      </c>
      <c r="B1272" s="2">
        <v>45875</v>
      </c>
      <c r="C1272" t="s">
        <v>35</v>
      </c>
      <c r="D1272" t="s">
        <v>373</v>
      </c>
      <c r="E1272" t="s">
        <v>403</v>
      </c>
      <c r="F1272">
        <v>7</v>
      </c>
      <c r="G1272">
        <v>346220</v>
      </c>
    </row>
    <row r="1273" spans="1:7" x14ac:dyDescent="0.35">
      <c r="A1273" t="s">
        <v>1662</v>
      </c>
      <c r="B1273" s="2">
        <v>45924</v>
      </c>
      <c r="C1273" t="s">
        <v>39</v>
      </c>
      <c r="D1273" t="s">
        <v>315</v>
      </c>
      <c r="E1273" t="s">
        <v>391</v>
      </c>
      <c r="F1273">
        <v>8</v>
      </c>
      <c r="G1273">
        <v>386304</v>
      </c>
    </row>
    <row r="1274" spans="1:7" x14ac:dyDescent="0.35">
      <c r="A1274" t="s">
        <v>1663</v>
      </c>
      <c r="B1274" s="2">
        <v>45738</v>
      </c>
      <c r="C1274" t="s">
        <v>23</v>
      </c>
      <c r="D1274" t="s">
        <v>237</v>
      </c>
      <c r="E1274" t="s">
        <v>389</v>
      </c>
      <c r="F1274">
        <v>2</v>
      </c>
      <c r="G1274">
        <v>12138</v>
      </c>
    </row>
    <row r="1275" spans="1:7" x14ac:dyDescent="0.35">
      <c r="A1275" t="s">
        <v>1664</v>
      </c>
      <c r="B1275" s="2">
        <v>45694</v>
      </c>
      <c r="C1275" t="s">
        <v>49</v>
      </c>
      <c r="D1275" t="s">
        <v>273</v>
      </c>
      <c r="E1275" t="s">
        <v>403</v>
      </c>
      <c r="F1275">
        <v>4</v>
      </c>
      <c r="G1275">
        <v>182056</v>
      </c>
    </row>
    <row r="1276" spans="1:7" x14ac:dyDescent="0.35">
      <c r="A1276" t="s">
        <v>1665</v>
      </c>
      <c r="B1276" s="2">
        <v>45907</v>
      </c>
      <c r="C1276" t="s">
        <v>45</v>
      </c>
      <c r="D1276" t="s">
        <v>289</v>
      </c>
      <c r="E1276" t="s">
        <v>394</v>
      </c>
      <c r="F1276">
        <v>6</v>
      </c>
      <c r="G1276">
        <v>46956</v>
      </c>
    </row>
    <row r="1277" spans="1:7" x14ac:dyDescent="0.35">
      <c r="A1277" t="s">
        <v>1666</v>
      </c>
      <c r="B1277" s="2">
        <v>45710</v>
      </c>
      <c r="C1277" t="s">
        <v>49</v>
      </c>
      <c r="D1277" t="s">
        <v>171</v>
      </c>
      <c r="E1277" t="s">
        <v>387</v>
      </c>
      <c r="F1277">
        <v>10</v>
      </c>
      <c r="G1277">
        <v>455140</v>
      </c>
    </row>
    <row r="1278" spans="1:7" x14ac:dyDescent="0.35">
      <c r="A1278" t="s">
        <v>1667</v>
      </c>
      <c r="B1278" s="2">
        <v>45777</v>
      </c>
      <c r="C1278" t="s">
        <v>23</v>
      </c>
      <c r="D1278" t="s">
        <v>135</v>
      </c>
      <c r="E1278" t="s">
        <v>389</v>
      </c>
      <c r="F1278">
        <v>3</v>
      </c>
      <c r="G1278">
        <v>18207</v>
      </c>
    </row>
    <row r="1279" spans="1:7" x14ac:dyDescent="0.35">
      <c r="A1279" t="s">
        <v>1668</v>
      </c>
      <c r="B1279" s="2">
        <v>45758</v>
      </c>
      <c r="C1279" t="s">
        <v>23</v>
      </c>
      <c r="D1279" t="s">
        <v>335</v>
      </c>
      <c r="E1279" t="s">
        <v>391</v>
      </c>
      <c r="F1279">
        <v>3</v>
      </c>
      <c r="G1279">
        <v>18207</v>
      </c>
    </row>
    <row r="1280" spans="1:7" x14ac:dyDescent="0.35">
      <c r="A1280" t="s">
        <v>1669</v>
      </c>
      <c r="B1280" s="2">
        <v>45935</v>
      </c>
      <c r="C1280" t="s">
        <v>31</v>
      </c>
      <c r="D1280" t="s">
        <v>319</v>
      </c>
      <c r="E1280" t="s">
        <v>387</v>
      </c>
      <c r="F1280">
        <v>6</v>
      </c>
      <c r="G1280">
        <v>179796</v>
      </c>
    </row>
    <row r="1281" spans="1:7" x14ac:dyDescent="0.35">
      <c r="A1281" t="s">
        <v>1670</v>
      </c>
      <c r="B1281" s="2">
        <v>45700</v>
      </c>
      <c r="C1281" t="s">
        <v>16</v>
      </c>
      <c r="D1281" t="s">
        <v>305</v>
      </c>
      <c r="E1281" t="s">
        <v>391</v>
      </c>
      <c r="F1281">
        <v>7</v>
      </c>
      <c r="G1281">
        <v>223734</v>
      </c>
    </row>
    <row r="1282" spans="1:7" x14ac:dyDescent="0.35">
      <c r="A1282" t="s">
        <v>1671</v>
      </c>
      <c r="B1282" s="2">
        <v>45908</v>
      </c>
      <c r="C1282" t="s">
        <v>7</v>
      </c>
      <c r="D1282" t="s">
        <v>103</v>
      </c>
      <c r="E1282" t="s">
        <v>391</v>
      </c>
      <c r="F1282">
        <v>9</v>
      </c>
      <c r="G1282">
        <v>235197</v>
      </c>
    </row>
    <row r="1283" spans="1:7" x14ac:dyDescent="0.35">
      <c r="A1283" t="s">
        <v>1672</v>
      </c>
      <c r="B1283" s="2">
        <v>45873</v>
      </c>
      <c r="C1283" t="s">
        <v>47</v>
      </c>
      <c r="D1283" t="s">
        <v>217</v>
      </c>
      <c r="E1283" t="s">
        <v>391</v>
      </c>
      <c r="F1283">
        <v>1</v>
      </c>
      <c r="G1283">
        <v>22062</v>
      </c>
    </row>
    <row r="1284" spans="1:7" x14ac:dyDescent="0.35">
      <c r="A1284" t="s">
        <v>1673</v>
      </c>
      <c r="B1284" s="2">
        <v>45886</v>
      </c>
      <c r="C1284" t="s">
        <v>45</v>
      </c>
      <c r="D1284" t="s">
        <v>209</v>
      </c>
      <c r="E1284" t="s">
        <v>394</v>
      </c>
      <c r="F1284">
        <v>9</v>
      </c>
      <c r="G1284">
        <v>70434</v>
      </c>
    </row>
    <row r="1285" spans="1:7" x14ac:dyDescent="0.35">
      <c r="A1285" t="s">
        <v>1674</v>
      </c>
      <c r="B1285" s="2">
        <v>45879</v>
      </c>
      <c r="C1285" t="s">
        <v>29</v>
      </c>
      <c r="D1285" t="s">
        <v>143</v>
      </c>
      <c r="E1285" t="s">
        <v>391</v>
      </c>
      <c r="F1285">
        <v>5</v>
      </c>
      <c r="G1285">
        <v>213220</v>
      </c>
    </row>
    <row r="1286" spans="1:7" x14ac:dyDescent="0.35">
      <c r="A1286" t="s">
        <v>1675</v>
      </c>
      <c r="B1286" s="2">
        <v>45987</v>
      </c>
      <c r="C1286" t="s">
        <v>55</v>
      </c>
      <c r="D1286" t="s">
        <v>223</v>
      </c>
      <c r="E1286" t="s">
        <v>394</v>
      </c>
      <c r="F1286">
        <v>6</v>
      </c>
      <c r="G1286">
        <v>68490</v>
      </c>
    </row>
    <row r="1287" spans="1:7" x14ac:dyDescent="0.35">
      <c r="A1287" t="s">
        <v>1676</v>
      </c>
      <c r="B1287" s="2">
        <v>45800</v>
      </c>
      <c r="C1287" t="s">
        <v>47</v>
      </c>
      <c r="D1287" t="s">
        <v>367</v>
      </c>
      <c r="E1287" t="s">
        <v>389</v>
      </c>
      <c r="F1287">
        <v>2</v>
      </c>
      <c r="G1287">
        <v>44124</v>
      </c>
    </row>
    <row r="1288" spans="1:7" x14ac:dyDescent="0.35">
      <c r="A1288" t="s">
        <v>1677</v>
      </c>
      <c r="B1288" s="2">
        <v>45708</v>
      </c>
      <c r="C1288" t="s">
        <v>29</v>
      </c>
      <c r="D1288" t="s">
        <v>251</v>
      </c>
      <c r="E1288" t="s">
        <v>389</v>
      </c>
      <c r="F1288">
        <v>7</v>
      </c>
      <c r="G1288">
        <v>298508</v>
      </c>
    </row>
    <row r="1289" spans="1:7" x14ac:dyDescent="0.35">
      <c r="A1289" t="s">
        <v>1678</v>
      </c>
      <c r="B1289" s="2">
        <v>45873</v>
      </c>
      <c r="C1289" t="s">
        <v>4</v>
      </c>
      <c r="D1289" t="s">
        <v>249</v>
      </c>
      <c r="E1289" t="s">
        <v>394</v>
      </c>
      <c r="F1289">
        <v>1</v>
      </c>
      <c r="G1289">
        <v>11815</v>
      </c>
    </row>
    <row r="1290" spans="1:7" x14ac:dyDescent="0.35">
      <c r="A1290" t="s">
        <v>1679</v>
      </c>
      <c r="B1290" s="2">
        <v>45841</v>
      </c>
      <c r="C1290" t="s">
        <v>49</v>
      </c>
      <c r="D1290" t="s">
        <v>257</v>
      </c>
      <c r="E1290" t="s">
        <v>394</v>
      </c>
      <c r="F1290">
        <v>5</v>
      </c>
      <c r="G1290">
        <v>227570</v>
      </c>
    </row>
    <row r="1291" spans="1:7" x14ac:dyDescent="0.35">
      <c r="A1291" t="s">
        <v>1680</v>
      </c>
      <c r="B1291" s="2">
        <v>45965</v>
      </c>
      <c r="C1291" t="s">
        <v>7</v>
      </c>
      <c r="D1291" t="s">
        <v>241</v>
      </c>
      <c r="E1291" t="s">
        <v>389</v>
      </c>
      <c r="F1291">
        <v>1</v>
      </c>
      <c r="G1291">
        <v>26133</v>
      </c>
    </row>
    <row r="1292" spans="1:7" x14ac:dyDescent="0.35">
      <c r="A1292" t="s">
        <v>1681</v>
      </c>
      <c r="B1292" s="2">
        <v>45740</v>
      </c>
      <c r="C1292" t="s">
        <v>27</v>
      </c>
      <c r="D1292" t="s">
        <v>175</v>
      </c>
      <c r="E1292" t="s">
        <v>394</v>
      </c>
      <c r="F1292">
        <v>7</v>
      </c>
      <c r="G1292">
        <v>263788</v>
      </c>
    </row>
    <row r="1293" spans="1:7" x14ac:dyDescent="0.35">
      <c r="A1293" t="s">
        <v>1682</v>
      </c>
      <c r="B1293" s="2">
        <v>45677</v>
      </c>
      <c r="C1293" t="s">
        <v>61</v>
      </c>
      <c r="D1293" t="s">
        <v>341</v>
      </c>
      <c r="E1293" t="s">
        <v>389</v>
      </c>
      <c r="F1293">
        <v>3</v>
      </c>
      <c r="G1293">
        <v>75048</v>
      </c>
    </row>
    <row r="1294" spans="1:7" x14ac:dyDescent="0.35">
      <c r="A1294" t="s">
        <v>1683</v>
      </c>
      <c r="B1294" s="2">
        <v>45800</v>
      </c>
      <c r="C1294" t="s">
        <v>21</v>
      </c>
      <c r="D1294" t="s">
        <v>309</v>
      </c>
      <c r="E1294" t="s">
        <v>389</v>
      </c>
      <c r="F1294">
        <v>3</v>
      </c>
      <c r="G1294">
        <v>45627</v>
      </c>
    </row>
    <row r="1295" spans="1:7" x14ac:dyDescent="0.35">
      <c r="A1295" t="s">
        <v>1684</v>
      </c>
      <c r="B1295" s="2">
        <v>45861</v>
      </c>
      <c r="C1295" t="s">
        <v>59</v>
      </c>
      <c r="D1295" t="s">
        <v>263</v>
      </c>
      <c r="E1295" t="s">
        <v>394</v>
      </c>
      <c r="F1295">
        <v>1</v>
      </c>
      <c r="G1295">
        <v>48106</v>
      </c>
    </row>
    <row r="1296" spans="1:7" x14ac:dyDescent="0.35">
      <c r="A1296" t="s">
        <v>1685</v>
      </c>
      <c r="B1296" s="2">
        <v>46004</v>
      </c>
      <c r="C1296" t="s">
        <v>57</v>
      </c>
      <c r="D1296" t="s">
        <v>133</v>
      </c>
      <c r="E1296" t="s">
        <v>403</v>
      </c>
      <c r="F1296">
        <v>5</v>
      </c>
      <c r="G1296">
        <v>243945</v>
      </c>
    </row>
    <row r="1297" spans="1:7" x14ac:dyDescent="0.35">
      <c r="A1297" t="s">
        <v>1686</v>
      </c>
      <c r="B1297" s="2">
        <v>45953</v>
      </c>
      <c r="C1297" t="s">
        <v>29</v>
      </c>
      <c r="D1297" t="s">
        <v>131</v>
      </c>
      <c r="E1297" t="s">
        <v>403</v>
      </c>
      <c r="F1297">
        <v>10</v>
      </c>
      <c r="G1297">
        <v>426440</v>
      </c>
    </row>
    <row r="1298" spans="1:7" x14ac:dyDescent="0.35">
      <c r="A1298" t="s">
        <v>1687</v>
      </c>
      <c r="B1298" s="2">
        <v>45985</v>
      </c>
      <c r="C1298" t="s">
        <v>51</v>
      </c>
      <c r="D1298" t="s">
        <v>365</v>
      </c>
      <c r="E1298" t="s">
        <v>391</v>
      </c>
      <c r="F1298">
        <v>3</v>
      </c>
      <c r="G1298">
        <v>94317</v>
      </c>
    </row>
    <row r="1299" spans="1:7" x14ac:dyDescent="0.35">
      <c r="A1299" t="s">
        <v>1688</v>
      </c>
      <c r="B1299" s="2">
        <v>45694</v>
      </c>
      <c r="C1299" t="s">
        <v>33</v>
      </c>
      <c r="D1299" t="s">
        <v>279</v>
      </c>
      <c r="E1299" t="s">
        <v>391</v>
      </c>
      <c r="F1299">
        <v>3</v>
      </c>
      <c r="G1299">
        <v>108759</v>
      </c>
    </row>
    <row r="1300" spans="1:7" x14ac:dyDescent="0.35">
      <c r="A1300" t="s">
        <v>1689</v>
      </c>
      <c r="B1300" s="2">
        <v>45854</v>
      </c>
      <c r="C1300" t="s">
        <v>59</v>
      </c>
      <c r="D1300" t="s">
        <v>211</v>
      </c>
      <c r="E1300" t="s">
        <v>403</v>
      </c>
      <c r="F1300">
        <v>4</v>
      </c>
      <c r="G1300">
        <v>192424</v>
      </c>
    </row>
    <row r="1301" spans="1:7" x14ac:dyDescent="0.35">
      <c r="A1301" t="s">
        <v>1690</v>
      </c>
      <c r="B1301" s="2">
        <v>45889</v>
      </c>
      <c r="C1301" t="s">
        <v>55</v>
      </c>
      <c r="D1301" t="s">
        <v>361</v>
      </c>
      <c r="E1301" t="s">
        <v>387</v>
      </c>
      <c r="F1301">
        <v>9</v>
      </c>
      <c r="G1301">
        <v>102735</v>
      </c>
    </row>
    <row r="1302" spans="1:7" x14ac:dyDescent="0.35">
      <c r="A1302" t="s">
        <v>1691</v>
      </c>
      <c r="B1302" s="2">
        <v>45775</v>
      </c>
      <c r="C1302" t="s">
        <v>19</v>
      </c>
      <c r="D1302" t="s">
        <v>345</v>
      </c>
      <c r="E1302" t="s">
        <v>403</v>
      </c>
      <c r="F1302">
        <v>4</v>
      </c>
      <c r="G1302">
        <v>168636</v>
      </c>
    </row>
    <row r="1303" spans="1:7" x14ac:dyDescent="0.35">
      <c r="A1303" t="s">
        <v>1692</v>
      </c>
      <c r="B1303" s="2">
        <v>45693</v>
      </c>
      <c r="C1303" t="s">
        <v>59</v>
      </c>
      <c r="D1303" t="s">
        <v>127</v>
      </c>
      <c r="E1303" t="s">
        <v>403</v>
      </c>
      <c r="F1303">
        <v>1</v>
      </c>
      <c r="G1303">
        <v>48106</v>
      </c>
    </row>
    <row r="1304" spans="1:7" x14ac:dyDescent="0.35">
      <c r="A1304" t="s">
        <v>1693</v>
      </c>
      <c r="B1304" s="2">
        <v>45759</v>
      </c>
      <c r="C1304" t="s">
        <v>33</v>
      </c>
      <c r="D1304" t="s">
        <v>113</v>
      </c>
      <c r="E1304" t="s">
        <v>403</v>
      </c>
      <c r="F1304">
        <v>4</v>
      </c>
      <c r="G1304">
        <v>145012</v>
      </c>
    </row>
    <row r="1305" spans="1:7" x14ac:dyDescent="0.35">
      <c r="A1305" t="s">
        <v>1694</v>
      </c>
      <c r="B1305" s="2">
        <v>45692</v>
      </c>
      <c r="C1305" t="s">
        <v>37</v>
      </c>
      <c r="D1305" t="s">
        <v>157</v>
      </c>
      <c r="E1305" t="s">
        <v>389</v>
      </c>
      <c r="F1305">
        <v>6</v>
      </c>
      <c r="G1305">
        <v>11718</v>
      </c>
    </row>
    <row r="1306" spans="1:7" x14ac:dyDescent="0.35">
      <c r="A1306" t="s">
        <v>1695</v>
      </c>
      <c r="B1306" s="2">
        <v>46009</v>
      </c>
      <c r="C1306" t="s">
        <v>13</v>
      </c>
      <c r="D1306" t="s">
        <v>81</v>
      </c>
      <c r="E1306" t="s">
        <v>391</v>
      </c>
      <c r="F1306">
        <v>5</v>
      </c>
      <c r="G1306">
        <v>150885</v>
      </c>
    </row>
    <row r="1307" spans="1:7" x14ac:dyDescent="0.35">
      <c r="A1307" t="s">
        <v>1696</v>
      </c>
      <c r="B1307" s="2">
        <v>46004</v>
      </c>
      <c r="C1307" t="s">
        <v>10</v>
      </c>
      <c r="D1307" t="s">
        <v>115</v>
      </c>
      <c r="E1307" t="s">
        <v>387</v>
      </c>
      <c r="F1307">
        <v>8</v>
      </c>
      <c r="G1307">
        <v>36128</v>
      </c>
    </row>
    <row r="1308" spans="1:7" x14ac:dyDescent="0.35">
      <c r="A1308" t="s">
        <v>1697</v>
      </c>
      <c r="B1308" s="2">
        <v>45868</v>
      </c>
      <c r="C1308" t="s">
        <v>39</v>
      </c>
      <c r="D1308" t="s">
        <v>161</v>
      </c>
      <c r="E1308" t="s">
        <v>391</v>
      </c>
      <c r="F1308">
        <v>8</v>
      </c>
      <c r="G1308">
        <v>386304</v>
      </c>
    </row>
    <row r="1309" spans="1:7" x14ac:dyDescent="0.35">
      <c r="A1309" t="s">
        <v>1698</v>
      </c>
      <c r="B1309" s="2">
        <v>46000</v>
      </c>
      <c r="C1309" t="s">
        <v>16</v>
      </c>
      <c r="D1309" t="s">
        <v>171</v>
      </c>
      <c r="E1309" t="s">
        <v>387</v>
      </c>
      <c r="F1309">
        <v>10</v>
      </c>
      <c r="G1309">
        <v>319620</v>
      </c>
    </row>
    <row r="1310" spans="1:7" x14ac:dyDescent="0.35">
      <c r="A1310" t="s">
        <v>1699</v>
      </c>
      <c r="B1310" s="2">
        <v>45980</v>
      </c>
      <c r="C1310" t="s">
        <v>35</v>
      </c>
      <c r="D1310" t="s">
        <v>239</v>
      </c>
      <c r="E1310" t="s">
        <v>403</v>
      </c>
      <c r="F1310">
        <v>2</v>
      </c>
      <c r="G1310">
        <v>98920</v>
      </c>
    </row>
    <row r="1311" spans="1:7" x14ac:dyDescent="0.35">
      <c r="A1311" t="s">
        <v>1700</v>
      </c>
      <c r="B1311" s="2">
        <v>45980</v>
      </c>
      <c r="C1311" t="s">
        <v>33</v>
      </c>
      <c r="D1311" t="s">
        <v>361</v>
      </c>
      <c r="E1311" t="s">
        <v>403</v>
      </c>
      <c r="F1311">
        <v>2</v>
      </c>
      <c r="G1311">
        <v>72506</v>
      </c>
    </row>
    <row r="1312" spans="1:7" x14ac:dyDescent="0.35">
      <c r="A1312" t="s">
        <v>1701</v>
      </c>
      <c r="B1312" s="2">
        <v>45819</v>
      </c>
      <c r="C1312" t="s">
        <v>45</v>
      </c>
      <c r="D1312" t="s">
        <v>175</v>
      </c>
      <c r="E1312" t="s">
        <v>394</v>
      </c>
      <c r="F1312">
        <v>9</v>
      </c>
      <c r="G1312">
        <v>70434</v>
      </c>
    </row>
    <row r="1313" spans="1:7" x14ac:dyDescent="0.35">
      <c r="A1313" t="s">
        <v>1702</v>
      </c>
      <c r="B1313" s="2">
        <v>45870</v>
      </c>
      <c r="C1313" t="s">
        <v>43</v>
      </c>
      <c r="D1313" t="s">
        <v>137</v>
      </c>
      <c r="E1313" t="s">
        <v>387</v>
      </c>
      <c r="F1313">
        <v>6</v>
      </c>
      <c r="G1313">
        <v>226950</v>
      </c>
    </row>
    <row r="1314" spans="1:7" x14ac:dyDescent="0.35">
      <c r="A1314" t="s">
        <v>1703</v>
      </c>
      <c r="B1314" s="2">
        <v>45843</v>
      </c>
      <c r="C1314" t="s">
        <v>55</v>
      </c>
      <c r="D1314" t="s">
        <v>163</v>
      </c>
      <c r="E1314" t="s">
        <v>403</v>
      </c>
      <c r="F1314">
        <v>4</v>
      </c>
      <c r="G1314">
        <v>45660</v>
      </c>
    </row>
    <row r="1315" spans="1:7" x14ac:dyDescent="0.35">
      <c r="A1315" t="s">
        <v>1704</v>
      </c>
      <c r="B1315" s="2">
        <v>45730</v>
      </c>
      <c r="C1315" t="s">
        <v>37</v>
      </c>
      <c r="D1315" t="s">
        <v>319</v>
      </c>
      <c r="E1315" t="s">
        <v>391</v>
      </c>
      <c r="F1315">
        <v>4</v>
      </c>
      <c r="G1315">
        <v>7812</v>
      </c>
    </row>
    <row r="1316" spans="1:7" x14ac:dyDescent="0.35">
      <c r="A1316" t="s">
        <v>1705</v>
      </c>
      <c r="B1316" s="2">
        <v>45942</v>
      </c>
      <c r="C1316" t="s">
        <v>51</v>
      </c>
      <c r="D1316" t="s">
        <v>84</v>
      </c>
      <c r="E1316" t="s">
        <v>387</v>
      </c>
      <c r="F1316">
        <v>9</v>
      </c>
      <c r="G1316">
        <v>282951</v>
      </c>
    </row>
    <row r="1317" spans="1:7" x14ac:dyDescent="0.35">
      <c r="A1317" t="s">
        <v>1706</v>
      </c>
      <c r="B1317" s="2">
        <v>45676</v>
      </c>
      <c r="C1317" t="s">
        <v>67</v>
      </c>
      <c r="D1317" t="s">
        <v>117</v>
      </c>
      <c r="E1317" t="s">
        <v>394</v>
      </c>
      <c r="F1317">
        <v>5</v>
      </c>
      <c r="G1317">
        <v>108080</v>
      </c>
    </row>
    <row r="1318" spans="1:7" x14ac:dyDescent="0.35">
      <c r="A1318" t="s">
        <v>1707</v>
      </c>
      <c r="B1318" s="2">
        <v>45990</v>
      </c>
      <c r="C1318" t="s">
        <v>39</v>
      </c>
      <c r="D1318" t="s">
        <v>293</v>
      </c>
      <c r="E1318" t="s">
        <v>391</v>
      </c>
      <c r="F1318">
        <v>1</v>
      </c>
      <c r="G1318">
        <v>48288</v>
      </c>
    </row>
    <row r="1319" spans="1:7" x14ac:dyDescent="0.35">
      <c r="A1319" t="s">
        <v>1708</v>
      </c>
      <c r="B1319" s="2">
        <v>45742</v>
      </c>
      <c r="C1319" t="s">
        <v>63</v>
      </c>
      <c r="D1319" t="s">
        <v>217</v>
      </c>
      <c r="E1319" t="s">
        <v>387</v>
      </c>
      <c r="F1319">
        <v>10</v>
      </c>
      <c r="G1319">
        <v>87680</v>
      </c>
    </row>
    <row r="1320" spans="1:7" x14ac:dyDescent="0.35">
      <c r="A1320" t="s">
        <v>1709</v>
      </c>
      <c r="B1320" s="2">
        <v>45925</v>
      </c>
      <c r="C1320" t="s">
        <v>23</v>
      </c>
      <c r="D1320" t="s">
        <v>207</v>
      </c>
      <c r="E1320" t="s">
        <v>394</v>
      </c>
      <c r="F1320">
        <v>1</v>
      </c>
      <c r="G1320">
        <v>6069</v>
      </c>
    </row>
    <row r="1321" spans="1:7" x14ac:dyDescent="0.35">
      <c r="A1321" t="s">
        <v>1710</v>
      </c>
      <c r="B1321" s="2">
        <v>45833</v>
      </c>
      <c r="C1321" t="s">
        <v>33</v>
      </c>
      <c r="D1321" t="s">
        <v>257</v>
      </c>
      <c r="E1321" t="s">
        <v>403</v>
      </c>
      <c r="F1321">
        <v>5</v>
      </c>
      <c r="G1321">
        <v>181265</v>
      </c>
    </row>
    <row r="1322" spans="1:7" x14ac:dyDescent="0.35">
      <c r="A1322" t="s">
        <v>1711</v>
      </c>
      <c r="B1322" s="2">
        <v>46015</v>
      </c>
      <c r="C1322" t="s">
        <v>63</v>
      </c>
      <c r="D1322" t="s">
        <v>131</v>
      </c>
      <c r="E1322" t="s">
        <v>403</v>
      </c>
      <c r="F1322">
        <v>4</v>
      </c>
      <c r="G1322">
        <v>35072</v>
      </c>
    </row>
    <row r="1323" spans="1:7" x14ac:dyDescent="0.35">
      <c r="A1323" t="s">
        <v>1712</v>
      </c>
      <c r="B1323" s="2">
        <v>45778</v>
      </c>
      <c r="C1323" t="s">
        <v>47</v>
      </c>
      <c r="D1323" t="s">
        <v>153</v>
      </c>
      <c r="E1323" t="s">
        <v>387</v>
      </c>
      <c r="F1323">
        <v>7</v>
      </c>
      <c r="G1323">
        <v>154434</v>
      </c>
    </row>
    <row r="1324" spans="1:7" x14ac:dyDescent="0.35">
      <c r="A1324" t="s">
        <v>1713</v>
      </c>
      <c r="B1324" s="2">
        <v>45860</v>
      </c>
      <c r="C1324" t="s">
        <v>35</v>
      </c>
      <c r="D1324" t="s">
        <v>147</v>
      </c>
      <c r="E1324" t="s">
        <v>391</v>
      </c>
      <c r="F1324">
        <v>5</v>
      </c>
      <c r="G1324">
        <v>247300</v>
      </c>
    </row>
    <row r="1325" spans="1:7" x14ac:dyDescent="0.35">
      <c r="A1325" t="s">
        <v>1714</v>
      </c>
      <c r="B1325" s="2">
        <v>45993</v>
      </c>
      <c r="C1325" t="s">
        <v>67</v>
      </c>
      <c r="D1325" t="s">
        <v>295</v>
      </c>
      <c r="E1325" t="s">
        <v>387</v>
      </c>
      <c r="F1325">
        <v>8</v>
      </c>
      <c r="G1325">
        <v>172928</v>
      </c>
    </row>
    <row r="1326" spans="1:7" x14ac:dyDescent="0.35">
      <c r="A1326" t="s">
        <v>1715</v>
      </c>
      <c r="B1326" s="2">
        <v>45750</v>
      </c>
      <c r="C1326" t="s">
        <v>37</v>
      </c>
      <c r="D1326" t="s">
        <v>321</v>
      </c>
      <c r="E1326" t="s">
        <v>391</v>
      </c>
      <c r="F1326">
        <v>1</v>
      </c>
      <c r="G1326">
        <v>1953</v>
      </c>
    </row>
    <row r="1327" spans="1:7" x14ac:dyDescent="0.35">
      <c r="A1327" t="s">
        <v>1716</v>
      </c>
      <c r="B1327" s="2">
        <v>45935</v>
      </c>
      <c r="C1327" t="s">
        <v>57</v>
      </c>
      <c r="D1327" t="s">
        <v>225</v>
      </c>
      <c r="E1327" t="s">
        <v>403</v>
      </c>
      <c r="F1327">
        <v>10</v>
      </c>
      <c r="G1327">
        <v>487890</v>
      </c>
    </row>
    <row r="1328" spans="1:7" x14ac:dyDescent="0.35">
      <c r="A1328" t="s">
        <v>1717</v>
      </c>
      <c r="B1328" s="2">
        <v>46010</v>
      </c>
      <c r="C1328" t="s">
        <v>23</v>
      </c>
      <c r="D1328" t="s">
        <v>255</v>
      </c>
      <c r="E1328" t="s">
        <v>389</v>
      </c>
      <c r="F1328">
        <v>4</v>
      </c>
      <c r="G1328">
        <v>24276</v>
      </c>
    </row>
    <row r="1329" spans="1:7" x14ac:dyDescent="0.35">
      <c r="A1329" t="s">
        <v>1718</v>
      </c>
      <c r="B1329" s="2">
        <v>45726</v>
      </c>
      <c r="C1329" t="s">
        <v>67</v>
      </c>
      <c r="D1329" t="s">
        <v>235</v>
      </c>
      <c r="E1329" t="s">
        <v>403</v>
      </c>
      <c r="F1329">
        <v>7</v>
      </c>
      <c r="G1329">
        <v>151312</v>
      </c>
    </row>
    <row r="1330" spans="1:7" x14ac:dyDescent="0.35">
      <c r="A1330" t="s">
        <v>1719</v>
      </c>
      <c r="B1330" s="2">
        <v>45768</v>
      </c>
      <c r="C1330" t="s">
        <v>19</v>
      </c>
      <c r="D1330" t="s">
        <v>251</v>
      </c>
      <c r="E1330" t="s">
        <v>394</v>
      </c>
      <c r="F1330">
        <v>2</v>
      </c>
      <c r="G1330">
        <v>84318</v>
      </c>
    </row>
    <row r="1331" spans="1:7" x14ac:dyDescent="0.35">
      <c r="A1331" t="s">
        <v>1720</v>
      </c>
      <c r="B1331" s="2">
        <v>45792</v>
      </c>
      <c r="C1331" t="s">
        <v>23</v>
      </c>
      <c r="D1331" t="s">
        <v>359</v>
      </c>
      <c r="E1331" t="s">
        <v>394</v>
      </c>
      <c r="F1331">
        <v>5</v>
      </c>
      <c r="G1331">
        <v>30345</v>
      </c>
    </row>
    <row r="1332" spans="1:7" x14ac:dyDescent="0.35">
      <c r="A1332" t="s">
        <v>1721</v>
      </c>
      <c r="B1332" s="2">
        <v>45863</v>
      </c>
      <c r="C1332" t="s">
        <v>47</v>
      </c>
      <c r="D1332" t="s">
        <v>369</v>
      </c>
      <c r="E1332" t="s">
        <v>389</v>
      </c>
      <c r="F1332">
        <v>2</v>
      </c>
      <c r="G1332">
        <v>44124</v>
      </c>
    </row>
    <row r="1333" spans="1:7" x14ac:dyDescent="0.35">
      <c r="A1333" t="s">
        <v>1722</v>
      </c>
      <c r="B1333" s="2">
        <v>45882</v>
      </c>
      <c r="C1333" t="s">
        <v>27</v>
      </c>
      <c r="D1333" t="s">
        <v>205</v>
      </c>
      <c r="E1333" t="s">
        <v>391</v>
      </c>
      <c r="F1333">
        <v>9</v>
      </c>
      <c r="G1333">
        <v>339156</v>
      </c>
    </row>
    <row r="1334" spans="1:7" x14ac:dyDescent="0.35">
      <c r="A1334" t="s">
        <v>1723</v>
      </c>
      <c r="B1334" s="2">
        <v>45990</v>
      </c>
      <c r="C1334" t="s">
        <v>59</v>
      </c>
      <c r="D1334" t="s">
        <v>111</v>
      </c>
      <c r="E1334" t="s">
        <v>403</v>
      </c>
      <c r="F1334">
        <v>1</v>
      </c>
      <c r="G1334">
        <v>48106</v>
      </c>
    </row>
    <row r="1335" spans="1:7" x14ac:dyDescent="0.35">
      <c r="A1335" t="s">
        <v>1724</v>
      </c>
      <c r="B1335" s="2">
        <v>45900</v>
      </c>
      <c r="C1335" t="s">
        <v>49</v>
      </c>
      <c r="D1335" t="s">
        <v>341</v>
      </c>
      <c r="E1335" t="s">
        <v>403</v>
      </c>
      <c r="F1335">
        <v>4</v>
      </c>
      <c r="G1335">
        <v>182056</v>
      </c>
    </row>
    <row r="1336" spans="1:7" x14ac:dyDescent="0.35">
      <c r="A1336" t="s">
        <v>1725</v>
      </c>
      <c r="B1336" s="2">
        <v>45683</v>
      </c>
      <c r="C1336" t="s">
        <v>31</v>
      </c>
      <c r="D1336" t="s">
        <v>243</v>
      </c>
      <c r="E1336" t="s">
        <v>403</v>
      </c>
      <c r="F1336">
        <v>6</v>
      </c>
      <c r="G1336">
        <v>179796</v>
      </c>
    </row>
    <row r="1337" spans="1:7" x14ac:dyDescent="0.35">
      <c r="A1337" t="s">
        <v>1726</v>
      </c>
      <c r="B1337" s="2">
        <v>45685</v>
      </c>
      <c r="C1337" t="s">
        <v>16</v>
      </c>
      <c r="D1337" t="s">
        <v>313</v>
      </c>
      <c r="E1337" t="s">
        <v>391</v>
      </c>
      <c r="F1337">
        <v>7</v>
      </c>
      <c r="G1337">
        <v>223734</v>
      </c>
    </row>
    <row r="1338" spans="1:7" x14ac:dyDescent="0.35">
      <c r="A1338" t="s">
        <v>1727</v>
      </c>
      <c r="B1338" s="2">
        <v>45713</v>
      </c>
      <c r="C1338" t="s">
        <v>67</v>
      </c>
      <c r="D1338" t="s">
        <v>185</v>
      </c>
      <c r="E1338" t="s">
        <v>387</v>
      </c>
      <c r="F1338">
        <v>2</v>
      </c>
      <c r="G1338">
        <v>43232</v>
      </c>
    </row>
    <row r="1339" spans="1:7" x14ac:dyDescent="0.35">
      <c r="A1339" t="s">
        <v>1728</v>
      </c>
      <c r="B1339" s="2">
        <v>45690</v>
      </c>
      <c r="C1339" t="s">
        <v>67</v>
      </c>
      <c r="D1339" t="s">
        <v>281</v>
      </c>
      <c r="E1339" t="s">
        <v>387</v>
      </c>
      <c r="F1339">
        <v>4</v>
      </c>
      <c r="G1339">
        <v>86464</v>
      </c>
    </row>
    <row r="1340" spans="1:7" x14ac:dyDescent="0.35">
      <c r="A1340" t="s">
        <v>1729</v>
      </c>
      <c r="B1340" s="2">
        <v>45832</v>
      </c>
      <c r="C1340" t="s">
        <v>41</v>
      </c>
      <c r="D1340" t="s">
        <v>351</v>
      </c>
      <c r="E1340" t="s">
        <v>403</v>
      </c>
      <c r="F1340">
        <v>1</v>
      </c>
      <c r="G1340">
        <v>21262</v>
      </c>
    </row>
    <row r="1341" spans="1:7" x14ac:dyDescent="0.35">
      <c r="A1341" t="s">
        <v>1730</v>
      </c>
      <c r="B1341" s="2">
        <v>45723</v>
      </c>
      <c r="C1341" t="s">
        <v>31</v>
      </c>
      <c r="D1341" t="s">
        <v>265</v>
      </c>
      <c r="E1341" t="s">
        <v>394</v>
      </c>
      <c r="F1341">
        <v>10</v>
      </c>
      <c r="G1341">
        <v>299660</v>
      </c>
    </row>
    <row r="1342" spans="1:7" x14ac:dyDescent="0.35">
      <c r="A1342" t="s">
        <v>1731</v>
      </c>
      <c r="B1342" s="2">
        <v>45755</v>
      </c>
      <c r="C1342" t="s">
        <v>19</v>
      </c>
      <c r="D1342" t="s">
        <v>253</v>
      </c>
      <c r="E1342" t="s">
        <v>403</v>
      </c>
      <c r="F1342">
        <v>7</v>
      </c>
      <c r="G1342">
        <v>295113</v>
      </c>
    </row>
    <row r="1343" spans="1:7" x14ac:dyDescent="0.35">
      <c r="A1343" t="s">
        <v>1732</v>
      </c>
      <c r="B1343" s="2">
        <v>46016</v>
      </c>
      <c r="C1343" t="s">
        <v>27</v>
      </c>
      <c r="D1343" t="s">
        <v>251</v>
      </c>
      <c r="E1343" t="s">
        <v>403</v>
      </c>
      <c r="F1343">
        <v>4</v>
      </c>
      <c r="G1343">
        <v>150736</v>
      </c>
    </row>
    <row r="1344" spans="1:7" x14ac:dyDescent="0.35">
      <c r="A1344" t="s">
        <v>1733</v>
      </c>
      <c r="B1344" s="2">
        <v>46002</v>
      </c>
      <c r="C1344" t="s">
        <v>59</v>
      </c>
      <c r="D1344" t="s">
        <v>181</v>
      </c>
      <c r="E1344" t="s">
        <v>391</v>
      </c>
      <c r="F1344">
        <v>3</v>
      </c>
      <c r="G1344">
        <v>144318</v>
      </c>
    </row>
    <row r="1345" spans="1:7" x14ac:dyDescent="0.35">
      <c r="A1345" t="s">
        <v>1734</v>
      </c>
      <c r="B1345" s="2">
        <v>45919</v>
      </c>
      <c r="C1345" t="s">
        <v>51</v>
      </c>
      <c r="D1345" t="s">
        <v>191</v>
      </c>
      <c r="E1345" t="s">
        <v>391</v>
      </c>
      <c r="F1345">
        <v>3</v>
      </c>
      <c r="G1345">
        <v>94317</v>
      </c>
    </row>
    <row r="1346" spans="1:7" x14ac:dyDescent="0.35">
      <c r="A1346" t="s">
        <v>1735</v>
      </c>
      <c r="B1346" s="2">
        <v>45971</v>
      </c>
      <c r="C1346" t="s">
        <v>43</v>
      </c>
      <c r="D1346" t="s">
        <v>285</v>
      </c>
      <c r="E1346" t="s">
        <v>403</v>
      </c>
      <c r="F1346">
        <v>5</v>
      </c>
      <c r="G1346">
        <v>189125</v>
      </c>
    </row>
    <row r="1347" spans="1:7" x14ac:dyDescent="0.35">
      <c r="A1347" t="s">
        <v>1736</v>
      </c>
      <c r="B1347" s="2">
        <v>45820</v>
      </c>
      <c r="C1347" t="s">
        <v>57</v>
      </c>
      <c r="D1347" t="s">
        <v>107</v>
      </c>
      <c r="E1347" t="s">
        <v>387</v>
      </c>
      <c r="F1347">
        <v>3</v>
      </c>
      <c r="G1347">
        <v>146367</v>
      </c>
    </row>
    <row r="1348" spans="1:7" x14ac:dyDescent="0.35">
      <c r="A1348" t="s">
        <v>1737</v>
      </c>
      <c r="B1348" s="2">
        <v>45825</v>
      </c>
      <c r="C1348" t="s">
        <v>13</v>
      </c>
      <c r="D1348" t="s">
        <v>193</v>
      </c>
      <c r="E1348" t="s">
        <v>394</v>
      </c>
      <c r="F1348">
        <v>2</v>
      </c>
      <c r="G1348">
        <v>60354</v>
      </c>
    </row>
    <row r="1349" spans="1:7" x14ac:dyDescent="0.35">
      <c r="A1349" t="s">
        <v>1738</v>
      </c>
      <c r="B1349" s="2">
        <v>45956</v>
      </c>
      <c r="C1349" t="s">
        <v>33</v>
      </c>
      <c r="D1349" t="s">
        <v>377</v>
      </c>
      <c r="E1349" t="s">
        <v>387</v>
      </c>
      <c r="F1349">
        <v>1</v>
      </c>
      <c r="G1349">
        <v>36253</v>
      </c>
    </row>
    <row r="1350" spans="1:7" x14ac:dyDescent="0.35">
      <c r="A1350" t="s">
        <v>1739</v>
      </c>
      <c r="B1350" s="2">
        <v>45720</v>
      </c>
      <c r="C1350" t="s">
        <v>65</v>
      </c>
      <c r="D1350" t="s">
        <v>247</v>
      </c>
      <c r="E1350" t="s">
        <v>394</v>
      </c>
      <c r="F1350">
        <v>1</v>
      </c>
      <c r="G1350">
        <v>545</v>
      </c>
    </row>
    <row r="1351" spans="1:7" x14ac:dyDescent="0.35">
      <c r="A1351" t="s">
        <v>1740</v>
      </c>
      <c r="B1351" s="2">
        <v>45917</v>
      </c>
      <c r="C1351" t="s">
        <v>25</v>
      </c>
      <c r="D1351" t="s">
        <v>349</v>
      </c>
      <c r="E1351" t="s">
        <v>389</v>
      </c>
      <c r="F1351">
        <v>2</v>
      </c>
      <c r="G1351">
        <v>36486</v>
      </c>
    </row>
    <row r="1352" spans="1:7" x14ac:dyDescent="0.35">
      <c r="A1352" t="s">
        <v>1741</v>
      </c>
      <c r="B1352" s="2">
        <v>45954</v>
      </c>
      <c r="C1352" t="s">
        <v>61</v>
      </c>
      <c r="D1352" t="s">
        <v>307</v>
      </c>
      <c r="E1352" t="s">
        <v>391</v>
      </c>
      <c r="F1352">
        <v>10</v>
      </c>
      <c r="G1352">
        <v>250160</v>
      </c>
    </row>
    <row r="1353" spans="1:7" x14ac:dyDescent="0.35">
      <c r="A1353" t="s">
        <v>1742</v>
      </c>
      <c r="B1353" s="2">
        <v>45707</v>
      </c>
      <c r="C1353" t="s">
        <v>37</v>
      </c>
      <c r="D1353" t="s">
        <v>373</v>
      </c>
      <c r="E1353" t="s">
        <v>394</v>
      </c>
      <c r="F1353">
        <v>4</v>
      </c>
      <c r="G1353">
        <v>7812</v>
      </c>
    </row>
    <row r="1354" spans="1:7" x14ac:dyDescent="0.35">
      <c r="A1354" t="s">
        <v>1743</v>
      </c>
      <c r="B1354" s="2">
        <v>45733</v>
      </c>
      <c r="C1354" t="s">
        <v>23</v>
      </c>
      <c r="D1354" t="s">
        <v>333</v>
      </c>
      <c r="E1354" t="s">
        <v>403</v>
      </c>
      <c r="F1354">
        <v>5</v>
      </c>
      <c r="G1354">
        <v>30345</v>
      </c>
    </row>
    <row r="1355" spans="1:7" x14ac:dyDescent="0.35">
      <c r="A1355" t="s">
        <v>1744</v>
      </c>
      <c r="B1355" s="2">
        <v>45903</v>
      </c>
      <c r="C1355" t="s">
        <v>33</v>
      </c>
      <c r="D1355" t="s">
        <v>313</v>
      </c>
      <c r="E1355" t="s">
        <v>391</v>
      </c>
      <c r="F1355">
        <v>8</v>
      </c>
      <c r="G1355">
        <v>290024</v>
      </c>
    </row>
    <row r="1356" spans="1:7" x14ac:dyDescent="0.35">
      <c r="A1356" t="s">
        <v>1745</v>
      </c>
      <c r="B1356" s="2">
        <v>45958</v>
      </c>
      <c r="C1356" t="s">
        <v>39</v>
      </c>
      <c r="D1356" t="s">
        <v>283</v>
      </c>
      <c r="E1356" t="s">
        <v>391</v>
      </c>
      <c r="F1356">
        <v>6</v>
      </c>
      <c r="G1356">
        <v>289728</v>
      </c>
    </row>
    <row r="1357" spans="1:7" x14ac:dyDescent="0.35">
      <c r="A1357" t="s">
        <v>1746</v>
      </c>
      <c r="B1357" s="2">
        <v>45854</v>
      </c>
      <c r="C1357" t="s">
        <v>25</v>
      </c>
      <c r="D1357" t="s">
        <v>171</v>
      </c>
      <c r="E1357" t="s">
        <v>391</v>
      </c>
      <c r="F1357">
        <v>1</v>
      </c>
      <c r="G1357">
        <v>18243</v>
      </c>
    </row>
    <row r="1358" spans="1:7" x14ac:dyDescent="0.35">
      <c r="A1358" t="s">
        <v>1747</v>
      </c>
      <c r="B1358" s="2">
        <v>45688</v>
      </c>
      <c r="C1358" t="s">
        <v>55</v>
      </c>
      <c r="D1358" t="s">
        <v>315</v>
      </c>
      <c r="E1358" t="s">
        <v>391</v>
      </c>
      <c r="F1358">
        <v>8</v>
      </c>
      <c r="G1358">
        <v>91320</v>
      </c>
    </row>
    <row r="1359" spans="1:7" x14ac:dyDescent="0.35">
      <c r="A1359" t="s">
        <v>1748</v>
      </c>
      <c r="B1359" s="2">
        <v>45744</v>
      </c>
      <c r="C1359" t="s">
        <v>67</v>
      </c>
      <c r="D1359" t="s">
        <v>225</v>
      </c>
      <c r="E1359" t="s">
        <v>391</v>
      </c>
      <c r="F1359">
        <v>1</v>
      </c>
      <c r="G1359">
        <v>21616</v>
      </c>
    </row>
    <row r="1360" spans="1:7" x14ac:dyDescent="0.35">
      <c r="A1360" t="s">
        <v>1749</v>
      </c>
      <c r="B1360" s="2">
        <v>45873</v>
      </c>
      <c r="C1360" t="s">
        <v>7</v>
      </c>
      <c r="D1360" t="s">
        <v>209</v>
      </c>
      <c r="E1360" t="s">
        <v>389</v>
      </c>
      <c r="F1360">
        <v>5</v>
      </c>
      <c r="G1360">
        <v>130665</v>
      </c>
    </row>
    <row r="1361" spans="1:7" x14ac:dyDescent="0.35">
      <c r="A1361" t="s">
        <v>1750</v>
      </c>
      <c r="B1361" s="2">
        <v>45901</v>
      </c>
      <c r="C1361" t="s">
        <v>63</v>
      </c>
      <c r="D1361" t="s">
        <v>375</v>
      </c>
      <c r="E1361" t="s">
        <v>389</v>
      </c>
      <c r="F1361">
        <v>3</v>
      </c>
      <c r="G1361">
        <v>26304</v>
      </c>
    </row>
    <row r="1362" spans="1:7" x14ac:dyDescent="0.35">
      <c r="A1362" t="s">
        <v>1751</v>
      </c>
      <c r="B1362" s="2">
        <v>46005</v>
      </c>
      <c r="C1362" t="s">
        <v>13</v>
      </c>
      <c r="D1362" t="s">
        <v>229</v>
      </c>
      <c r="E1362" t="s">
        <v>387</v>
      </c>
      <c r="F1362">
        <v>2</v>
      </c>
      <c r="G1362">
        <v>60354</v>
      </c>
    </row>
    <row r="1363" spans="1:7" x14ac:dyDescent="0.35">
      <c r="A1363" t="s">
        <v>1752</v>
      </c>
      <c r="B1363" s="2">
        <v>45928</v>
      </c>
      <c r="C1363" t="s">
        <v>16</v>
      </c>
      <c r="D1363" t="s">
        <v>115</v>
      </c>
      <c r="E1363" t="s">
        <v>389</v>
      </c>
      <c r="F1363">
        <v>4</v>
      </c>
      <c r="G1363">
        <v>127848</v>
      </c>
    </row>
    <row r="1364" spans="1:7" x14ac:dyDescent="0.35">
      <c r="A1364" t="s">
        <v>1753</v>
      </c>
      <c r="B1364" s="2">
        <v>45874</v>
      </c>
      <c r="C1364" t="s">
        <v>55</v>
      </c>
      <c r="D1364" t="s">
        <v>367</v>
      </c>
      <c r="E1364" t="s">
        <v>387</v>
      </c>
      <c r="F1364">
        <v>1</v>
      </c>
      <c r="G1364">
        <v>11415</v>
      </c>
    </row>
    <row r="1365" spans="1:7" x14ac:dyDescent="0.35">
      <c r="A1365" t="s">
        <v>1754</v>
      </c>
      <c r="B1365" s="2">
        <v>45974</v>
      </c>
      <c r="C1365" t="s">
        <v>4</v>
      </c>
      <c r="D1365" t="s">
        <v>271</v>
      </c>
      <c r="E1365" t="s">
        <v>389</v>
      </c>
      <c r="F1365">
        <v>3</v>
      </c>
      <c r="G1365">
        <v>35445</v>
      </c>
    </row>
    <row r="1366" spans="1:7" x14ac:dyDescent="0.35">
      <c r="A1366" t="s">
        <v>1755</v>
      </c>
      <c r="B1366" s="2">
        <v>45831</v>
      </c>
      <c r="C1366" t="s">
        <v>7</v>
      </c>
      <c r="D1366" t="s">
        <v>181</v>
      </c>
      <c r="E1366" t="s">
        <v>403</v>
      </c>
      <c r="F1366">
        <v>2</v>
      </c>
      <c r="G1366">
        <v>52266</v>
      </c>
    </row>
    <row r="1367" spans="1:7" x14ac:dyDescent="0.35">
      <c r="A1367" t="s">
        <v>1756</v>
      </c>
      <c r="B1367" s="2">
        <v>45978</v>
      </c>
      <c r="C1367" t="s">
        <v>61</v>
      </c>
      <c r="D1367" t="s">
        <v>273</v>
      </c>
      <c r="E1367" t="s">
        <v>403</v>
      </c>
      <c r="F1367">
        <v>4</v>
      </c>
      <c r="G1367">
        <v>100064</v>
      </c>
    </row>
    <row r="1368" spans="1:7" x14ac:dyDescent="0.35">
      <c r="A1368" t="s">
        <v>1757</v>
      </c>
      <c r="B1368" s="2">
        <v>45804</v>
      </c>
      <c r="C1368" t="s">
        <v>4</v>
      </c>
      <c r="D1368" t="s">
        <v>347</v>
      </c>
      <c r="E1368" t="s">
        <v>387</v>
      </c>
      <c r="F1368">
        <v>2</v>
      </c>
      <c r="G1368">
        <v>23630</v>
      </c>
    </row>
    <row r="1369" spans="1:7" x14ac:dyDescent="0.35">
      <c r="A1369" t="s">
        <v>1758</v>
      </c>
      <c r="B1369" s="2">
        <v>45843</v>
      </c>
      <c r="C1369" t="s">
        <v>4</v>
      </c>
      <c r="D1369" t="s">
        <v>323</v>
      </c>
      <c r="E1369" t="s">
        <v>389</v>
      </c>
      <c r="F1369">
        <v>10</v>
      </c>
      <c r="G1369">
        <v>118150</v>
      </c>
    </row>
    <row r="1370" spans="1:7" x14ac:dyDescent="0.35">
      <c r="A1370" t="s">
        <v>1759</v>
      </c>
      <c r="B1370" s="2">
        <v>45663</v>
      </c>
      <c r="C1370" t="s">
        <v>49</v>
      </c>
      <c r="D1370" t="s">
        <v>267</v>
      </c>
      <c r="E1370" t="s">
        <v>394</v>
      </c>
      <c r="F1370">
        <v>3</v>
      </c>
      <c r="G1370">
        <v>136542</v>
      </c>
    </row>
    <row r="1371" spans="1:7" x14ac:dyDescent="0.35">
      <c r="A1371" t="s">
        <v>1760</v>
      </c>
      <c r="B1371" s="2">
        <v>45749</v>
      </c>
      <c r="C1371" t="s">
        <v>27</v>
      </c>
      <c r="D1371" t="s">
        <v>151</v>
      </c>
      <c r="E1371" t="s">
        <v>389</v>
      </c>
      <c r="F1371">
        <v>2</v>
      </c>
      <c r="G1371">
        <v>75368</v>
      </c>
    </row>
    <row r="1372" spans="1:7" x14ac:dyDescent="0.35">
      <c r="A1372" t="s">
        <v>1761</v>
      </c>
      <c r="B1372" s="2">
        <v>45672</v>
      </c>
      <c r="C1372" t="s">
        <v>10</v>
      </c>
      <c r="D1372" t="s">
        <v>291</v>
      </c>
      <c r="E1372" t="s">
        <v>387</v>
      </c>
      <c r="F1372">
        <v>10</v>
      </c>
      <c r="G1372">
        <v>45160</v>
      </c>
    </row>
    <row r="1373" spans="1:7" x14ac:dyDescent="0.35">
      <c r="A1373" t="s">
        <v>1762</v>
      </c>
      <c r="B1373" s="2">
        <v>45831</v>
      </c>
      <c r="C1373" t="s">
        <v>55</v>
      </c>
      <c r="D1373" t="s">
        <v>189</v>
      </c>
      <c r="E1373" t="s">
        <v>391</v>
      </c>
      <c r="F1373">
        <v>6</v>
      </c>
      <c r="G1373">
        <v>68490</v>
      </c>
    </row>
    <row r="1374" spans="1:7" x14ac:dyDescent="0.35">
      <c r="A1374" t="s">
        <v>1763</v>
      </c>
      <c r="B1374" s="2">
        <v>45755</v>
      </c>
      <c r="C1374" t="s">
        <v>55</v>
      </c>
      <c r="D1374" t="s">
        <v>139</v>
      </c>
      <c r="E1374" t="s">
        <v>391</v>
      </c>
      <c r="F1374">
        <v>1</v>
      </c>
      <c r="G1374">
        <v>11415</v>
      </c>
    </row>
    <row r="1375" spans="1:7" x14ac:dyDescent="0.35">
      <c r="A1375" t="s">
        <v>1764</v>
      </c>
      <c r="B1375" s="2">
        <v>45835</v>
      </c>
      <c r="C1375" t="s">
        <v>33</v>
      </c>
      <c r="D1375" t="s">
        <v>331</v>
      </c>
      <c r="E1375" t="s">
        <v>387</v>
      </c>
      <c r="F1375">
        <v>1</v>
      </c>
      <c r="G1375">
        <v>36253</v>
      </c>
    </row>
    <row r="1376" spans="1:7" x14ac:dyDescent="0.35">
      <c r="A1376" t="s">
        <v>1765</v>
      </c>
      <c r="B1376" s="2">
        <v>45868</v>
      </c>
      <c r="C1376" t="s">
        <v>23</v>
      </c>
      <c r="D1376" t="s">
        <v>359</v>
      </c>
      <c r="E1376" t="s">
        <v>387</v>
      </c>
      <c r="F1376">
        <v>7</v>
      </c>
      <c r="G1376">
        <v>42483</v>
      </c>
    </row>
    <row r="1377" spans="1:7" x14ac:dyDescent="0.35">
      <c r="A1377" t="s">
        <v>1766</v>
      </c>
      <c r="B1377" s="2">
        <v>45855</v>
      </c>
      <c r="C1377" t="s">
        <v>4</v>
      </c>
      <c r="D1377" t="s">
        <v>101</v>
      </c>
      <c r="E1377" t="s">
        <v>403</v>
      </c>
      <c r="F1377">
        <v>7</v>
      </c>
      <c r="G1377">
        <v>82705</v>
      </c>
    </row>
    <row r="1378" spans="1:7" x14ac:dyDescent="0.35">
      <c r="A1378" t="s">
        <v>1767</v>
      </c>
      <c r="B1378" s="2">
        <v>45922</v>
      </c>
      <c r="C1378" t="s">
        <v>13</v>
      </c>
      <c r="D1378" t="s">
        <v>367</v>
      </c>
      <c r="E1378" t="s">
        <v>389</v>
      </c>
      <c r="F1378">
        <v>7</v>
      </c>
      <c r="G1378">
        <v>211239</v>
      </c>
    </row>
    <row r="1379" spans="1:7" x14ac:dyDescent="0.35">
      <c r="A1379" t="s">
        <v>1768</v>
      </c>
      <c r="B1379" s="2">
        <v>45800</v>
      </c>
      <c r="C1379" t="s">
        <v>35</v>
      </c>
      <c r="D1379" t="s">
        <v>169</v>
      </c>
      <c r="E1379" t="s">
        <v>394</v>
      </c>
      <c r="F1379">
        <v>10</v>
      </c>
      <c r="G1379">
        <v>494600</v>
      </c>
    </row>
    <row r="1380" spans="1:7" x14ac:dyDescent="0.35">
      <c r="A1380" t="s">
        <v>1769</v>
      </c>
      <c r="B1380" s="2">
        <v>45930</v>
      </c>
      <c r="C1380" t="s">
        <v>53</v>
      </c>
      <c r="D1380" t="s">
        <v>183</v>
      </c>
      <c r="E1380" t="s">
        <v>389</v>
      </c>
      <c r="F1380">
        <v>10</v>
      </c>
      <c r="G1380">
        <v>42080</v>
      </c>
    </row>
    <row r="1381" spans="1:7" x14ac:dyDescent="0.35">
      <c r="A1381" t="s">
        <v>1770</v>
      </c>
      <c r="B1381" s="2">
        <v>45854</v>
      </c>
      <c r="C1381" t="s">
        <v>4</v>
      </c>
      <c r="D1381" t="s">
        <v>239</v>
      </c>
      <c r="E1381" t="s">
        <v>394</v>
      </c>
      <c r="F1381">
        <v>6</v>
      </c>
      <c r="G1381">
        <v>70890</v>
      </c>
    </row>
    <row r="1382" spans="1:7" x14ac:dyDescent="0.35">
      <c r="A1382" t="s">
        <v>1771</v>
      </c>
      <c r="B1382" s="2">
        <v>45702</v>
      </c>
      <c r="C1382" t="s">
        <v>45</v>
      </c>
      <c r="D1382" t="s">
        <v>365</v>
      </c>
      <c r="E1382" t="s">
        <v>391</v>
      </c>
      <c r="F1382">
        <v>9</v>
      </c>
      <c r="G1382">
        <v>70434</v>
      </c>
    </row>
    <row r="1383" spans="1:7" x14ac:dyDescent="0.35">
      <c r="A1383" t="s">
        <v>1772</v>
      </c>
      <c r="B1383" s="2">
        <v>45884</v>
      </c>
      <c r="C1383" t="s">
        <v>55</v>
      </c>
      <c r="D1383" t="s">
        <v>249</v>
      </c>
      <c r="E1383" t="s">
        <v>389</v>
      </c>
      <c r="F1383">
        <v>7</v>
      </c>
      <c r="G1383">
        <v>79905</v>
      </c>
    </row>
    <row r="1384" spans="1:7" x14ac:dyDescent="0.35">
      <c r="A1384" t="s">
        <v>1773</v>
      </c>
      <c r="B1384" s="2">
        <v>45877</v>
      </c>
      <c r="C1384" t="s">
        <v>27</v>
      </c>
      <c r="D1384" t="s">
        <v>285</v>
      </c>
      <c r="E1384" t="s">
        <v>403</v>
      </c>
      <c r="F1384">
        <v>2</v>
      </c>
      <c r="G1384">
        <v>75368</v>
      </c>
    </row>
    <row r="1385" spans="1:7" x14ac:dyDescent="0.35">
      <c r="A1385" t="s">
        <v>1774</v>
      </c>
      <c r="B1385" s="2">
        <v>45660</v>
      </c>
      <c r="C1385" t="s">
        <v>7</v>
      </c>
      <c r="D1385" t="s">
        <v>223</v>
      </c>
      <c r="E1385" t="s">
        <v>394</v>
      </c>
      <c r="F1385">
        <v>2</v>
      </c>
      <c r="G1385">
        <v>52266</v>
      </c>
    </row>
    <row r="1386" spans="1:7" x14ac:dyDescent="0.35">
      <c r="A1386" t="s">
        <v>1775</v>
      </c>
      <c r="B1386" s="2">
        <v>45930</v>
      </c>
      <c r="C1386" t="s">
        <v>43</v>
      </c>
      <c r="D1386" t="s">
        <v>225</v>
      </c>
      <c r="E1386" t="s">
        <v>389</v>
      </c>
      <c r="F1386">
        <v>3</v>
      </c>
      <c r="G1386">
        <v>113475</v>
      </c>
    </row>
    <row r="1387" spans="1:7" x14ac:dyDescent="0.35">
      <c r="A1387" t="s">
        <v>1776</v>
      </c>
      <c r="B1387" s="2">
        <v>46006</v>
      </c>
      <c r="C1387" t="s">
        <v>13</v>
      </c>
      <c r="D1387" t="s">
        <v>219</v>
      </c>
      <c r="E1387" t="s">
        <v>403</v>
      </c>
      <c r="F1387">
        <v>6</v>
      </c>
      <c r="G1387">
        <v>181062</v>
      </c>
    </row>
    <row r="1388" spans="1:7" x14ac:dyDescent="0.35">
      <c r="A1388" t="s">
        <v>1777</v>
      </c>
      <c r="B1388" s="2">
        <v>45852</v>
      </c>
      <c r="C1388" t="s">
        <v>13</v>
      </c>
      <c r="D1388" t="s">
        <v>335</v>
      </c>
      <c r="E1388" t="s">
        <v>387</v>
      </c>
      <c r="F1388">
        <v>6</v>
      </c>
      <c r="G1388">
        <v>181062</v>
      </c>
    </row>
    <row r="1389" spans="1:7" x14ac:dyDescent="0.35">
      <c r="A1389" t="s">
        <v>1778</v>
      </c>
      <c r="B1389" s="2">
        <v>46021</v>
      </c>
      <c r="C1389" t="s">
        <v>31</v>
      </c>
      <c r="D1389" t="s">
        <v>231</v>
      </c>
      <c r="E1389" t="s">
        <v>391</v>
      </c>
      <c r="F1389">
        <v>9</v>
      </c>
      <c r="G1389">
        <v>269694</v>
      </c>
    </row>
    <row r="1390" spans="1:7" x14ac:dyDescent="0.35">
      <c r="A1390" t="s">
        <v>1779</v>
      </c>
      <c r="B1390" s="2">
        <v>45983</v>
      </c>
      <c r="C1390" t="s">
        <v>41</v>
      </c>
      <c r="D1390" t="s">
        <v>359</v>
      </c>
      <c r="E1390" t="s">
        <v>391</v>
      </c>
      <c r="F1390">
        <v>8</v>
      </c>
      <c r="G1390">
        <v>170096</v>
      </c>
    </row>
    <row r="1391" spans="1:7" x14ac:dyDescent="0.35">
      <c r="A1391" t="s">
        <v>1780</v>
      </c>
      <c r="B1391" s="2">
        <v>45739</v>
      </c>
      <c r="C1391" t="s">
        <v>67</v>
      </c>
      <c r="D1391" t="s">
        <v>347</v>
      </c>
      <c r="E1391" t="s">
        <v>403</v>
      </c>
      <c r="F1391">
        <v>7</v>
      </c>
      <c r="G1391">
        <v>151312</v>
      </c>
    </row>
    <row r="1392" spans="1:7" x14ac:dyDescent="0.35">
      <c r="A1392" t="s">
        <v>1781</v>
      </c>
      <c r="B1392" s="2">
        <v>45733</v>
      </c>
      <c r="C1392" t="s">
        <v>4</v>
      </c>
      <c r="D1392" t="s">
        <v>95</v>
      </c>
      <c r="E1392" t="s">
        <v>391</v>
      </c>
      <c r="F1392">
        <v>8</v>
      </c>
      <c r="G1392">
        <v>94520</v>
      </c>
    </row>
    <row r="1393" spans="1:7" x14ac:dyDescent="0.35">
      <c r="A1393" t="s">
        <v>1782</v>
      </c>
      <c r="B1393" s="2">
        <v>45999</v>
      </c>
      <c r="C1393" t="s">
        <v>19</v>
      </c>
      <c r="D1393" t="s">
        <v>279</v>
      </c>
      <c r="E1393" t="s">
        <v>394</v>
      </c>
      <c r="F1393">
        <v>3</v>
      </c>
      <c r="G1393">
        <v>126477</v>
      </c>
    </row>
    <row r="1394" spans="1:7" x14ac:dyDescent="0.35">
      <c r="A1394" t="s">
        <v>1783</v>
      </c>
      <c r="B1394" s="2">
        <v>45676</v>
      </c>
      <c r="C1394" t="s">
        <v>39</v>
      </c>
      <c r="D1394" t="s">
        <v>135</v>
      </c>
      <c r="E1394" t="s">
        <v>387</v>
      </c>
      <c r="F1394">
        <v>6</v>
      </c>
      <c r="G1394">
        <v>289728</v>
      </c>
    </row>
    <row r="1395" spans="1:7" x14ac:dyDescent="0.35">
      <c r="A1395" t="s">
        <v>1784</v>
      </c>
      <c r="B1395" s="2">
        <v>46000</v>
      </c>
      <c r="C1395" t="s">
        <v>53</v>
      </c>
      <c r="D1395" t="s">
        <v>203</v>
      </c>
      <c r="E1395" t="s">
        <v>394</v>
      </c>
      <c r="F1395">
        <v>9</v>
      </c>
      <c r="G1395">
        <v>37872</v>
      </c>
    </row>
    <row r="1396" spans="1:7" x14ac:dyDescent="0.35">
      <c r="A1396" t="s">
        <v>1785</v>
      </c>
      <c r="B1396" s="2">
        <v>45914</v>
      </c>
      <c r="C1396" t="s">
        <v>10</v>
      </c>
      <c r="D1396" t="s">
        <v>201</v>
      </c>
      <c r="E1396" t="s">
        <v>394</v>
      </c>
      <c r="F1396">
        <v>4</v>
      </c>
      <c r="G1396">
        <v>18064</v>
      </c>
    </row>
    <row r="1397" spans="1:7" x14ac:dyDescent="0.35">
      <c r="A1397" t="s">
        <v>1786</v>
      </c>
      <c r="B1397" s="2">
        <v>45921</v>
      </c>
      <c r="C1397" t="s">
        <v>61</v>
      </c>
      <c r="D1397" t="s">
        <v>257</v>
      </c>
      <c r="E1397" t="s">
        <v>389</v>
      </c>
      <c r="F1397">
        <v>10</v>
      </c>
      <c r="G1397">
        <v>250160</v>
      </c>
    </row>
    <row r="1398" spans="1:7" x14ac:dyDescent="0.35">
      <c r="A1398" t="s">
        <v>1787</v>
      </c>
      <c r="B1398" s="2">
        <v>45834</v>
      </c>
      <c r="C1398" t="s">
        <v>63</v>
      </c>
      <c r="D1398" t="s">
        <v>137</v>
      </c>
      <c r="E1398" t="s">
        <v>387</v>
      </c>
      <c r="F1398">
        <v>2</v>
      </c>
      <c r="G1398">
        <v>17536</v>
      </c>
    </row>
    <row r="1399" spans="1:7" x14ac:dyDescent="0.35">
      <c r="A1399" t="s">
        <v>1788</v>
      </c>
      <c r="B1399" s="2">
        <v>46004</v>
      </c>
      <c r="C1399" t="s">
        <v>65</v>
      </c>
      <c r="D1399" t="s">
        <v>179</v>
      </c>
      <c r="E1399" t="s">
        <v>394</v>
      </c>
      <c r="F1399">
        <v>10</v>
      </c>
      <c r="G1399">
        <v>5450</v>
      </c>
    </row>
    <row r="1400" spans="1:7" x14ac:dyDescent="0.35">
      <c r="A1400" t="s">
        <v>1789</v>
      </c>
      <c r="B1400" s="2">
        <v>45996</v>
      </c>
      <c r="C1400" t="s">
        <v>51</v>
      </c>
      <c r="D1400" t="s">
        <v>237</v>
      </c>
      <c r="E1400" t="s">
        <v>394</v>
      </c>
      <c r="F1400">
        <v>2</v>
      </c>
      <c r="G1400">
        <v>62878</v>
      </c>
    </row>
    <row r="1401" spans="1:7" x14ac:dyDescent="0.35">
      <c r="A1401" t="s">
        <v>1790</v>
      </c>
      <c r="B1401" s="2">
        <v>45969</v>
      </c>
      <c r="C1401" t="s">
        <v>37</v>
      </c>
      <c r="D1401" t="s">
        <v>111</v>
      </c>
      <c r="E1401" t="s">
        <v>387</v>
      </c>
      <c r="F1401">
        <v>4</v>
      </c>
      <c r="G1401">
        <v>7812</v>
      </c>
    </row>
    <row r="1402" spans="1:7" x14ac:dyDescent="0.35">
      <c r="A1402" t="s">
        <v>1791</v>
      </c>
      <c r="B1402" s="2">
        <v>45762</v>
      </c>
      <c r="C1402" t="s">
        <v>43</v>
      </c>
      <c r="D1402" t="s">
        <v>191</v>
      </c>
      <c r="E1402" t="s">
        <v>389</v>
      </c>
      <c r="F1402">
        <v>4</v>
      </c>
      <c r="G1402">
        <v>151300</v>
      </c>
    </row>
    <row r="1403" spans="1:7" x14ac:dyDescent="0.35">
      <c r="A1403" t="s">
        <v>1792</v>
      </c>
      <c r="B1403" s="2">
        <v>45961</v>
      </c>
      <c r="C1403" t="s">
        <v>7</v>
      </c>
      <c r="D1403" t="s">
        <v>287</v>
      </c>
      <c r="E1403" t="s">
        <v>389</v>
      </c>
      <c r="F1403">
        <v>5</v>
      </c>
      <c r="G1403">
        <v>130665</v>
      </c>
    </row>
    <row r="1404" spans="1:7" x14ac:dyDescent="0.35">
      <c r="A1404" t="s">
        <v>1793</v>
      </c>
      <c r="B1404" s="2">
        <v>46020</v>
      </c>
      <c r="C1404" t="s">
        <v>61</v>
      </c>
      <c r="D1404" t="s">
        <v>363</v>
      </c>
      <c r="E1404" t="s">
        <v>403</v>
      </c>
      <c r="F1404">
        <v>4</v>
      </c>
      <c r="G1404">
        <v>100064</v>
      </c>
    </row>
    <row r="1405" spans="1:7" x14ac:dyDescent="0.35">
      <c r="A1405" t="s">
        <v>1794</v>
      </c>
      <c r="B1405" s="2">
        <v>45981</v>
      </c>
      <c r="C1405" t="s">
        <v>67</v>
      </c>
      <c r="D1405" t="s">
        <v>193</v>
      </c>
      <c r="E1405" t="s">
        <v>403</v>
      </c>
      <c r="F1405">
        <v>7</v>
      </c>
      <c r="G1405">
        <v>151312</v>
      </c>
    </row>
    <row r="1406" spans="1:7" x14ac:dyDescent="0.35">
      <c r="A1406" t="s">
        <v>1795</v>
      </c>
      <c r="B1406" s="2">
        <v>45665</v>
      </c>
      <c r="C1406" t="s">
        <v>35</v>
      </c>
      <c r="D1406" t="s">
        <v>199</v>
      </c>
      <c r="E1406" t="s">
        <v>389</v>
      </c>
      <c r="F1406">
        <v>9</v>
      </c>
      <c r="G1406">
        <v>445140</v>
      </c>
    </row>
    <row r="1407" spans="1:7" x14ac:dyDescent="0.35">
      <c r="A1407" t="s">
        <v>1796</v>
      </c>
      <c r="B1407" s="2">
        <v>46001</v>
      </c>
      <c r="C1407" t="s">
        <v>23</v>
      </c>
      <c r="D1407" t="s">
        <v>379</v>
      </c>
      <c r="E1407" t="s">
        <v>389</v>
      </c>
      <c r="F1407">
        <v>6</v>
      </c>
      <c r="G1407">
        <v>36414</v>
      </c>
    </row>
    <row r="1408" spans="1:7" x14ac:dyDescent="0.35">
      <c r="A1408" t="s">
        <v>1797</v>
      </c>
      <c r="B1408" s="2">
        <v>45693</v>
      </c>
      <c r="C1408" t="s">
        <v>59</v>
      </c>
      <c r="D1408" t="s">
        <v>227</v>
      </c>
      <c r="E1408" t="s">
        <v>389</v>
      </c>
      <c r="F1408">
        <v>10</v>
      </c>
      <c r="G1408">
        <v>481060</v>
      </c>
    </row>
    <row r="1409" spans="1:7" x14ac:dyDescent="0.35">
      <c r="A1409" t="s">
        <v>1798</v>
      </c>
      <c r="B1409" s="2">
        <v>46012</v>
      </c>
      <c r="C1409" t="s">
        <v>63</v>
      </c>
      <c r="D1409" t="s">
        <v>253</v>
      </c>
      <c r="E1409" t="s">
        <v>394</v>
      </c>
      <c r="F1409">
        <v>2</v>
      </c>
      <c r="G1409">
        <v>17536</v>
      </c>
    </row>
    <row r="1410" spans="1:7" x14ac:dyDescent="0.35">
      <c r="A1410" t="s">
        <v>1799</v>
      </c>
      <c r="B1410" s="2">
        <v>45747</v>
      </c>
      <c r="C1410" t="s">
        <v>55</v>
      </c>
      <c r="D1410" t="s">
        <v>137</v>
      </c>
      <c r="E1410" t="s">
        <v>389</v>
      </c>
      <c r="F1410">
        <v>9</v>
      </c>
      <c r="G1410">
        <v>102735</v>
      </c>
    </row>
    <row r="1411" spans="1:7" x14ac:dyDescent="0.35">
      <c r="A1411" t="s">
        <v>1800</v>
      </c>
      <c r="B1411" s="2">
        <v>46013</v>
      </c>
      <c r="C1411" t="s">
        <v>21</v>
      </c>
      <c r="D1411" t="s">
        <v>329</v>
      </c>
      <c r="E1411" t="s">
        <v>389</v>
      </c>
      <c r="F1411">
        <v>5</v>
      </c>
      <c r="G1411">
        <v>76045</v>
      </c>
    </row>
    <row r="1412" spans="1:7" x14ac:dyDescent="0.35">
      <c r="A1412" t="s">
        <v>1801</v>
      </c>
      <c r="B1412" s="2">
        <v>45676</v>
      </c>
      <c r="C1412" t="s">
        <v>49</v>
      </c>
      <c r="D1412" t="s">
        <v>121</v>
      </c>
      <c r="E1412" t="s">
        <v>387</v>
      </c>
      <c r="F1412">
        <v>6</v>
      </c>
      <c r="G1412">
        <v>273084</v>
      </c>
    </row>
    <row r="1413" spans="1:7" x14ac:dyDescent="0.35">
      <c r="A1413" t="s">
        <v>1802</v>
      </c>
      <c r="B1413" s="2">
        <v>45913</v>
      </c>
      <c r="C1413" t="s">
        <v>67</v>
      </c>
      <c r="D1413" t="s">
        <v>279</v>
      </c>
      <c r="E1413" t="s">
        <v>403</v>
      </c>
      <c r="F1413">
        <v>6</v>
      </c>
      <c r="G1413">
        <v>129696</v>
      </c>
    </row>
    <row r="1414" spans="1:7" x14ac:dyDescent="0.35">
      <c r="A1414" t="s">
        <v>1803</v>
      </c>
      <c r="B1414" s="2">
        <v>45769</v>
      </c>
      <c r="C1414" t="s">
        <v>33</v>
      </c>
      <c r="D1414" t="s">
        <v>319</v>
      </c>
      <c r="E1414" t="s">
        <v>394</v>
      </c>
      <c r="F1414">
        <v>3</v>
      </c>
      <c r="G1414">
        <v>108759</v>
      </c>
    </row>
    <row r="1415" spans="1:7" x14ac:dyDescent="0.35">
      <c r="A1415" t="s">
        <v>1804</v>
      </c>
      <c r="B1415" s="2">
        <v>45731</v>
      </c>
      <c r="C1415" t="s">
        <v>37</v>
      </c>
      <c r="D1415" t="s">
        <v>353</v>
      </c>
      <c r="E1415" t="s">
        <v>391</v>
      </c>
      <c r="F1415">
        <v>8</v>
      </c>
      <c r="G1415">
        <v>15624</v>
      </c>
    </row>
    <row r="1416" spans="1:7" x14ac:dyDescent="0.35">
      <c r="A1416" t="s">
        <v>1805</v>
      </c>
      <c r="B1416" s="2">
        <v>45906</v>
      </c>
      <c r="C1416" t="s">
        <v>47</v>
      </c>
      <c r="D1416" t="s">
        <v>207</v>
      </c>
      <c r="E1416" t="s">
        <v>394</v>
      </c>
      <c r="F1416">
        <v>2</v>
      </c>
      <c r="G1416">
        <v>44124</v>
      </c>
    </row>
    <row r="1417" spans="1:7" x14ac:dyDescent="0.35">
      <c r="A1417" t="s">
        <v>1806</v>
      </c>
      <c r="B1417" s="2">
        <v>45764</v>
      </c>
      <c r="C1417" t="s">
        <v>51</v>
      </c>
      <c r="D1417" t="s">
        <v>201</v>
      </c>
      <c r="E1417" t="s">
        <v>394</v>
      </c>
      <c r="F1417">
        <v>3</v>
      </c>
      <c r="G1417">
        <v>94317</v>
      </c>
    </row>
    <row r="1418" spans="1:7" x14ac:dyDescent="0.35">
      <c r="A1418" t="s">
        <v>1807</v>
      </c>
      <c r="B1418" s="2">
        <v>45818</v>
      </c>
      <c r="C1418" t="s">
        <v>45</v>
      </c>
      <c r="D1418" t="s">
        <v>191</v>
      </c>
      <c r="E1418" t="s">
        <v>389</v>
      </c>
      <c r="F1418">
        <v>8</v>
      </c>
      <c r="G1418">
        <v>62608</v>
      </c>
    </row>
    <row r="1419" spans="1:7" x14ac:dyDescent="0.35">
      <c r="A1419" t="s">
        <v>1808</v>
      </c>
      <c r="B1419" s="2">
        <v>45658</v>
      </c>
      <c r="C1419" t="s">
        <v>37</v>
      </c>
      <c r="D1419" t="s">
        <v>167</v>
      </c>
      <c r="E1419" t="s">
        <v>403</v>
      </c>
      <c r="F1419">
        <v>6</v>
      </c>
      <c r="G1419">
        <v>11718</v>
      </c>
    </row>
    <row r="1420" spans="1:7" x14ac:dyDescent="0.35">
      <c r="A1420" t="s">
        <v>1809</v>
      </c>
      <c r="B1420" s="2">
        <v>45878</v>
      </c>
      <c r="C1420" t="s">
        <v>31</v>
      </c>
      <c r="D1420" t="s">
        <v>311</v>
      </c>
      <c r="E1420" t="s">
        <v>389</v>
      </c>
      <c r="F1420">
        <v>9</v>
      </c>
      <c r="G1420">
        <v>269694</v>
      </c>
    </row>
    <row r="1421" spans="1:7" x14ac:dyDescent="0.35">
      <c r="A1421" t="s">
        <v>1810</v>
      </c>
      <c r="B1421" s="2">
        <v>45973</v>
      </c>
      <c r="C1421" t="s">
        <v>57</v>
      </c>
      <c r="D1421" t="s">
        <v>349</v>
      </c>
      <c r="E1421" t="s">
        <v>391</v>
      </c>
      <c r="F1421">
        <v>1</v>
      </c>
      <c r="G1421">
        <v>48789</v>
      </c>
    </row>
    <row r="1422" spans="1:7" x14ac:dyDescent="0.35">
      <c r="A1422" t="s">
        <v>1811</v>
      </c>
      <c r="B1422" s="2">
        <v>45770</v>
      </c>
      <c r="C1422" t="s">
        <v>16</v>
      </c>
      <c r="D1422" t="s">
        <v>275</v>
      </c>
      <c r="E1422" t="s">
        <v>387</v>
      </c>
      <c r="F1422">
        <v>8</v>
      </c>
      <c r="G1422">
        <v>255696</v>
      </c>
    </row>
    <row r="1423" spans="1:7" x14ac:dyDescent="0.35">
      <c r="A1423" t="s">
        <v>1812</v>
      </c>
      <c r="B1423" s="2">
        <v>45990</v>
      </c>
      <c r="C1423" t="s">
        <v>61</v>
      </c>
      <c r="D1423" t="s">
        <v>321</v>
      </c>
      <c r="E1423" t="s">
        <v>389</v>
      </c>
      <c r="F1423">
        <v>2</v>
      </c>
      <c r="G1423">
        <v>50032</v>
      </c>
    </row>
    <row r="1424" spans="1:7" x14ac:dyDescent="0.35">
      <c r="A1424" t="s">
        <v>1813</v>
      </c>
      <c r="B1424" s="2">
        <v>45962</v>
      </c>
      <c r="C1424" t="s">
        <v>45</v>
      </c>
      <c r="D1424" t="s">
        <v>259</v>
      </c>
      <c r="E1424" t="s">
        <v>403</v>
      </c>
      <c r="F1424">
        <v>2</v>
      </c>
      <c r="G1424">
        <v>15652</v>
      </c>
    </row>
    <row r="1425" spans="1:7" x14ac:dyDescent="0.35">
      <c r="A1425" t="s">
        <v>1814</v>
      </c>
      <c r="B1425" s="2">
        <v>45753</v>
      </c>
      <c r="C1425" t="s">
        <v>39</v>
      </c>
      <c r="D1425" t="s">
        <v>195</v>
      </c>
      <c r="E1425" t="s">
        <v>389</v>
      </c>
      <c r="F1425">
        <v>4</v>
      </c>
      <c r="G1425">
        <v>193152</v>
      </c>
    </row>
    <row r="1426" spans="1:7" x14ac:dyDescent="0.35">
      <c r="A1426" t="s">
        <v>1815</v>
      </c>
      <c r="B1426" s="2">
        <v>45838</v>
      </c>
      <c r="C1426" t="s">
        <v>39</v>
      </c>
      <c r="D1426" t="s">
        <v>293</v>
      </c>
      <c r="E1426" t="s">
        <v>394</v>
      </c>
      <c r="F1426">
        <v>9</v>
      </c>
      <c r="G1426">
        <v>434592</v>
      </c>
    </row>
    <row r="1427" spans="1:7" x14ac:dyDescent="0.35">
      <c r="A1427" t="s">
        <v>1816</v>
      </c>
      <c r="B1427" s="2">
        <v>45878</v>
      </c>
      <c r="C1427" t="s">
        <v>25</v>
      </c>
      <c r="D1427" t="s">
        <v>175</v>
      </c>
      <c r="E1427" t="s">
        <v>389</v>
      </c>
      <c r="F1427">
        <v>1</v>
      </c>
      <c r="G1427">
        <v>18243</v>
      </c>
    </row>
    <row r="1428" spans="1:7" x14ac:dyDescent="0.35">
      <c r="A1428" t="s">
        <v>1817</v>
      </c>
      <c r="B1428" s="2">
        <v>45775</v>
      </c>
      <c r="C1428" t="s">
        <v>16</v>
      </c>
      <c r="D1428" t="s">
        <v>191</v>
      </c>
      <c r="E1428" t="s">
        <v>403</v>
      </c>
      <c r="F1428">
        <v>9</v>
      </c>
      <c r="G1428">
        <v>287658</v>
      </c>
    </row>
    <row r="1429" spans="1:7" x14ac:dyDescent="0.35">
      <c r="A1429" t="s">
        <v>1818</v>
      </c>
      <c r="B1429" s="2">
        <v>45699</v>
      </c>
      <c r="C1429" t="s">
        <v>43</v>
      </c>
      <c r="D1429" t="s">
        <v>211</v>
      </c>
      <c r="E1429" t="s">
        <v>387</v>
      </c>
      <c r="F1429">
        <v>2</v>
      </c>
      <c r="G1429">
        <v>75650</v>
      </c>
    </row>
    <row r="1430" spans="1:7" x14ac:dyDescent="0.35">
      <c r="A1430" t="s">
        <v>1819</v>
      </c>
      <c r="B1430" s="2">
        <v>45783</v>
      </c>
      <c r="C1430" t="s">
        <v>57</v>
      </c>
      <c r="D1430" t="s">
        <v>221</v>
      </c>
      <c r="E1430" t="s">
        <v>394</v>
      </c>
      <c r="F1430">
        <v>7</v>
      </c>
      <c r="G1430">
        <v>341523</v>
      </c>
    </row>
    <row r="1431" spans="1:7" x14ac:dyDescent="0.35">
      <c r="A1431" t="s">
        <v>1820</v>
      </c>
      <c r="B1431" s="2">
        <v>45886</v>
      </c>
      <c r="C1431" t="s">
        <v>51</v>
      </c>
      <c r="D1431" t="s">
        <v>189</v>
      </c>
      <c r="E1431" t="s">
        <v>394</v>
      </c>
      <c r="F1431">
        <v>1</v>
      </c>
      <c r="G1431">
        <v>31439</v>
      </c>
    </row>
    <row r="1432" spans="1:7" x14ac:dyDescent="0.35">
      <c r="A1432" t="s">
        <v>1821</v>
      </c>
      <c r="B1432" s="2">
        <v>45995</v>
      </c>
      <c r="C1432" t="s">
        <v>43</v>
      </c>
      <c r="D1432" t="s">
        <v>363</v>
      </c>
      <c r="E1432" t="s">
        <v>389</v>
      </c>
      <c r="F1432">
        <v>1</v>
      </c>
      <c r="G1432">
        <v>37825</v>
      </c>
    </row>
    <row r="1433" spans="1:7" x14ac:dyDescent="0.35">
      <c r="A1433" t="s">
        <v>1822</v>
      </c>
      <c r="B1433" s="2">
        <v>45867</v>
      </c>
      <c r="C1433" t="s">
        <v>29</v>
      </c>
      <c r="D1433" t="s">
        <v>225</v>
      </c>
      <c r="E1433" t="s">
        <v>391</v>
      </c>
      <c r="F1433">
        <v>8</v>
      </c>
      <c r="G1433">
        <v>341152</v>
      </c>
    </row>
    <row r="1434" spans="1:7" x14ac:dyDescent="0.35">
      <c r="A1434" t="s">
        <v>1823</v>
      </c>
      <c r="B1434" s="2">
        <v>45662</v>
      </c>
      <c r="C1434" t="s">
        <v>16</v>
      </c>
      <c r="D1434" t="s">
        <v>74</v>
      </c>
      <c r="E1434" t="s">
        <v>403</v>
      </c>
      <c r="F1434">
        <v>5</v>
      </c>
      <c r="G1434">
        <v>159810</v>
      </c>
    </row>
    <row r="1435" spans="1:7" x14ac:dyDescent="0.35">
      <c r="A1435" t="s">
        <v>1824</v>
      </c>
      <c r="B1435" s="2">
        <v>45937</v>
      </c>
      <c r="C1435" t="s">
        <v>13</v>
      </c>
      <c r="D1435" t="s">
        <v>81</v>
      </c>
      <c r="E1435" t="s">
        <v>394</v>
      </c>
      <c r="F1435">
        <v>1</v>
      </c>
      <c r="G1435">
        <v>30177</v>
      </c>
    </row>
    <row r="1436" spans="1:7" x14ac:dyDescent="0.35">
      <c r="A1436" t="s">
        <v>1825</v>
      </c>
      <c r="B1436" s="2">
        <v>45951</v>
      </c>
      <c r="C1436" t="s">
        <v>45</v>
      </c>
      <c r="D1436" t="s">
        <v>377</v>
      </c>
      <c r="E1436" t="s">
        <v>387</v>
      </c>
      <c r="F1436">
        <v>5</v>
      </c>
      <c r="G1436">
        <v>39130</v>
      </c>
    </row>
    <row r="1437" spans="1:7" x14ac:dyDescent="0.35">
      <c r="A1437" t="s">
        <v>1826</v>
      </c>
      <c r="B1437" s="2">
        <v>45947</v>
      </c>
      <c r="C1437" t="s">
        <v>65</v>
      </c>
      <c r="D1437" t="s">
        <v>207</v>
      </c>
      <c r="E1437" t="s">
        <v>387</v>
      </c>
      <c r="F1437">
        <v>10</v>
      </c>
      <c r="G1437">
        <v>5450</v>
      </c>
    </row>
    <row r="1438" spans="1:7" x14ac:dyDescent="0.35">
      <c r="A1438" t="s">
        <v>1827</v>
      </c>
      <c r="B1438" s="2">
        <v>45762</v>
      </c>
      <c r="C1438" t="s">
        <v>67</v>
      </c>
      <c r="D1438" t="s">
        <v>211</v>
      </c>
      <c r="E1438" t="s">
        <v>391</v>
      </c>
      <c r="F1438">
        <v>3</v>
      </c>
      <c r="G1438">
        <v>64848</v>
      </c>
    </row>
    <row r="1439" spans="1:7" x14ac:dyDescent="0.35">
      <c r="A1439" t="s">
        <v>1828</v>
      </c>
      <c r="B1439" s="2">
        <v>45801</v>
      </c>
      <c r="C1439" t="s">
        <v>41</v>
      </c>
      <c r="D1439" t="s">
        <v>117</v>
      </c>
      <c r="E1439" t="s">
        <v>387</v>
      </c>
      <c r="F1439">
        <v>7</v>
      </c>
      <c r="G1439">
        <v>148834</v>
      </c>
    </row>
    <row r="1440" spans="1:7" x14ac:dyDescent="0.35">
      <c r="A1440" t="s">
        <v>1829</v>
      </c>
      <c r="B1440" s="2">
        <v>45966</v>
      </c>
      <c r="C1440" t="s">
        <v>61</v>
      </c>
      <c r="D1440" t="s">
        <v>257</v>
      </c>
      <c r="E1440" t="s">
        <v>387</v>
      </c>
      <c r="F1440">
        <v>10</v>
      </c>
      <c r="G1440">
        <v>250160</v>
      </c>
    </row>
    <row r="1441" spans="1:7" x14ac:dyDescent="0.35">
      <c r="A1441" t="s">
        <v>1830</v>
      </c>
      <c r="B1441" s="2">
        <v>45751</v>
      </c>
      <c r="C1441" t="s">
        <v>21</v>
      </c>
      <c r="D1441" t="s">
        <v>201</v>
      </c>
      <c r="E1441" t="s">
        <v>389</v>
      </c>
      <c r="F1441">
        <v>8</v>
      </c>
      <c r="G1441">
        <v>121672</v>
      </c>
    </row>
    <row r="1442" spans="1:7" x14ac:dyDescent="0.35">
      <c r="A1442" t="s">
        <v>1831</v>
      </c>
      <c r="B1442" s="2">
        <v>45746</v>
      </c>
      <c r="C1442" t="s">
        <v>49</v>
      </c>
      <c r="D1442" t="s">
        <v>293</v>
      </c>
      <c r="E1442" t="s">
        <v>389</v>
      </c>
      <c r="F1442">
        <v>10</v>
      </c>
      <c r="G1442">
        <v>455140</v>
      </c>
    </row>
    <row r="1443" spans="1:7" x14ac:dyDescent="0.35">
      <c r="A1443" t="s">
        <v>1832</v>
      </c>
      <c r="B1443" s="2">
        <v>45719</v>
      </c>
      <c r="C1443" t="s">
        <v>55</v>
      </c>
      <c r="D1443" t="s">
        <v>165</v>
      </c>
      <c r="E1443" t="s">
        <v>403</v>
      </c>
      <c r="F1443">
        <v>8</v>
      </c>
      <c r="G1443">
        <v>91320</v>
      </c>
    </row>
    <row r="1444" spans="1:7" x14ac:dyDescent="0.35">
      <c r="A1444" t="s">
        <v>1833</v>
      </c>
      <c r="B1444" s="2">
        <v>45907</v>
      </c>
      <c r="C1444" t="s">
        <v>23</v>
      </c>
      <c r="D1444" t="s">
        <v>259</v>
      </c>
      <c r="E1444" t="s">
        <v>389</v>
      </c>
      <c r="F1444">
        <v>3</v>
      </c>
      <c r="G1444">
        <v>18207</v>
      </c>
    </row>
    <row r="1445" spans="1:7" x14ac:dyDescent="0.35">
      <c r="A1445" t="s">
        <v>1834</v>
      </c>
      <c r="B1445" s="2">
        <v>45983</v>
      </c>
      <c r="C1445" t="s">
        <v>10</v>
      </c>
      <c r="D1445" t="s">
        <v>285</v>
      </c>
      <c r="E1445" t="s">
        <v>387</v>
      </c>
      <c r="F1445">
        <v>2</v>
      </c>
      <c r="G1445">
        <v>9032</v>
      </c>
    </row>
    <row r="1446" spans="1:7" x14ac:dyDescent="0.35">
      <c r="A1446" t="s">
        <v>1835</v>
      </c>
      <c r="B1446" s="2">
        <v>45750</v>
      </c>
      <c r="C1446" t="s">
        <v>21</v>
      </c>
      <c r="D1446" t="s">
        <v>315</v>
      </c>
      <c r="E1446" t="s">
        <v>391</v>
      </c>
      <c r="F1446">
        <v>4</v>
      </c>
      <c r="G1446">
        <v>60836</v>
      </c>
    </row>
    <row r="1447" spans="1:7" x14ac:dyDescent="0.35">
      <c r="A1447" t="s">
        <v>1836</v>
      </c>
      <c r="B1447" s="2">
        <v>45847</v>
      </c>
      <c r="C1447" t="s">
        <v>37</v>
      </c>
      <c r="D1447" t="s">
        <v>88</v>
      </c>
      <c r="E1447" t="s">
        <v>387</v>
      </c>
      <c r="F1447">
        <v>8</v>
      </c>
      <c r="G1447">
        <v>15624</v>
      </c>
    </row>
    <row r="1448" spans="1:7" x14ac:dyDescent="0.35">
      <c r="A1448" t="s">
        <v>1837</v>
      </c>
      <c r="B1448" s="2">
        <v>45850</v>
      </c>
      <c r="C1448" t="s">
        <v>57</v>
      </c>
      <c r="D1448" t="s">
        <v>369</v>
      </c>
      <c r="E1448" t="s">
        <v>403</v>
      </c>
      <c r="F1448">
        <v>5</v>
      </c>
      <c r="G1448">
        <v>243945</v>
      </c>
    </row>
    <row r="1449" spans="1:7" x14ac:dyDescent="0.35">
      <c r="A1449" t="s">
        <v>1838</v>
      </c>
      <c r="B1449" s="2">
        <v>45777</v>
      </c>
      <c r="C1449" t="s">
        <v>45</v>
      </c>
      <c r="D1449" t="s">
        <v>137</v>
      </c>
      <c r="E1449" t="s">
        <v>389</v>
      </c>
      <c r="F1449">
        <v>3</v>
      </c>
      <c r="G1449">
        <v>23478</v>
      </c>
    </row>
    <row r="1450" spans="1:7" x14ac:dyDescent="0.35">
      <c r="A1450" t="s">
        <v>1839</v>
      </c>
      <c r="B1450" s="2">
        <v>45960</v>
      </c>
      <c r="C1450" t="s">
        <v>16</v>
      </c>
      <c r="D1450" t="s">
        <v>365</v>
      </c>
      <c r="E1450" t="s">
        <v>403</v>
      </c>
      <c r="F1450">
        <v>3</v>
      </c>
      <c r="G1450">
        <v>95886</v>
      </c>
    </row>
    <row r="1451" spans="1:7" x14ac:dyDescent="0.35">
      <c r="A1451" t="s">
        <v>1840</v>
      </c>
      <c r="B1451" s="2">
        <v>45777</v>
      </c>
      <c r="C1451" t="s">
        <v>10</v>
      </c>
      <c r="D1451" t="s">
        <v>329</v>
      </c>
      <c r="E1451" t="s">
        <v>387</v>
      </c>
      <c r="F1451">
        <v>3</v>
      </c>
      <c r="G1451">
        <v>13548</v>
      </c>
    </row>
    <row r="1452" spans="1:7" x14ac:dyDescent="0.35">
      <c r="A1452" t="s">
        <v>1841</v>
      </c>
      <c r="B1452" s="2">
        <v>45809</v>
      </c>
      <c r="C1452" t="s">
        <v>19</v>
      </c>
      <c r="D1452" t="s">
        <v>299</v>
      </c>
      <c r="E1452" t="s">
        <v>394</v>
      </c>
      <c r="F1452">
        <v>9</v>
      </c>
      <c r="G1452">
        <v>379431</v>
      </c>
    </row>
    <row r="1453" spans="1:7" x14ac:dyDescent="0.35">
      <c r="A1453" t="s">
        <v>1842</v>
      </c>
      <c r="B1453" s="2">
        <v>45931</v>
      </c>
      <c r="C1453" t="s">
        <v>21</v>
      </c>
      <c r="D1453" t="s">
        <v>149</v>
      </c>
      <c r="E1453" t="s">
        <v>403</v>
      </c>
      <c r="F1453">
        <v>1</v>
      </c>
      <c r="G1453">
        <v>15209</v>
      </c>
    </row>
    <row r="1454" spans="1:7" x14ac:dyDescent="0.35">
      <c r="A1454" t="s">
        <v>1843</v>
      </c>
      <c r="B1454" s="2">
        <v>45694</v>
      </c>
      <c r="C1454" t="s">
        <v>13</v>
      </c>
      <c r="D1454" t="s">
        <v>81</v>
      </c>
      <c r="E1454" t="s">
        <v>403</v>
      </c>
      <c r="F1454">
        <v>6</v>
      </c>
      <c r="G1454">
        <v>181062</v>
      </c>
    </row>
    <row r="1455" spans="1:7" x14ac:dyDescent="0.35">
      <c r="A1455" t="s">
        <v>1844</v>
      </c>
      <c r="B1455" s="2">
        <v>45969</v>
      </c>
      <c r="C1455" t="s">
        <v>39</v>
      </c>
      <c r="D1455" t="s">
        <v>367</v>
      </c>
      <c r="E1455" t="s">
        <v>389</v>
      </c>
      <c r="F1455">
        <v>9</v>
      </c>
      <c r="G1455">
        <v>434592</v>
      </c>
    </row>
    <row r="1456" spans="1:7" x14ac:dyDescent="0.35">
      <c r="A1456" t="s">
        <v>1845</v>
      </c>
      <c r="B1456" s="2">
        <v>45755</v>
      </c>
      <c r="C1456" t="s">
        <v>33</v>
      </c>
      <c r="D1456" t="s">
        <v>287</v>
      </c>
      <c r="E1456" t="s">
        <v>387</v>
      </c>
      <c r="F1456">
        <v>8</v>
      </c>
      <c r="G1456">
        <v>290024</v>
      </c>
    </row>
    <row r="1457" spans="1:7" x14ac:dyDescent="0.35">
      <c r="A1457" t="s">
        <v>1846</v>
      </c>
      <c r="B1457" s="2">
        <v>45891</v>
      </c>
      <c r="C1457" t="s">
        <v>57</v>
      </c>
      <c r="D1457" t="s">
        <v>375</v>
      </c>
      <c r="E1457" t="s">
        <v>391</v>
      </c>
      <c r="F1457">
        <v>5</v>
      </c>
      <c r="G1457">
        <v>243945</v>
      </c>
    </row>
    <row r="1458" spans="1:7" x14ac:dyDescent="0.35">
      <c r="A1458" t="s">
        <v>1847</v>
      </c>
      <c r="B1458" s="2">
        <v>46012</v>
      </c>
      <c r="C1458" t="s">
        <v>65</v>
      </c>
      <c r="D1458" t="s">
        <v>245</v>
      </c>
      <c r="E1458" t="s">
        <v>391</v>
      </c>
      <c r="F1458">
        <v>10</v>
      </c>
      <c r="G1458">
        <v>5450</v>
      </c>
    </row>
    <row r="1459" spans="1:7" x14ac:dyDescent="0.35">
      <c r="A1459" t="s">
        <v>1848</v>
      </c>
      <c r="B1459" s="2">
        <v>45949</v>
      </c>
      <c r="C1459" t="s">
        <v>27</v>
      </c>
      <c r="D1459" t="s">
        <v>189</v>
      </c>
      <c r="E1459" t="s">
        <v>389</v>
      </c>
      <c r="F1459">
        <v>8</v>
      </c>
      <c r="G1459">
        <v>301472</v>
      </c>
    </row>
    <row r="1460" spans="1:7" x14ac:dyDescent="0.35">
      <c r="A1460" t="s">
        <v>1849</v>
      </c>
      <c r="B1460" s="2">
        <v>46007</v>
      </c>
      <c r="C1460" t="s">
        <v>21</v>
      </c>
      <c r="D1460" t="s">
        <v>181</v>
      </c>
      <c r="E1460" t="s">
        <v>403</v>
      </c>
      <c r="F1460">
        <v>4</v>
      </c>
      <c r="G1460">
        <v>60836</v>
      </c>
    </row>
    <row r="1461" spans="1:7" x14ac:dyDescent="0.35">
      <c r="A1461" t="s">
        <v>1850</v>
      </c>
      <c r="B1461" s="2">
        <v>46011</v>
      </c>
      <c r="C1461" t="s">
        <v>49</v>
      </c>
      <c r="D1461" t="s">
        <v>251</v>
      </c>
      <c r="E1461" t="s">
        <v>387</v>
      </c>
      <c r="F1461">
        <v>6</v>
      </c>
      <c r="G1461">
        <v>273084</v>
      </c>
    </row>
    <row r="1462" spans="1:7" x14ac:dyDescent="0.35">
      <c r="A1462" t="s">
        <v>1851</v>
      </c>
      <c r="B1462" s="2">
        <v>46021</v>
      </c>
      <c r="C1462" t="s">
        <v>51</v>
      </c>
      <c r="D1462" t="s">
        <v>81</v>
      </c>
      <c r="E1462" t="s">
        <v>394</v>
      </c>
      <c r="F1462">
        <v>4</v>
      </c>
      <c r="G1462">
        <v>125756</v>
      </c>
    </row>
    <row r="1463" spans="1:7" x14ac:dyDescent="0.35">
      <c r="A1463" t="s">
        <v>1852</v>
      </c>
      <c r="B1463" s="2">
        <v>46016</v>
      </c>
      <c r="C1463" t="s">
        <v>16</v>
      </c>
      <c r="D1463" t="s">
        <v>227</v>
      </c>
      <c r="E1463" t="s">
        <v>389</v>
      </c>
      <c r="F1463">
        <v>1</v>
      </c>
      <c r="G1463">
        <v>31962</v>
      </c>
    </row>
    <row r="1464" spans="1:7" x14ac:dyDescent="0.35">
      <c r="A1464" t="s">
        <v>1853</v>
      </c>
      <c r="B1464" s="2">
        <v>45861</v>
      </c>
      <c r="C1464" t="s">
        <v>49</v>
      </c>
      <c r="D1464" t="s">
        <v>181</v>
      </c>
      <c r="E1464" t="s">
        <v>387</v>
      </c>
      <c r="F1464">
        <v>4</v>
      </c>
      <c r="G1464">
        <v>182056</v>
      </c>
    </row>
    <row r="1465" spans="1:7" x14ac:dyDescent="0.35">
      <c r="A1465" t="s">
        <v>1854</v>
      </c>
      <c r="B1465" s="2">
        <v>45917</v>
      </c>
      <c r="C1465" t="s">
        <v>13</v>
      </c>
      <c r="D1465" t="s">
        <v>78</v>
      </c>
      <c r="E1465" t="s">
        <v>403</v>
      </c>
      <c r="F1465">
        <v>1</v>
      </c>
      <c r="G1465">
        <v>30177</v>
      </c>
    </row>
    <row r="1466" spans="1:7" x14ac:dyDescent="0.35">
      <c r="A1466" t="s">
        <v>1855</v>
      </c>
      <c r="B1466" s="2">
        <v>45693</v>
      </c>
      <c r="C1466" t="s">
        <v>49</v>
      </c>
      <c r="D1466" t="s">
        <v>355</v>
      </c>
      <c r="E1466" t="s">
        <v>391</v>
      </c>
      <c r="F1466">
        <v>4</v>
      </c>
      <c r="G1466">
        <v>182056</v>
      </c>
    </row>
    <row r="1467" spans="1:7" x14ac:dyDescent="0.35">
      <c r="A1467" t="s">
        <v>1856</v>
      </c>
      <c r="B1467" s="2">
        <v>45867</v>
      </c>
      <c r="C1467" t="s">
        <v>13</v>
      </c>
      <c r="D1467" t="s">
        <v>327</v>
      </c>
      <c r="E1467" t="s">
        <v>394</v>
      </c>
      <c r="F1467">
        <v>1</v>
      </c>
      <c r="G1467">
        <v>30177</v>
      </c>
    </row>
    <row r="1468" spans="1:7" x14ac:dyDescent="0.35">
      <c r="A1468" t="s">
        <v>1857</v>
      </c>
      <c r="B1468" s="2">
        <v>45691</v>
      </c>
      <c r="C1468" t="s">
        <v>21</v>
      </c>
      <c r="D1468" t="s">
        <v>175</v>
      </c>
      <c r="E1468" t="s">
        <v>403</v>
      </c>
      <c r="F1468">
        <v>8</v>
      </c>
      <c r="G1468">
        <v>121672</v>
      </c>
    </row>
    <row r="1469" spans="1:7" x14ac:dyDescent="0.35">
      <c r="A1469" t="s">
        <v>1858</v>
      </c>
      <c r="B1469" s="2">
        <v>45894</v>
      </c>
      <c r="C1469" t="s">
        <v>67</v>
      </c>
      <c r="D1469" t="s">
        <v>211</v>
      </c>
      <c r="E1469" t="s">
        <v>387</v>
      </c>
      <c r="F1469">
        <v>8</v>
      </c>
      <c r="G1469">
        <v>172928</v>
      </c>
    </row>
    <row r="1470" spans="1:7" x14ac:dyDescent="0.35">
      <c r="A1470" t="s">
        <v>1859</v>
      </c>
      <c r="B1470" s="2">
        <v>45981</v>
      </c>
      <c r="C1470" t="s">
        <v>51</v>
      </c>
      <c r="D1470" t="s">
        <v>291</v>
      </c>
      <c r="E1470" t="s">
        <v>387</v>
      </c>
      <c r="F1470">
        <v>3</v>
      </c>
      <c r="G1470">
        <v>94317</v>
      </c>
    </row>
    <row r="1471" spans="1:7" x14ac:dyDescent="0.35">
      <c r="A1471" t="s">
        <v>1860</v>
      </c>
      <c r="B1471" s="2">
        <v>45806</v>
      </c>
      <c r="C1471" t="s">
        <v>13</v>
      </c>
      <c r="D1471" t="s">
        <v>227</v>
      </c>
      <c r="E1471" t="s">
        <v>391</v>
      </c>
      <c r="F1471">
        <v>2</v>
      </c>
      <c r="G1471">
        <v>60354</v>
      </c>
    </row>
    <row r="1472" spans="1:7" x14ac:dyDescent="0.35">
      <c r="A1472" t="s">
        <v>1861</v>
      </c>
      <c r="B1472" s="2">
        <v>45685</v>
      </c>
      <c r="C1472" t="s">
        <v>10</v>
      </c>
      <c r="D1472" t="s">
        <v>88</v>
      </c>
      <c r="E1472" t="s">
        <v>389</v>
      </c>
      <c r="F1472">
        <v>4</v>
      </c>
      <c r="G1472">
        <v>18064</v>
      </c>
    </row>
    <row r="1473" spans="1:7" x14ac:dyDescent="0.35">
      <c r="A1473" t="s">
        <v>1862</v>
      </c>
      <c r="B1473" s="2">
        <v>46019</v>
      </c>
      <c r="C1473" t="s">
        <v>13</v>
      </c>
      <c r="D1473" t="s">
        <v>163</v>
      </c>
      <c r="E1473" t="s">
        <v>387</v>
      </c>
      <c r="F1473">
        <v>5</v>
      </c>
      <c r="G1473">
        <v>150885</v>
      </c>
    </row>
    <row r="1474" spans="1:7" x14ac:dyDescent="0.35">
      <c r="A1474" t="s">
        <v>1863</v>
      </c>
      <c r="B1474" s="2">
        <v>45877</v>
      </c>
      <c r="C1474" t="s">
        <v>27</v>
      </c>
      <c r="D1474" t="s">
        <v>379</v>
      </c>
      <c r="E1474" t="s">
        <v>394</v>
      </c>
      <c r="F1474">
        <v>10</v>
      </c>
      <c r="G1474">
        <v>376840</v>
      </c>
    </row>
    <row r="1475" spans="1:7" x14ac:dyDescent="0.35">
      <c r="A1475" t="s">
        <v>1864</v>
      </c>
      <c r="B1475" s="2">
        <v>45923</v>
      </c>
      <c r="C1475" t="s">
        <v>19</v>
      </c>
      <c r="D1475" t="s">
        <v>131</v>
      </c>
      <c r="E1475" t="s">
        <v>389</v>
      </c>
      <c r="F1475">
        <v>9</v>
      </c>
      <c r="G1475">
        <v>379431</v>
      </c>
    </row>
    <row r="1476" spans="1:7" x14ac:dyDescent="0.35">
      <c r="A1476" t="s">
        <v>1865</v>
      </c>
      <c r="B1476" s="2">
        <v>45891</v>
      </c>
      <c r="C1476" t="s">
        <v>21</v>
      </c>
      <c r="D1476" t="s">
        <v>295</v>
      </c>
      <c r="E1476" t="s">
        <v>394</v>
      </c>
      <c r="F1476">
        <v>5</v>
      </c>
      <c r="G1476">
        <v>76045</v>
      </c>
    </row>
    <row r="1477" spans="1:7" x14ac:dyDescent="0.35">
      <c r="A1477" t="s">
        <v>1866</v>
      </c>
      <c r="B1477" s="2">
        <v>45761</v>
      </c>
      <c r="C1477" t="s">
        <v>37</v>
      </c>
      <c r="D1477" t="s">
        <v>91</v>
      </c>
      <c r="E1477" t="s">
        <v>403</v>
      </c>
      <c r="F1477">
        <v>9</v>
      </c>
      <c r="G1477">
        <v>17577</v>
      </c>
    </row>
    <row r="1478" spans="1:7" x14ac:dyDescent="0.35">
      <c r="A1478" t="s">
        <v>1867</v>
      </c>
      <c r="B1478" s="2">
        <v>45923</v>
      </c>
      <c r="C1478" t="s">
        <v>37</v>
      </c>
      <c r="D1478" t="s">
        <v>151</v>
      </c>
      <c r="E1478" t="s">
        <v>391</v>
      </c>
      <c r="F1478">
        <v>2</v>
      </c>
      <c r="G1478">
        <v>3906</v>
      </c>
    </row>
    <row r="1479" spans="1:7" x14ac:dyDescent="0.35">
      <c r="A1479" t="s">
        <v>1868</v>
      </c>
      <c r="B1479" s="2">
        <v>45762</v>
      </c>
      <c r="C1479" t="s">
        <v>7</v>
      </c>
      <c r="D1479" t="s">
        <v>221</v>
      </c>
      <c r="E1479" t="s">
        <v>387</v>
      </c>
      <c r="F1479">
        <v>5</v>
      </c>
      <c r="G1479">
        <v>130665</v>
      </c>
    </row>
    <row r="1480" spans="1:7" x14ac:dyDescent="0.35">
      <c r="A1480" t="s">
        <v>1869</v>
      </c>
      <c r="B1480" s="2">
        <v>45994</v>
      </c>
      <c r="C1480" t="s">
        <v>47</v>
      </c>
      <c r="D1480" t="s">
        <v>205</v>
      </c>
      <c r="E1480" t="s">
        <v>387</v>
      </c>
      <c r="F1480">
        <v>5</v>
      </c>
      <c r="G1480">
        <v>110310</v>
      </c>
    </row>
    <row r="1481" spans="1:7" x14ac:dyDescent="0.35">
      <c r="A1481" t="s">
        <v>1870</v>
      </c>
      <c r="B1481" s="2">
        <v>45851</v>
      </c>
      <c r="C1481" t="s">
        <v>63</v>
      </c>
      <c r="D1481" t="s">
        <v>215</v>
      </c>
      <c r="E1481" t="s">
        <v>387</v>
      </c>
      <c r="F1481">
        <v>8</v>
      </c>
      <c r="G1481">
        <v>70144</v>
      </c>
    </row>
    <row r="1482" spans="1:7" x14ac:dyDescent="0.35">
      <c r="A1482" t="s">
        <v>1871</v>
      </c>
      <c r="B1482" s="2">
        <v>45674</v>
      </c>
      <c r="C1482" t="s">
        <v>51</v>
      </c>
      <c r="D1482" t="s">
        <v>361</v>
      </c>
      <c r="E1482" t="s">
        <v>389</v>
      </c>
      <c r="F1482">
        <v>1</v>
      </c>
      <c r="G1482">
        <v>31439</v>
      </c>
    </row>
    <row r="1483" spans="1:7" x14ac:dyDescent="0.35">
      <c r="A1483" t="s">
        <v>1872</v>
      </c>
      <c r="B1483" s="2">
        <v>45902</v>
      </c>
      <c r="C1483" t="s">
        <v>37</v>
      </c>
      <c r="D1483" t="s">
        <v>257</v>
      </c>
      <c r="E1483" t="s">
        <v>403</v>
      </c>
      <c r="F1483">
        <v>1</v>
      </c>
      <c r="G1483">
        <v>1953</v>
      </c>
    </row>
    <row r="1484" spans="1:7" x14ac:dyDescent="0.35">
      <c r="A1484" t="s">
        <v>1873</v>
      </c>
      <c r="B1484" s="2">
        <v>46016</v>
      </c>
      <c r="C1484" t="s">
        <v>67</v>
      </c>
      <c r="D1484" t="s">
        <v>317</v>
      </c>
      <c r="E1484" t="s">
        <v>391</v>
      </c>
      <c r="F1484">
        <v>7</v>
      </c>
      <c r="G1484">
        <v>151312</v>
      </c>
    </row>
    <row r="1485" spans="1:7" x14ac:dyDescent="0.35">
      <c r="A1485" t="s">
        <v>1874</v>
      </c>
      <c r="B1485" s="2">
        <v>45758</v>
      </c>
      <c r="C1485" t="s">
        <v>45</v>
      </c>
      <c r="D1485" t="s">
        <v>125</v>
      </c>
      <c r="E1485" t="s">
        <v>387</v>
      </c>
      <c r="F1485">
        <v>7</v>
      </c>
      <c r="G1485">
        <v>54782</v>
      </c>
    </row>
    <row r="1486" spans="1:7" x14ac:dyDescent="0.35">
      <c r="A1486" t="s">
        <v>1875</v>
      </c>
      <c r="B1486" s="2">
        <v>45871</v>
      </c>
      <c r="C1486" t="s">
        <v>55</v>
      </c>
      <c r="D1486" t="s">
        <v>249</v>
      </c>
      <c r="E1486" t="s">
        <v>391</v>
      </c>
      <c r="F1486">
        <v>7</v>
      </c>
      <c r="G1486">
        <v>79905</v>
      </c>
    </row>
    <row r="1487" spans="1:7" x14ac:dyDescent="0.35">
      <c r="A1487" t="s">
        <v>1876</v>
      </c>
      <c r="B1487" s="2">
        <v>45757</v>
      </c>
      <c r="C1487" t="s">
        <v>16</v>
      </c>
      <c r="D1487" t="s">
        <v>191</v>
      </c>
      <c r="E1487" t="s">
        <v>389</v>
      </c>
      <c r="F1487">
        <v>4</v>
      </c>
      <c r="G1487">
        <v>127848</v>
      </c>
    </row>
    <row r="1488" spans="1:7" x14ac:dyDescent="0.35">
      <c r="A1488" t="s">
        <v>1877</v>
      </c>
      <c r="B1488" s="2">
        <v>45693</v>
      </c>
      <c r="C1488" t="s">
        <v>31</v>
      </c>
      <c r="D1488" t="s">
        <v>253</v>
      </c>
      <c r="E1488" t="s">
        <v>394</v>
      </c>
      <c r="F1488">
        <v>9</v>
      </c>
      <c r="G1488">
        <v>269694</v>
      </c>
    </row>
    <row r="1489" spans="1:7" x14ac:dyDescent="0.35">
      <c r="A1489" t="s">
        <v>1878</v>
      </c>
      <c r="B1489" s="2">
        <v>45920</v>
      </c>
      <c r="C1489" t="s">
        <v>57</v>
      </c>
      <c r="D1489" t="s">
        <v>88</v>
      </c>
      <c r="E1489" t="s">
        <v>394</v>
      </c>
      <c r="F1489">
        <v>1</v>
      </c>
      <c r="G1489">
        <v>48789</v>
      </c>
    </row>
    <row r="1490" spans="1:7" x14ac:dyDescent="0.35">
      <c r="A1490" t="s">
        <v>1879</v>
      </c>
      <c r="B1490" s="2">
        <v>45711</v>
      </c>
      <c r="C1490" t="s">
        <v>19</v>
      </c>
      <c r="D1490" t="s">
        <v>311</v>
      </c>
      <c r="E1490" t="s">
        <v>391</v>
      </c>
      <c r="F1490">
        <v>10</v>
      </c>
      <c r="G1490">
        <v>421590</v>
      </c>
    </row>
    <row r="1491" spans="1:7" x14ac:dyDescent="0.35">
      <c r="A1491" t="s">
        <v>1880</v>
      </c>
      <c r="B1491" s="2">
        <v>45880</v>
      </c>
      <c r="C1491" t="s">
        <v>63</v>
      </c>
      <c r="D1491" t="s">
        <v>95</v>
      </c>
      <c r="E1491" t="s">
        <v>389</v>
      </c>
      <c r="F1491">
        <v>3</v>
      </c>
      <c r="G1491">
        <v>26304</v>
      </c>
    </row>
    <row r="1492" spans="1:7" x14ac:dyDescent="0.35">
      <c r="A1492" t="s">
        <v>1881</v>
      </c>
      <c r="B1492" s="2">
        <v>45843</v>
      </c>
      <c r="C1492" t="s">
        <v>10</v>
      </c>
      <c r="D1492" t="s">
        <v>325</v>
      </c>
      <c r="E1492" t="s">
        <v>394</v>
      </c>
      <c r="F1492">
        <v>4</v>
      </c>
      <c r="G1492">
        <v>18064</v>
      </c>
    </row>
    <row r="1493" spans="1:7" x14ac:dyDescent="0.35">
      <c r="A1493" t="s">
        <v>1882</v>
      </c>
      <c r="B1493" s="2">
        <v>45760</v>
      </c>
      <c r="C1493" t="s">
        <v>29</v>
      </c>
      <c r="D1493" t="s">
        <v>113</v>
      </c>
      <c r="E1493" t="s">
        <v>394</v>
      </c>
      <c r="F1493">
        <v>3</v>
      </c>
      <c r="G1493">
        <v>127932</v>
      </c>
    </row>
    <row r="1494" spans="1:7" x14ac:dyDescent="0.35">
      <c r="A1494" t="s">
        <v>1883</v>
      </c>
      <c r="B1494" s="2">
        <v>45741</v>
      </c>
      <c r="C1494" t="s">
        <v>23</v>
      </c>
      <c r="D1494" t="s">
        <v>243</v>
      </c>
      <c r="E1494" t="s">
        <v>391</v>
      </c>
      <c r="F1494">
        <v>4</v>
      </c>
      <c r="G1494">
        <v>24276</v>
      </c>
    </row>
    <row r="1495" spans="1:7" x14ac:dyDescent="0.35">
      <c r="A1495" t="s">
        <v>1884</v>
      </c>
      <c r="B1495" s="2">
        <v>45845</v>
      </c>
      <c r="C1495" t="s">
        <v>10</v>
      </c>
      <c r="D1495" t="s">
        <v>147</v>
      </c>
      <c r="E1495" t="s">
        <v>387</v>
      </c>
      <c r="F1495">
        <v>3</v>
      </c>
      <c r="G1495">
        <v>13548</v>
      </c>
    </row>
    <row r="1496" spans="1:7" x14ac:dyDescent="0.35">
      <c r="A1496" t="s">
        <v>1885</v>
      </c>
      <c r="B1496" s="2">
        <v>45834</v>
      </c>
      <c r="C1496" t="s">
        <v>23</v>
      </c>
      <c r="D1496" t="s">
        <v>335</v>
      </c>
      <c r="E1496" t="s">
        <v>394</v>
      </c>
      <c r="F1496">
        <v>5</v>
      </c>
      <c r="G1496">
        <v>30345</v>
      </c>
    </row>
    <row r="1497" spans="1:7" x14ac:dyDescent="0.35">
      <c r="A1497" t="s">
        <v>1886</v>
      </c>
      <c r="B1497" s="2">
        <v>45995</v>
      </c>
      <c r="C1497" t="s">
        <v>45</v>
      </c>
      <c r="D1497" t="s">
        <v>161</v>
      </c>
      <c r="E1497" t="s">
        <v>387</v>
      </c>
      <c r="F1497">
        <v>7</v>
      </c>
      <c r="G1497">
        <v>54782</v>
      </c>
    </row>
    <row r="1498" spans="1:7" x14ac:dyDescent="0.35">
      <c r="A1498" t="s">
        <v>1887</v>
      </c>
      <c r="B1498" s="2">
        <v>45669</v>
      </c>
      <c r="C1498" t="s">
        <v>65</v>
      </c>
      <c r="D1498" t="s">
        <v>74</v>
      </c>
      <c r="E1498" t="s">
        <v>391</v>
      </c>
      <c r="F1498">
        <v>1</v>
      </c>
      <c r="G1498">
        <v>545</v>
      </c>
    </row>
    <row r="1499" spans="1:7" x14ac:dyDescent="0.35">
      <c r="A1499" t="s">
        <v>1888</v>
      </c>
      <c r="B1499" s="2">
        <v>45668</v>
      </c>
      <c r="C1499" t="s">
        <v>23</v>
      </c>
      <c r="D1499" t="s">
        <v>277</v>
      </c>
      <c r="E1499" t="s">
        <v>389</v>
      </c>
      <c r="F1499">
        <v>9</v>
      </c>
      <c r="G1499">
        <v>54621</v>
      </c>
    </row>
    <row r="1500" spans="1:7" x14ac:dyDescent="0.35">
      <c r="A1500" t="s">
        <v>1889</v>
      </c>
      <c r="B1500" s="2">
        <v>45970</v>
      </c>
      <c r="C1500" t="s">
        <v>33</v>
      </c>
      <c r="D1500" t="s">
        <v>297</v>
      </c>
      <c r="E1500" t="s">
        <v>389</v>
      </c>
      <c r="F1500">
        <v>10</v>
      </c>
      <c r="G1500">
        <v>362530</v>
      </c>
    </row>
    <row r="1501" spans="1:7" x14ac:dyDescent="0.35">
      <c r="A1501" t="s">
        <v>1890</v>
      </c>
      <c r="B1501" s="2">
        <v>46020</v>
      </c>
      <c r="C1501" t="s">
        <v>63</v>
      </c>
      <c r="D1501" t="s">
        <v>123</v>
      </c>
      <c r="E1501" t="s">
        <v>391</v>
      </c>
      <c r="F1501">
        <v>10</v>
      </c>
      <c r="G1501">
        <v>87680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1"/>
  <sheetViews>
    <sheetView workbookViewId="0">
      <selection activeCell="C9" sqref="C9"/>
    </sheetView>
  </sheetViews>
  <sheetFormatPr defaultRowHeight="14.5" x14ac:dyDescent="0.35"/>
  <sheetData>
    <row r="1" spans="1:4" x14ac:dyDescent="0.35">
      <c r="A1" s="1" t="s">
        <v>1891</v>
      </c>
      <c r="B1" t="s">
        <v>71</v>
      </c>
      <c r="C1" t="s">
        <v>1892</v>
      </c>
      <c r="D1" t="s">
        <v>1893</v>
      </c>
    </row>
    <row r="2" spans="1:4" x14ac:dyDescent="0.35">
      <c r="A2" t="s">
        <v>1894</v>
      </c>
      <c r="B2" t="s">
        <v>76</v>
      </c>
      <c r="C2">
        <v>424990</v>
      </c>
      <c r="D2">
        <v>397496</v>
      </c>
    </row>
    <row r="3" spans="1:4" x14ac:dyDescent="0.35">
      <c r="A3" t="s">
        <v>1894</v>
      </c>
      <c r="B3" t="s">
        <v>80</v>
      </c>
      <c r="C3">
        <v>345659</v>
      </c>
      <c r="D3">
        <v>369378</v>
      </c>
    </row>
    <row r="4" spans="1:4" x14ac:dyDescent="0.35">
      <c r="A4" t="s">
        <v>1894</v>
      </c>
      <c r="B4" t="s">
        <v>83</v>
      </c>
      <c r="C4">
        <v>173399</v>
      </c>
      <c r="D4">
        <v>191651</v>
      </c>
    </row>
    <row r="5" spans="1:4" x14ac:dyDescent="0.35">
      <c r="A5" t="s">
        <v>1894</v>
      </c>
      <c r="B5" t="s">
        <v>86</v>
      </c>
      <c r="C5">
        <v>318515</v>
      </c>
      <c r="D5">
        <v>346308</v>
      </c>
    </row>
    <row r="6" spans="1:4" x14ac:dyDescent="0.35">
      <c r="A6" t="s">
        <v>1894</v>
      </c>
      <c r="B6" t="s">
        <v>90</v>
      </c>
      <c r="C6">
        <v>285769</v>
      </c>
      <c r="D6">
        <v>314673</v>
      </c>
    </row>
    <row r="7" spans="1:4" x14ac:dyDescent="0.35">
      <c r="A7" t="s">
        <v>1895</v>
      </c>
      <c r="B7" t="s">
        <v>76</v>
      </c>
      <c r="C7">
        <v>222114</v>
      </c>
      <c r="D7">
        <v>228071</v>
      </c>
    </row>
    <row r="8" spans="1:4" x14ac:dyDescent="0.35">
      <c r="A8" t="s">
        <v>1895</v>
      </c>
      <c r="B8" t="s">
        <v>80</v>
      </c>
      <c r="C8">
        <v>179255</v>
      </c>
      <c r="D8">
        <v>166305</v>
      </c>
    </row>
    <row r="9" spans="1:4" x14ac:dyDescent="0.35">
      <c r="A9" t="s">
        <v>1895</v>
      </c>
      <c r="B9" t="s">
        <v>83</v>
      </c>
      <c r="C9">
        <v>485915</v>
      </c>
      <c r="D9">
        <v>505986</v>
      </c>
    </row>
    <row r="10" spans="1:4" x14ac:dyDescent="0.35">
      <c r="A10" t="s">
        <v>1895</v>
      </c>
      <c r="B10" t="s">
        <v>86</v>
      </c>
      <c r="C10">
        <v>424051</v>
      </c>
      <c r="D10">
        <v>409607</v>
      </c>
    </row>
    <row r="11" spans="1:4" x14ac:dyDescent="0.35">
      <c r="A11" t="s">
        <v>1895</v>
      </c>
      <c r="B11" t="s">
        <v>90</v>
      </c>
      <c r="C11">
        <v>204943</v>
      </c>
      <c r="D11">
        <v>230588</v>
      </c>
    </row>
    <row r="12" spans="1:4" x14ac:dyDescent="0.35">
      <c r="A12" t="s">
        <v>1896</v>
      </c>
      <c r="B12" t="s">
        <v>76</v>
      </c>
      <c r="C12">
        <v>242470</v>
      </c>
      <c r="D12">
        <v>246628</v>
      </c>
    </row>
    <row r="13" spans="1:4" x14ac:dyDescent="0.35">
      <c r="A13" t="s">
        <v>1896</v>
      </c>
      <c r="B13" t="s">
        <v>80</v>
      </c>
      <c r="C13">
        <v>172707</v>
      </c>
      <c r="D13">
        <v>180587</v>
      </c>
    </row>
    <row r="14" spans="1:4" x14ac:dyDescent="0.35">
      <c r="A14" t="s">
        <v>1896</v>
      </c>
      <c r="B14" t="s">
        <v>83</v>
      </c>
      <c r="C14">
        <v>353385</v>
      </c>
      <c r="D14">
        <v>361095</v>
      </c>
    </row>
    <row r="15" spans="1:4" x14ac:dyDescent="0.35">
      <c r="A15" t="s">
        <v>1896</v>
      </c>
      <c r="B15" t="s">
        <v>86</v>
      </c>
      <c r="C15">
        <v>377520</v>
      </c>
      <c r="D15">
        <v>364814</v>
      </c>
    </row>
    <row r="16" spans="1:4" x14ac:dyDescent="0.35">
      <c r="A16" t="s">
        <v>1896</v>
      </c>
      <c r="B16" t="s">
        <v>90</v>
      </c>
      <c r="C16">
        <v>340269</v>
      </c>
      <c r="D16">
        <v>371517</v>
      </c>
    </row>
    <row r="17" spans="1:4" x14ac:dyDescent="0.35">
      <c r="A17" t="s">
        <v>1897</v>
      </c>
      <c r="B17" t="s">
        <v>76</v>
      </c>
      <c r="C17">
        <v>282825</v>
      </c>
      <c r="D17">
        <v>312901</v>
      </c>
    </row>
    <row r="18" spans="1:4" x14ac:dyDescent="0.35">
      <c r="A18" t="s">
        <v>1897</v>
      </c>
      <c r="B18" t="s">
        <v>80</v>
      </c>
      <c r="C18">
        <v>474333</v>
      </c>
      <c r="D18">
        <v>429084</v>
      </c>
    </row>
    <row r="19" spans="1:4" x14ac:dyDescent="0.35">
      <c r="A19" t="s">
        <v>1897</v>
      </c>
      <c r="B19" t="s">
        <v>83</v>
      </c>
      <c r="C19">
        <v>456591</v>
      </c>
      <c r="D19">
        <v>501413</v>
      </c>
    </row>
    <row r="20" spans="1:4" x14ac:dyDescent="0.35">
      <c r="A20" t="s">
        <v>1897</v>
      </c>
      <c r="B20" t="s">
        <v>86</v>
      </c>
      <c r="C20">
        <v>398480</v>
      </c>
      <c r="D20">
        <v>440775</v>
      </c>
    </row>
    <row r="21" spans="1:4" x14ac:dyDescent="0.35">
      <c r="A21" t="s">
        <v>1897</v>
      </c>
      <c r="B21" t="s">
        <v>90</v>
      </c>
      <c r="C21">
        <v>475866</v>
      </c>
      <c r="D21">
        <v>523817</v>
      </c>
    </row>
    <row r="22" spans="1:4" x14ac:dyDescent="0.35">
      <c r="A22" t="s">
        <v>1898</v>
      </c>
      <c r="B22" t="s">
        <v>76</v>
      </c>
      <c r="C22">
        <v>335141</v>
      </c>
      <c r="D22">
        <v>370740</v>
      </c>
    </row>
    <row r="23" spans="1:4" x14ac:dyDescent="0.35">
      <c r="A23" t="s">
        <v>1898</v>
      </c>
      <c r="B23" t="s">
        <v>80</v>
      </c>
      <c r="C23">
        <v>325484</v>
      </c>
      <c r="D23">
        <v>299391</v>
      </c>
    </row>
    <row r="24" spans="1:4" x14ac:dyDescent="0.35">
      <c r="A24" t="s">
        <v>1898</v>
      </c>
      <c r="B24" t="s">
        <v>83</v>
      </c>
      <c r="C24">
        <v>331760</v>
      </c>
      <c r="D24">
        <v>330105</v>
      </c>
    </row>
    <row r="25" spans="1:4" x14ac:dyDescent="0.35">
      <c r="A25" t="s">
        <v>1898</v>
      </c>
      <c r="B25" t="s">
        <v>86</v>
      </c>
      <c r="C25">
        <v>159699</v>
      </c>
      <c r="D25">
        <v>147797</v>
      </c>
    </row>
    <row r="26" spans="1:4" x14ac:dyDescent="0.35">
      <c r="A26" t="s">
        <v>1898</v>
      </c>
      <c r="B26" t="s">
        <v>90</v>
      </c>
      <c r="C26">
        <v>368039</v>
      </c>
      <c r="D26">
        <v>392057</v>
      </c>
    </row>
    <row r="27" spans="1:4" x14ac:dyDescent="0.35">
      <c r="A27" t="s">
        <v>1899</v>
      </c>
      <c r="B27" t="s">
        <v>76</v>
      </c>
      <c r="C27">
        <v>483321</v>
      </c>
      <c r="D27">
        <v>506091</v>
      </c>
    </row>
    <row r="28" spans="1:4" x14ac:dyDescent="0.35">
      <c r="A28" t="s">
        <v>1899</v>
      </c>
      <c r="B28" t="s">
        <v>80</v>
      </c>
      <c r="C28">
        <v>377914</v>
      </c>
      <c r="D28">
        <v>390619</v>
      </c>
    </row>
    <row r="29" spans="1:4" x14ac:dyDescent="0.35">
      <c r="A29" t="s">
        <v>1899</v>
      </c>
      <c r="B29" t="s">
        <v>83</v>
      </c>
      <c r="C29">
        <v>342684</v>
      </c>
      <c r="D29">
        <v>389072</v>
      </c>
    </row>
    <row r="30" spans="1:4" x14ac:dyDescent="0.35">
      <c r="A30" t="s">
        <v>1899</v>
      </c>
      <c r="B30" t="s">
        <v>86</v>
      </c>
      <c r="C30">
        <v>160223</v>
      </c>
      <c r="D30">
        <v>173484</v>
      </c>
    </row>
    <row r="31" spans="1:4" x14ac:dyDescent="0.35">
      <c r="A31" t="s">
        <v>1899</v>
      </c>
      <c r="B31" t="s">
        <v>90</v>
      </c>
      <c r="C31">
        <v>380326</v>
      </c>
      <c r="D31">
        <v>367329</v>
      </c>
    </row>
    <row r="32" spans="1:4" x14ac:dyDescent="0.35">
      <c r="A32" t="s">
        <v>1900</v>
      </c>
      <c r="B32" t="s">
        <v>76</v>
      </c>
      <c r="C32">
        <v>390490</v>
      </c>
      <c r="D32">
        <v>369680</v>
      </c>
    </row>
    <row r="33" spans="1:4" x14ac:dyDescent="0.35">
      <c r="A33" t="s">
        <v>1900</v>
      </c>
      <c r="B33" t="s">
        <v>80</v>
      </c>
      <c r="C33">
        <v>259978</v>
      </c>
      <c r="D33">
        <v>288930</v>
      </c>
    </row>
    <row r="34" spans="1:4" x14ac:dyDescent="0.35">
      <c r="A34" t="s">
        <v>1900</v>
      </c>
      <c r="B34" t="s">
        <v>83</v>
      </c>
      <c r="C34">
        <v>156917</v>
      </c>
      <c r="D34">
        <v>148155</v>
      </c>
    </row>
    <row r="35" spans="1:4" x14ac:dyDescent="0.35">
      <c r="A35" t="s">
        <v>1900</v>
      </c>
      <c r="B35" t="s">
        <v>86</v>
      </c>
      <c r="C35">
        <v>216921</v>
      </c>
      <c r="D35">
        <v>203970</v>
      </c>
    </row>
    <row r="36" spans="1:4" x14ac:dyDescent="0.35">
      <c r="A36" t="s">
        <v>1900</v>
      </c>
      <c r="B36" t="s">
        <v>90</v>
      </c>
      <c r="C36">
        <v>278665</v>
      </c>
      <c r="D36">
        <v>254077</v>
      </c>
    </row>
    <row r="37" spans="1:4" x14ac:dyDescent="0.35">
      <c r="A37" t="s">
        <v>1901</v>
      </c>
      <c r="B37" t="s">
        <v>76</v>
      </c>
      <c r="C37">
        <v>268583</v>
      </c>
      <c r="D37">
        <v>307885</v>
      </c>
    </row>
    <row r="38" spans="1:4" x14ac:dyDescent="0.35">
      <c r="A38" t="s">
        <v>1901</v>
      </c>
      <c r="B38" t="s">
        <v>80</v>
      </c>
      <c r="C38">
        <v>480825</v>
      </c>
      <c r="D38">
        <v>493053</v>
      </c>
    </row>
    <row r="39" spans="1:4" x14ac:dyDescent="0.35">
      <c r="A39" t="s">
        <v>1901</v>
      </c>
      <c r="B39" t="s">
        <v>83</v>
      </c>
      <c r="C39">
        <v>441552</v>
      </c>
      <c r="D39">
        <v>428052</v>
      </c>
    </row>
    <row r="40" spans="1:4" x14ac:dyDescent="0.35">
      <c r="A40" t="s">
        <v>1901</v>
      </c>
      <c r="B40" t="s">
        <v>86</v>
      </c>
      <c r="C40">
        <v>311217</v>
      </c>
      <c r="D40">
        <v>335589</v>
      </c>
    </row>
    <row r="41" spans="1:4" x14ac:dyDescent="0.35">
      <c r="A41" t="s">
        <v>1901</v>
      </c>
      <c r="B41" t="s">
        <v>90</v>
      </c>
      <c r="C41">
        <v>184013</v>
      </c>
      <c r="D41">
        <v>174271</v>
      </c>
    </row>
    <row r="42" spans="1:4" x14ac:dyDescent="0.35">
      <c r="A42" t="s">
        <v>1902</v>
      </c>
      <c r="B42" t="s">
        <v>76</v>
      </c>
      <c r="C42">
        <v>280178</v>
      </c>
      <c r="D42">
        <v>286433</v>
      </c>
    </row>
    <row r="43" spans="1:4" x14ac:dyDescent="0.35">
      <c r="A43" t="s">
        <v>1902</v>
      </c>
      <c r="B43" t="s">
        <v>80</v>
      </c>
      <c r="C43">
        <v>166840</v>
      </c>
      <c r="D43">
        <v>153989</v>
      </c>
    </row>
    <row r="44" spans="1:4" x14ac:dyDescent="0.35">
      <c r="A44" t="s">
        <v>1902</v>
      </c>
      <c r="B44" t="s">
        <v>83</v>
      </c>
      <c r="C44">
        <v>435791</v>
      </c>
      <c r="D44">
        <v>478342</v>
      </c>
    </row>
    <row r="45" spans="1:4" x14ac:dyDescent="0.35">
      <c r="A45" t="s">
        <v>1902</v>
      </c>
      <c r="B45" t="s">
        <v>86</v>
      </c>
      <c r="C45">
        <v>300814</v>
      </c>
      <c r="D45">
        <v>303887</v>
      </c>
    </row>
    <row r="46" spans="1:4" x14ac:dyDescent="0.35">
      <c r="A46" t="s">
        <v>1902</v>
      </c>
      <c r="B46" t="s">
        <v>90</v>
      </c>
      <c r="C46">
        <v>288264</v>
      </c>
      <c r="D46">
        <v>325665</v>
      </c>
    </row>
    <row r="47" spans="1:4" x14ac:dyDescent="0.35">
      <c r="A47" t="s">
        <v>1903</v>
      </c>
      <c r="B47" t="s">
        <v>76</v>
      </c>
      <c r="C47">
        <v>357784</v>
      </c>
      <c r="D47">
        <v>355083</v>
      </c>
    </row>
    <row r="48" spans="1:4" x14ac:dyDescent="0.35">
      <c r="A48" t="s">
        <v>1903</v>
      </c>
      <c r="B48" t="s">
        <v>80</v>
      </c>
      <c r="C48">
        <v>294546</v>
      </c>
      <c r="D48">
        <v>278885</v>
      </c>
    </row>
    <row r="49" spans="1:4" x14ac:dyDescent="0.35">
      <c r="A49" t="s">
        <v>1903</v>
      </c>
      <c r="B49" t="s">
        <v>83</v>
      </c>
      <c r="C49">
        <v>198267</v>
      </c>
      <c r="D49">
        <v>180956</v>
      </c>
    </row>
    <row r="50" spans="1:4" x14ac:dyDescent="0.35">
      <c r="A50" t="s">
        <v>1903</v>
      </c>
      <c r="B50" t="s">
        <v>86</v>
      </c>
      <c r="C50">
        <v>263780</v>
      </c>
      <c r="D50">
        <v>253484</v>
      </c>
    </row>
    <row r="51" spans="1:4" x14ac:dyDescent="0.35">
      <c r="A51" t="s">
        <v>1903</v>
      </c>
      <c r="B51" t="s">
        <v>90</v>
      </c>
      <c r="C51">
        <v>444435</v>
      </c>
      <c r="D51">
        <v>412902</v>
      </c>
    </row>
    <row r="52" spans="1:4" x14ac:dyDescent="0.35">
      <c r="A52" t="s">
        <v>1904</v>
      </c>
      <c r="B52" t="s">
        <v>76</v>
      </c>
      <c r="C52">
        <v>301295</v>
      </c>
      <c r="D52">
        <v>283962</v>
      </c>
    </row>
    <row r="53" spans="1:4" x14ac:dyDescent="0.35">
      <c r="A53" t="s">
        <v>1904</v>
      </c>
      <c r="B53" t="s">
        <v>80</v>
      </c>
      <c r="C53">
        <v>157805</v>
      </c>
      <c r="D53">
        <v>146612</v>
      </c>
    </row>
    <row r="54" spans="1:4" x14ac:dyDescent="0.35">
      <c r="A54" t="s">
        <v>1904</v>
      </c>
      <c r="B54" t="s">
        <v>83</v>
      </c>
      <c r="C54">
        <v>305586</v>
      </c>
      <c r="D54">
        <v>308949</v>
      </c>
    </row>
    <row r="55" spans="1:4" x14ac:dyDescent="0.35">
      <c r="A55" t="s">
        <v>1904</v>
      </c>
      <c r="B55" t="s">
        <v>86</v>
      </c>
      <c r="C55">
        <v>450477</v>
      </c>
      <c r="D55">
        <v>411186</v>
      </c>
    </row>
    <row r="56" spans="1:4" x14ac:dyDescent="0.35">
      <c r="A56" t="s">
        <v>1904</v>
      </c>
      <c r="B56" t="s">
        <v>90</v>
      </c>
      <c r="C56">
        <v>499607</v>
      </c>
      <c r="D56">
        <v>458322</v>
      </c>
    </row>
    <row r="57" spans="1:4" x14ac:dyDescent="0.35">
      <c r="A57" t="s">
        <v>1905</v>
      </c>
      <c r="B57" t="s">
        <v>76</v>
      </c>
      <c r="C57">
        <v>245799</v>
      </c>
      <c r="D57">
        <v>235926</v>
      </c>
    </row>
    <row r="58" spans="1:4" x14ac:dyDescent="0.35">
      <c r="A58" t="s">
        <v>1905</v>
      </c>
      <c r="B58" t="s">
        <v>80</v>
      </c>
      <c r="C58">
        <v>478099</v>
      </c>
      <c r="D58">
        <v>482600</v>
      </c>
    </row>
    <row r="59" spans="1:4" x14ac:dyDescent="0.35">
      <c r="A59" t="s">
        <v>1905</v>
      </c>
      <c r="B59" t="s">
        <v>83</v>
      </c>
      <c r="C59">
        <v>389560</v>
      </c>
      <c r="D59">
        <v>405262</v>
      </c>
    </row>
    <row r="60" spans="1:4" x14ac:dyDescent="0.35">
      <c r="A60" t="s">
        <v>1905</v>
      </c>
      <c r="B60" t="s">
        <v>86</v>
      </c>
      <c r="C60">
        <v>196122</v>
      </c>
      <c r="D60">
        <v>195714</v>
      </c>
    </row>
    <row r="61" spans="1:4" x14ac:dyDescent="0.35">
      <c r="A61" t="s">
        <v>1905</v>
      </c>
      <c r="B61" t="s">
        <v>90</v>
      </c>
      <c r="C61">
        <v>437809</v>
      </c>
      <c r="D61">
        <v>438957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594B33B4-1599-4CEF-AC7C-5809739FAEC7}">
  <ds:schemaRefs/>
</ds:datastoreItem>
</file>

<file path=customXml/itemProps2.xml><?xml version="1.0" encoding="utf-8"?>
<ds:datastoreItem xmlns:ds="http://schemas.openxmlformats.org/officeDocument/2006/customXml" ds:itemID="{1BE52499-CF5F-4B0E-B5F7-34255E706608}">
  <ds:schemaRefs/>
</ds:datastoreItem>
</file>

<file path=customXml/itemProps3.xml><?xml version="1.0" encoding="utf-8"?>
<ds:datastoreItem xmlns:ds="http://schemas.openxmlformats.org/officeDocument/2006/customXml" ds:itemID="{5B566FE0-C122-4E8D-8266-17BCE0F5B7B6}">
  <ds:schemaRefs/>
</ds:datastoreItem>
</file>

<file path=customXml/itemProps4.xml><?xml version="1.0" encoding="utf-8"?>
<ds:datastoreItem xmlns:ds="http://schemas.openxmlformats.org/officeDocument/2006/customXml" ds:itemID="{0A0F780D-C868-43AC-86CA-7084083F9379}">
  <ds:schemaRefs/>
</ds:datastoreItem>
</file>

<file path=customXml/itemProps5.xml><?xml version="1.0" encoding="utf-8"?>
<ds:datastoreItem xmlns:ds="http://schemas.openxmlformats.org/officeDocument/2006/customXml" ds:itemID="{E95FE602-6C27-4F6E-9716-03DACD8026FC}">
  <ds:schemaRefs/>
</ds:datastoreItem>
</file>

<file path=customXml/itemProps6.xml><?xml version="1.0" encoding="utf-8"?>
<ds:datastoreItem xmlns:ds="http://schemas.openxmlformats.org/officeDocument/2006/customXml" ds:itemID="{43791373-DFD9-46B2-ACBC-060302931F2F}">
  <ds:schemaRefs/>
</ds:datastoreItem>
</file>

<file path=customXml/itemProps7.xml><?xml version="1.0" encoding="utf-8"?>
<ds:datastoreItem xmlns:ds="http://schemas.openxmlformats.org/officeDocument/2006/customXml" ds:itemID="{F1876536-C973-4F9F-9597-0BDB61AFAD5F}">
  <ds:schemaRefs/>
</ds:datastoreItem>
</file>

<file path=customXml/itemProps8.xml><?xml version="1.0" encoding="utf-8"?>
<ds:datastoreItem xmlns:ds="http://schemas.openxmlformats.org/officeDocument/2006/customXml" ds:itemID="{345FB9FF-2A33-438B-8835-D9749CF734E7}">
  <ds:schemaRefs/>
</ds:datastoreItem>
</file>

<file path=customXml/itemProps9.xml><?xml version="1.0" encoding="utf-8"?>
<ds:datastoreItem xmlns:ds="http://schemas.openxmlformats.org/officeDocument/2006/customXml" ds:itemID="{A13055B4-9266-48D6-89DB-F545FE4DC8DF}">
  <ds:schemaRefs/>
</ds:datastoreItem>
</file>

<file path=customXml/itemProps10.xml><?xml version="1.0" encoding="utf-8"?>
<ds:datastoreItem xmlns:ds="http://schemas.openxmlformats.org/officeDocument/2006/customXml" ds:itemID="{D3B45497-7C59-4277-899A-F4BE59468EC6}">
  <ds:schemaRefs/>
</ds:datastoreItem>
</file>

<file path=customXml/itemProps11.xml><?xml version="1.0" encoding="utf-8"?>
<ds:datastoreItem xmlns:ds="http://schemas.openxmlformats.org/officeDocument/2006/customXml" ds:itemID="{FBBE0936-FB7F-47F9-9BB8-14E2E21A00DC}">
  <ds:schemaRefs/>
</ds:datastoreItem>
</file>

<file path=customXml/itemProps12.xml><?xml version="1.0" encoding="utf-8"?>
<ds:datastoreItem xmlns:ds="http://schemas.openxmlformats.org/officeDocument/2006/customXml" ds:itemID="{602C43A8-9449-40F4-8BF7-C11237887E5A}">
  <ds:schemaRefs/>
</ds:datastoreItem>
</file>

<file path=customXml/itemProps13.xml><?xml version="1.0" encoding="utf-8"?>
<ds:datastoreItem xmlns:ds="http://schemas.openxmlformats.org/officeDocument/2006/customXml" ds:itemID="{C1B51625-BF86-4BD3-888B-790A1C68D5B8}">
  <ds:schemaRefs/>
</ds:datastoreItem>
</file>

<file path=customXml/itemProps14.xml><?xml version="1.0" encoding="utf-8"?>
<ds:datastoreItem xmlns:ds="http://schemas.openxmlformats.org/officeDocument/2006/customXml" ds:itemID="{0916C6AD-178A-4D76-A319-F92BD9A5F01F}">
  <ds:schemaRefs>
    <ds:schemaRef ds:uri="http://schemas.microsoft.com/DataMashup"/>
  </ds:schemaRefs>
</ds:datastoreItem>
</file>

<file path=customXml/itemProps15.xml><?xml version="1.0" encoding="utf-8"?>
<ds:datastoreItem xmlns:ds="http://schemas.openxmlformats.org/officeDocument/2006/customXml" ds:itemID="{1E55D839-0256-4179-8EC2-B4B150660811}">
  <ds:schemaRefs/>
</ds:datastoreItem>
</file>

<file path=customXml/itemProps16.xml><?xml version="1.0" encoding="utf-8"?>
<ds:datastoreItem xmlns:ds="http://schemas.openxmlformats.org/officeDocument/2006/customXml" ds:itemID="{62D85E7A-CC87-443F-B09F-85C44A03FEC5}">
  <ds:schemaRefs/>
</ds:datastoreItem>
</file>

<file path=customXml/itemProps17.xml><?xml version="1.0" encoding="utf-8"?>
<ds:datastoreItem xmlns:ds="http://schemas.openxmlformats.org/officeDocument/2006/customXml" ds:itemID="{93D33215-C6A8-4330-9CC8-9F6B773E48B2}">
  <ds:schemaRefs/>
</ds:datastoreItem>
</file>

<file path=customXml/itemProps18.xml><?xml version="1.0" encoding="utf-8"?>
<ds:datastoreItem xmlns:ds="http://schemas.openxmlformats.org/officeDocument/2006/customXml" ds:itemID="{91D61271-9FB8-4149-90F1-67FEE7526D9D}">
  <ds:schemaRefs/>
</ds:datastoreItem>
</file>

<file path=customXml/itemProps19.xml><?xml version="1.0" encoding="utf-8"?>
<ds:datastoreItem xmlns:ds="http://schemas.openxmlformats.org/officeDocument/2006/customXml" ds:itemID="{B522E8B7-C2A8-4657-B4C1-32458D9DFD86}">
  <ds:schemaRefs/>
</ds:datastoreItem>
</file>

<file path=customXml/itemProps20.xml><?xml version="1.0" encoding="utf-8"?>
<ds:datastoreItem xmlns:ds="http://schemas.openxmlformats.org/officeDocument/2006/customXml" ds:itemID="{B3E1B3DE-2739-4361-B737-307F1E4D8111}">
  <ds:schemaRefs/>
</ds:datastoreItem>
</file>

<file path=customXml/itemProps21.xml><?xml version="1.0" encoding="utf-8"?>
<ds:datastoreItem xmlns:ds="http://schemas.openxmlformats.org/officeDocument/2006/customXml" ds:itemID="{8E1C4CB8-AEF3-4974-A90F-F96BB06643F1}">
  <ds:schemaRefs/>
</ds:datastoreItem>
</file>

<file path=customXml/itemProps22.xml><?xml version="1.0" encoding="utf-8"?>
<ds:datastoreItem xmlns:ds="http://schemas.openxmlformats.org/officeDocument/2006/customXml" ds:itemID="{C5860EC8-D242-4331-B659-1BDB8F6A1BCB}">
  <ds:schemaRefs/>
</ds:datastoreItem>
</file>

<file path=customXml/itemProps23.xml><?xml version="1.0" encoding="utf-8"?>
<ds:datastoreItem xmlns:ds="http://schemas.openxmlformats.org/officeDocument/2006/customXml" ds:itemID="{50ED610B-8689-4CF8-BA5D-B8BA50EB08FF}">
  <ds:schemaRefs/>
</ds:datastoreItem>
</file>

<file path=customXml/itemProps24.xml><?xml version="1.0" encoding="utf-8"?>
<ds:datastoreItem xmlns:ds="http://schemas.openxmlformats.org/officeDocument/2006/customXml" ds:itemID="{8831B4DE-5895-40A8-AA8B-D38BDB02E25B}">
  <ds:schemaRefs/>
</ds:datastoreItem>
</file>

<file path=customXml/itemProps25.xml><?xml version="1.0" encoding="utf-8"?>
<ds:datastoreItem xmlns:ds="http://schemas.openxmlformats.org/officeDocument/2006/customXml" ds:itemID="{2D1BC2DA-E5E6-4F49-8995-BF3A61326B16}">
  <ds:schemaRefs/>
</ds:datastoreItem>
</file>

<file path=customXml/itemProps26.xml><?xml version="1.0" encoding="utf-8"?>
<ds:datastoreItem xmlns:ds="http://schemas.openxmlformats.org/officeDocument/2006/customXml" ds:itemID="{D3EDCA59-AD04-4604-BBA0-219BD570A035}">
  <ds:schemaRefs/>
</ds:datastoreItem>
</file>

<file path=customXml/itemProps27.xml><?xml version="1.0" encoding="utf-8"?>
<ds:datastoreItem xmlns:ds="http://schemas.openxmlformats.org/officeDocument/2006/customXml" ds:itemID="{D2EF5A2E-7F64-435C-B02B-23CB63E28349}">
  <ds:schemaRefs/>
</ds:datastoreItem>
</file>

<file path=customXml/itemProps28.xml><?xml version="1.0" encoding="utf-8"?>
<ds:datastoreItem xmlns:ds="http://schemas.openxmlformats.org/officeDocument/2006/customXml" ds:itemID="{E3F0E78F-3052-4762-B970-C4D783931F1F}">
  <ds:schemaRefs/>
</ds:datastoreItem>
</file>

<file path=customXml/itemProps29.xml><?xml version="1.0" encoding="utf-8"?>
<ds:datastoreItem xmlns:ds="http://schemas.openxmlformats.org/officeDocument/2006/customXml" ds:itemID="{8522429E-6EE4-4331-88FB-603F83091DCB}">
  <ds:schemaRefs/>
</ds:datastoreItem>
</file>

<file path=customXml/itemProps30.xml><?xml version="1.0" encoding="utf-8"?>
<ds:datastoreItem xmlns:ds="http://schemas.openxmlformats.org/officeDocument/2006/customXml" ds:itemID="{4E2136C3-580D-450B-8ACF-00F3F1C00BBB}">
  <ds:schemaRefs/>
</ds:datastoreItem>
</file>

<file path=customXml/itemProps31.xml><?xml version="1.0" encoding="utf-8"?>
<ds:datastoreItem xmlns:ds="http://schemas.openxmlformats.org/officeDocument/2006/customXml" ds:itemID="{46F4FC5C-1E82-44A8-A0DB-68630D595590}">
  <ds:schemaRefs/>
</ds:datastoreItem>
</file>

<file path=customXml/itemProps32.xml><?xml version="1.0" encoding="utf-8"?>
<ds:datastoreItem xmlns:ds="http://schemas.openxmlformats.org/officeDocument/2006/customXml" ds:itemID="{3EC23552-1FE8-4FCE-919A-6CC3D287BF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Products (2)</vt:lpstr>
      <vt:lpstr>Budget (2)</vt:lpstr>
      <vt:lpstr>Sales_Data (2)</vt:lpstr>
      <vt:lpstr>Employees (2)</vt:lpstr>
      <vt:lpstr>Pivo &amp; Measures</vt:lpstr>
      <vt:lpstr>dash board</vt:lpstr>
      <vt:lpstr>Business Insights</vt:lpstr>
      <vt:lpstr>Products</vt:lpstr>
      <vt:lpstr>Employees</vt:lpstr>
      <vt:lpstr>Sales_Data</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HRUDHUN S</cp:lastModifiedBy>
  <dcterms:created xsi:type="dcterms:W3CDTF">2026-06-12T06:08:34Z</dcterms:created>
  <dcterms:modified xsi:type="dcterms:W3CDTF">2026-06-21T11:10:03Z</dcterms:modified>
</cp:coreProperties>
</file>